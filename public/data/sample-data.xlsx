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son West 2025" sheetId="1" r:id="rId4"/>
  </sheets>
  <definedNames/>
  <calcPr/>
</workbook>
</file>

<file path=xl/sharedStrings.xml><?xml version="1.0" encoding="utf-8"?>
<sst xmlns="http://schemas.openxmlformats.org/spreadsheetml/2006/main" count="5952" uniqueCount="1448">
  <si>
    <t xml:space="preserve">Jump to Current Month </t>
  </si>
  <si>
    <t>Funded Amount</t>
  </si>
  <si>
    <t>Mgmt Fee Total</t>
  </si>
  <si>
    <t xml:space="preserve">Funding date </t>
  </si>
  <si>
    <t>Partner</t>
  </si>
  <si>
    <t>New / Renewal</t>
  </si>
  <si>
    <t>Notes</t>
  </si>
  <si>
    <t>2025 YTD</t>
  </si>
  <si>
    <t>Jared/Thomas</t>
  </si>
  <si>
    <t>2024 total</t>
  </si>
  <si>
    <t>Azores - 1.25%</t>
  </si>
  <si>
    <t>Platform</t>
  </si>
  <si>
    <t>Renew</t>
  </si>
  <si>
    <t>Justin</t>
  </si>
  <si>
    <t>Learning Academy of Austell - 1.25%</t>
  </si>
  <si>
    <t>Direct</t>
  </si>
  <si>
    <t xml:space="preserve">Justin 5% of upsell (8% comm) </t>
  </si>
  <si>
    <t>Salary</t>
  </si>
  <si>
    <t>Kissable Dental - 1.25%</t>
  </si>
  <si>
    <t>Guru</t>
  </si>
  <si>
    <t>Roger Bell - 1.25%</t>
  </si>
  <si>
    <t>AFN</t>
  </si>
  <si>
    <t>Justin Renew</t>
  </si>
  <si>
    <t>Accurate Home Services - 1.25%</t>
  </si>
  <si>
    <t>Capital Gurus</t>
  </si>
  <si>
    <t>Justin rev share Renew</t>
  </si>
  <si>
    <t>ISO New</t>
  </si>
  <si>
    <t>Valor Creations - 1.75%</t>
  </si>
  <si>
    <t>New</t>
  </si>
  <si>
    <t xml:space="preserve">Justin 5% of upsell (9% comm) </t>
  </si>
  <si>
    <t>Yes</t>
  </si>
  <si>
    <t>ISO Renew</t>
  </si>
  <si>
    <t>Reisch Plumbing - 1.25%</t>
  </si>
  <si>
    <t>Sector - 1.75%</t>
  </si>
  <si>
    <t>Bailey Building &amp; Construction - 1.75%</t>
  </si>
  <si>
    <t xml:space="preserve">Justin 5% of upsell (4% comm) </t>
  </si>
  <si>
    <t>Leveris - 1.75%</t>
  </si>
  <si>
    <t>American Crematory - 1.25%</t>
  </si>
  <si>
    <t>Alcaraz Trucking - 1.25%</t>
  </si>
  <si>
    <t>Five Guys Transportation - 1.75%</t>
  </si>
  <si>
    <t>Glazer/Samson</t>
  </si>
  <si>
    <t>New - PIF</t>
  </si>
  <si>
    <t>Cano - 1.25%</t>
  </si>
  <si>
    <t>Macrays Seafood - 1.75%</t>
  </si>
  <si>
    <t>Finley Interests - 1.75%</t>
  </si>
  <si>
    <t>Justin rev share. Gurus $15k Syn</t>
  </si>
  <si>
    <t>Frickers - 1.25%</t>
  </si>
  <si>
    <t>Della Infotech - 1.25%</t>
  </si>
  <si>
    <t>Justin rev share Renew. Gurus $15k syn</t>
  </si>
  <si>
    <t>The Martinez Painting - 1.25%</t>
  </si>
  <si>
    <t>TechSys - 1.75%</t>
  </si>
  <si>
    <t xml:space="preserve">Justin 5% of upsell (10% comm) </t>
  </si>
  <si>
    <t>Like Dreams - 1.25%</t>
  </si>
  <si>
    <t>2JM Mixing Center - 1.75%</t>
  </si>
  <si>
    <t xml:space="preserve">Justin 5% of upsell (12% comm) </t>
  </si>
  <si>
    <t>CLB Trucking - 1.25%</t>
  </si>
  <si>
    <t>CM Bruce - 1.25%</t>
  </si>
  <si>
    <t>316 Group - 1.75%</t>
  </si>
  <si>
    <t>Justin rev share. Gurus $15k syn</t>
  </si>
  <si>
    <t>Canyon Building - 1.75%</t>
  </si>
  <si>
    <t>Byzloan / Vetted</t>
  </si>
  <si>
    <t>Wright Family Medical - 1.25%</t>
  </si>
  <si>
    <t>Patroncito - 1.75%</t>
  </si>
  <si>
    <t>Sierra Consulting - 1.25%</t>
  </si>
  <si>
    <t>The Cervantes Group - 1.75%</t>
  </si>
  <si>
    <t>DCE Construction - 1.75%</t>
  </si>
  <si>
    <t>Incomm Summits - 1.75%</t>
  </si>
  <si>
    <t>New - Add On</t>
  </si>
  <si>
    <t>Henderson Recovery - 1.25%</t>
  </si>
  <si>
    <t>Lendflow</t>
  </si>
  <si>
    <t>RD3 Muslce Motors - 1.75%</t>
  </si>
  <si>
    <t>Reclamation Furnishings - 1.75%</t>
  </si>
  <si>
    <t>Engineered Air - 1.75%</t>
  </si>
  <si>
    <t>Glazer</t>
  </si>
  <si>
    <t>Custom Aire - 1.75%</t>
  </si>
  <si>
    <t>Samson</t>
  </si>
  <si>
    <t>5M - 1.75%</t>
  </si>
  <si>
    <t>MO Paradice - 1.75%</t>
  </si>
  <si>
    <t>Kings Heating and Air - 1.75%</t>
  </si>
  <si>
    <t>Candlelight Cabinetry - 1.25%</t>
  </si>
  <si>
    <t>Designer Kitchen and Bath / Turns Incoprated - 1.75%</t>
  </si>
  <si>
    <t>Fejes - 1.25%</t>
  </si>
  <si>
    <t>Hoffman / Discount Kars - 1.25%</t>
  </si>
  <si>
    <t>Tumblin Automotive - 1.75%</t>
  </si>
  <si>
    <t>Wolverine - 1.25%</t>
  </si>
  <si>
    <t>Engineered Air - 1.25%</t>
  </si>
  <si>
    <t>Roadlink - 1.25%</t>
  </si>
  <si>
    <t>Rocksteady Technology - 1.25%</t>
  </si>
  <si>
    <t>MC McColum Holdings - 1.75%</t>
  </si>
  <si>
    <t>Juvelo - 1.25%</t>
  </si>
  <si>
    <t>Pierce - 1.25%</t>
  </si>
  <si>
    <t>Finno Services - 1.25%</t>
  </si>
  <si>
    <t>Byzloan</t>
  </si>
  <si>
    <t>Chief Engineering - 1.25%</t>
  </si>
  <si>
    <t>Able Helpers - 1.25%</t>
  </si>
  <si>
    <t>Resource Contracting - 1.75%</t>
  </si>
  <si>
    <t>Mac Mechanical - 1.75%</t>
  </si>
  <si>
    <t>Henna Industires - 1.75%</t>
  </si>
  <si>
    <t xml:space="preserve">Justin 5% of upsell (6% comm) </t>
  </si>
  <si>
    <t>Atlantic Asphalt - 1.75%</t>
  </si>
  <si>
    <t>Thursh &amp; Son - 1.75%</t>
  </si>
  <si>
    <t>R&amp;B Rising Star - 1.75%</t>
  </si>
  <si>
    <t>Lee Nails - 1.25%</t>
  </si>
  <si>
    <t>Concrete Services - 1.25%</t>
  </si>
  <si>
    <t>Esteemed - 1.25%</t>
  </si>
  <si>
    <t>Galt Ocean - 1.25%</t>
  </si>
  <si>
    <t>Graffiti Graphics - 1.25%</t>
  </si>
  <si>
    <t>JMEC - 1.25%</t>
  </si>
  <si>
    <t>Burton - 1.75%</t>
  </si>
  <si>
    <t>Anfield - 1.25%</t>
  </si>
  <si>
    <t>Oral Care Technologies - 1.75%</t>
  </si>
  <si>
    <t>Lake State - 1.75%</t>
  </si>
  <si>
    <t>Marathon Moving - 1.25%</t>
  </si>
  <si>
    <t>Loughlin and Son Construction - 1.75%</t>
  </si>
  <si>
    <t>HOK Automotive - 1.25%</t>
  </si>
  <si>
    <t>Velocity USA - 1.75%</t>
  </si>
  <si>
    <t>Business Funding Source</t>
  </si>
  <si>
    <t>Advanced Technology - 1.75%</t>
  </si>
  <si>
    <t>PMF</t>
  </si>
  <si>
    <t>Builder 1 - 1.75%</t>
  </si>
  <si>
    <t>Kenbrook - 1.25%</t>
  </si>
  <si>
    <t>Hoosier Body - 1.75%</t>
  </si>
  <si>
    <t>Great Lakes Biomedical - 1.25%</t>
  </si>
  <si>
    <t>Oklahoma Motorcars - 1.75%</t>
  </si>
  <si>
    <t>Montealegre Finazas - 1.75%</t>
  </si>
  <si>
    <t>Craven Performance and Off- Road - 1.75%</t>
  </si>
  <si>
    <t>Maximum Advantage Building - 1.25%</t>
  </si>
  <si>
    <t>Collage Day School - 1.75%</t>
  </si>
  <si>
    <t>Law Office Russell Kerr  - 1.75%</t>
  </si>
  <si>
    <t>LE3 - 1.25%</t>
  </si>
  <si>
    <t>Glider Express - 1.75%</t>
  </si>
  <si>
    <t>Sports Lab - 1.75%</t>
  </si>
  <si>
    <t>Ricci Law - 1.75%</t>
  </si>
  <si>
    <t>Patroncito - 1.25%</t>
  </si>
  <si>
    <t>Quality Compressor - 1.25%</t>
  </si>
  <si>
    <t>Loanability</t>
  </si>
  <si>
    <t>Pro Flooring - 1.75%</t>
  </si>
  <si>
    <t>LJ Construction - 1.25%</t>
  </si>
  <si>
    <t>Upright Construction - 1.75%</t>
  </si>
  <si>
    <t>Palmieri Movers - 1.75%</t>
  </si>
  <si>
    <t>Lancaster - 1.25%</t>
  </si>
  <si>
    <t>Davison Vision Center - 1.75%</t>
  </si>
  <si>
    <t>REI - 1.75%</t>
  </si>
  <si>
    <t>Decorative Ventures - 1.25%</t>
  </si>
  <si>
    <t>Renew - Add On</t>
  </si>
  <si>
    <t>Southpoint Motors - 1.75%</t>
  </si>
  <si>
    <t>Iris Nail Bar - 1.75%</t>
  </si>
  <si>
    <t xml:space="preserve">First Union </t>
  </si>
  <si>
    <t>J Bachman Design - 1.75%</t>
  </si>
  <si>
    <t xml:space="preserve">Justin 5% of upsell (5% comm) </t>
  </si>
  <si>
    <t>Muzco - 1.25%</t>
  </si>
  <si>
    <t>Exterior Solutions - 1.75%</t>
  </si>
  <si>
    <t>Mcmillan and Quinn - 1.25%</t>
  </si>
  <si>
    <t>Breeland - 1.25%</t>
  </si>
  <si>
    <t>Whiskey Business Ventures - 1.75%</t>
  </si>
  <si>
    <t>Havana - 1.75%</t>
  </si>
  <si>
    <t>Pro Turf - 1.25%</t>
  </si>
  <si>
    <t>Sierra Forrest - 1.25%</t>
  </si>
  <si>
    <t>LHB Holdings - 1.75%</t>
  </si>
  <si>
    <t>Crazyhorse Campground - 1.75%</t>
  </si>
  <si>
    <t>New Cabinet Company - 1.25%</t>
  </si>
  <si>
    <t>JP Transporation - 1.25%</t>
  </si>
  <si>
    <t>Lee Hoffman Roofing - 1.75%</t>
  </si>
  <si>
    <t>Accurate Site Development - 1.75%</t>
  </si>
  <si>
    <t>Adept Technolgoies - 1.75%</t>
  </si>
  <si>
    <t>Samson/Glazer</t>
  </si>
  <si>
    <t>Soap Gal - 1.75%</t>
  </si>
  <si>
    <t>Pav M&amp;E - 1.75%</t>
  </si>
  <si>
    <t xml:space="preserve">Justin 5% of upsell (5.5% comm) </t>
  </si>
  <si>
    <t>Wooden World Enterprise - 1.75%</t>
  </si>
  <si>
    <t>BRS Trucking - 1.75%</t>
  </si>
  <si>
    <t>Direct/Vetted</t>
  </si>
  <si>
    <t xml:space="preserve">Justin 5% of upsell (3% comm) </t>
  </si>
  <si>
    <t>Bayshore Transport - 1.75%</t>
  </si>
  <si>
    <t>KW Earthworks - 1.75%</t>
  </si>
  <si>
    <t>Baron Tour - 1.75%</t>
  </si>
  <si>
    <t>Jays Handyman Service - 1.75%</t>
  </si>
  <si>
    <t>K2 Vision - 1.75%</t>
  </si>
  <si>
    <t>Lily Pad - 1.75%</t>
  </si>
  <si>
    <t>United Tire Service - 1.75%</t>
  </si>
  <si>
    <t>Viking</t>
  </si>
  <si>
    <t>Saci - 1.25%</t>
  </si>
  <si>
    <t>Flex Solutions - 1.75%</t>
  </si>
  <si>
    <t>Steve's Electric - 1.75%</t>
  </si>
  <si>
    <t>Industrial Fence Group - 1.25%</t>
  </si>
  <si>
    <t>PGI Distributors - 1.75%</t>
  </si>
  <si>
    <t>Northwest Florida Landscape - 1.75%</t>
  </si>
  <si>
    <t>Dial Construction - 1.75%</t>
  </si>
  <si>
    <t>Stronghand - 1.25%</t>
  </si>
  <si>
    <t>Capital Gurus / Vetted</t>
  </si>
  <si>
    <t>James Gray - 1.25%</t>
  </si>
  <si>
    <t>Liberty Building - 1.75%</t>
  </si>
  <si>
    <t>Southern Spear - 1.75%</t>
  </si>
  <si>
    <t>WC Clark - 1.75%</t>
  </si>
  <si>
    <t>Hyson's Towing - 1.75%</t>
  </si>
  <si>
    <t>Onyx Capital Partners - 1.75%</t>
  </si>
  <si>
    <t>JB Rogers Landscape - 1.25%</t>
  </si>
  <si>
    <t>Citizens</t>
  </si>
  <si>
    <t>Precision Powered Products - 1.75%</t>
  </si>
  <si>
    <t>Pacific Aviation - 1.25%</t>
  </si>
  <si>
    <t>Control Fire - 1.25%</t>
  </si>
  <si>
    <t>Oakland Linen - 1.25%</t>
  </si>
  <si>
    <t>Vecmar - 1.75%</t>
  </si>
  <si>
    <t xml:space="preserve">Direct </t>
  </si>
  <si>
    <t xml:space="preserve">Justin 5% of upsell (2.5% comm) </t>
  </si>
  <si>
    <t>ACA Transport - 1.25%</t>
  </si>
  <si>
    <t>GVS Hospitality - 1.25%</t>
  </si>
  <si>
    <t>STLM - 1.75%</t>
  </si>
  <si>
    <t>Biaggi - 1.75%</t>
  </si>
  <si>
    <t>ADC &amp; T - 1.75%</t>
  </si>
  <si>
    <t>Essential</t>
  </si>
  <si>
    <t>Rockstar Auto and Collision - 1.75%</t>
  </si>
  <si>
    <t>Acqua Di Mare - 1.75%</t>
  </si>
  <si>
    <t>H&amp;G Investment - 1.25%</t>
  </si>
  <si>
    <t>Perez - 1.75%</t>
  </si>
  <si>
    <t>Creative Caregivers - 1.75%</t>
  </si>
  <si>
    <t>JA&amp;D auto detailing - 1.75%</t>
  </si>
  <si>
    <t>Twisted G - 1.25%</t>
  </si>
  <si>
    <t>Reflection of You - 1.75%</t>
  </si>
  <si>
    <t>Rea Homes - 1.25%</t>
  </si>
  <si>
    <t xml:space="preserve">Justin 5% of upsell (7% comm) </t>
  </si>
  <si>
    <t>Victory Lane Motorcars - 1.75%</t>
  </si>
  <si>
    <t>Malt &amp; B - 1.25%</t>
  </si>
  <si>
    <t>Colorado Custom Carpet - 1.75%</t>
  </si>
  <si>
    <t>Penson and Green Security - 1.75%</t>
  </si>
  <si>
    <t>Edgar Flores - 1.75%</t>
  </si>
  <si>
    <t>Williamson Builders - 1.75%</t>
  </si>
  <si>
    <t>US Coachways  - 1.25%</t>
  </si>
  <si>
    <t>UW Coachways - 1.25%</t>
  </si>
  <si>
    <t>Samson west</t>
  </si>
  <si>
    <t>Titan Shoring - 1.25%</t>
  </si>
  <si>
    <t>Yarrow</t>
  </si>
  <si>
    <t>Riverside Meats - 1.25%</t>
  </si>
  <si>
    <t>Evolution Parking - 1.75%</t>
  </si>
  <si>
    <t>Stewart Automotive Group - 1.75%</t>
  </si>
  <si>
    <t>Paxton &amp; Associates - 1.75%</t>
  </si>
  <si>
    <t>Tri-Cities IT - 1.25%</t>
  </si>
  <si>
    <t>Unique Candies - 1.25%</t>
  </si>
  <si>
    <t>DIIBS Specialist - 1.25%</t>
  </si>
  <si>
    <t>Stripe A Lot - 1.25%</t>
  </si>
  <si>
    <t>Glazer / Samson</t>
  </si>
  <si>
    <t>NSI Construction - 1.25%</t>
  </si>
  <si>
    <t>Off Book</t>
  </si>
  <si>
    <t>Elephant Building Materials - 1.75%</t>
  </si>
  <si>
    <t xml:space="preserve">Justin 5% of upsell (11% comm) </t>
  </si>
  <si>
    <t>Barber</t>
  </si>
  <si>
    <t>Pipe ED - 1.25%</t>
  </si>
  <si>
    <t>JP Transporation Co - 1.25%</t>
  </si>
  <si>
    <t>Native Plumbing - 1.25%</t>
  </si>
  <si>
    <t>Gripon Group - 1.25%</t>
  </si>
  <si>
    <t>Cellini Group - 1.75%</t>
  </si>
  <si>
    <t>Constructora - 1.75%</t>
  </si>
  <si>
    <t>The Comfy Belly - 1.75%</t>
  </si>
  <si>
    <t>Triplett Brothers - 1.75%</t>
  </si>
  <si>
    <t>ANC - 1.25%</t>
  </si>
  <si>
    <t>Luciani Pump - 1.75%</t>
  </si>
  <si>
    <t>Bailey European  - 1.25%</t>
  </si>
  <si>
    <t>Blackwater Structures - 1.75%</t>
  </si>
  <si>
    <t>La Original Tortilla - 1.75%</t>
  </si>
  <si>
    <t>Afka - 1.25%</t>
  </si>
  <si>
    <t>Triple R Custom Homes - 1.75%</t>
  </si>
  <si>
    <t>Jarvis - 1.75%</t>
  </si>
  <si>
    <t>Open Market Enterprises - 1.75%</t>
  </si>
  <si>
    <t>C and R Repair - 1.75%</t>
  </si>
  <si>
    <t>Snyder Manufactring - 1.25%</t>
  </si>
  <si>
    <t>Tedder Equipment of Northeast - 1.75%</t>
  </si>
  <si>
    <t>Creekside Auto Sales - 1.75%</t>
  </si>
  <si>
    <t>TD Sports - 1.75%</t>
  </si>
  <si>
    <t>Shane's Air Conditioning - 1.75%</t>
  </si>
  <si>
    <t>MC Land &amp; Property - 1.25%</t>
  </si>
  <si>
    <t>Lets Roll Roll - 1.25%</t>
  </si>
  <si>
    <t>Southern Star Building - 1.75%</t>
  </si>
  <si>
    <t>Washington Fat Angelos - 1.75%</t>
  </si>
  <si>
    <t>PA Epoxy - 1.75%</t>
  </si>
  <si>
    <t>Minutu Coffee - 1.25%</t>
  </si>
  <si>
    <t>Powerhouse Roofing - 1.25%</t>
  </si>
  <si>
    <t>All One Landscapping - 1.75%</t>
  </si>
  <si>
    <t>Structures Northwest - 1.25%</t>
  </si>
  <si>
    <t>SunnyMac - 1.75%</t>
  </si>
  <si>
    <t>EMC</t>
  </si>
  <si>
    <t>Bulldog Roofing - 1.25%</t>
  </si>
  <si>
    <t>Platform/Direct</t>
  </si>
  <si>
    <t xml:space="preserve">Justin 5% of upsell (2% comm) </t>
  </si>
  <si>
    <t>Apex Landscapping - 1.75%</t>
  </si>
  <si>
    <t>LBA Logistics - 1.75%</t>
  </si>
  <si>
    <t>Home and Decor By Alpine - 1.75%</t>
  </si>
  <si>
    <t>Ecuamex - 1.75%</t>
  </si>
  <si>
    <t>JBW - 1.25%</t>
  </si>
  <si>
    <t>Data Network - 1.75%</t>
  </si>
  <si>
    <t>Direct / Guru</t>
  </si>
  <si>
    <t>MP Concrete - 1.75%</t>
  </si>
  <si>
    <t>Postema Marketing Group - 1.75%</t>
  </si>
  <si>
    <t>Empire Technical Fabrication - 1.75%</t>
  </si>
  <si>
    <t>Ready 3 - 1.75%</t>
  </si>
  <si>
    <t>Lilmod - 1.75%</t>
  </si>
  <si>
    <t>Justin/Greg</t>
  </si>
  <si>
    <t>Justin - cap 1%</t>
  </si>
  <si>
    <t>Apparatus Equipment - 1.75%</t>
  </si>
  <si>
    <t>Loving Heats Hospice - 1.75%</t>
  </si>
  <si>
    <t>RJP - 1.25%</t>
  </si>
  <si>
    <t>311 Auto - 1.25%</t>
  </si>
  <si>
    <t>Skema Courier - 1.75%</t>
  </si>
  <si>
    <t>Centennial Concrete - 1.75%</t>
  </si>
  <si>
    <t>Regional Roofing - 1.75%</t>
  </si>
  <si>
    <t>Discover Casting - 1.25%</t>
  </si>
  <si>
    <t>Shamrock Overhead Door - 1.75%</t>
  </si>
  <si>
    <t>Jones &amp; Son Logging - 1.75%</t>
  </si>
  <si>
    <t>Gladiator Roofing and Restoration - 1.25%</t>
  </si>
  <si>
    <t>TCG - 1.75%</t>
  </si>
  <si>
    <t>Canyon Creek Builders - 1.75%</t>
  </si>
  <si>
    <t>Renorelo - 1.75%</t>
  </si>
  <si>
    <t>Tox USA - 1.25%</t>
  </si>
  <si>
    <t>Tox USA - 1.75%</t>
  </si>
  <si>
    <t>MISSED 06/2024</t>
  </si>
  <si>
    <t>Ox and Son - 1.25%</t>
  </si>
  <si>
    <t>MISSED 5/2/24</t>
  </si>
  <si>
    <t>Medical Centre of Lehigh Acres - 1.75%</t>
  </si>
  <si>
    <t>Greenhouses Hotel - 1.25%</t>
  </si>
  <si>
    <t>Andaman / Thai Garden - 1.25%</t>
  </si>
  <si>
    <t>REI Steel - 1.75%</t>
  </si>
  <si>
    <t>J&amp;J Harvest - 1.75%</t>
  </si>
  <si>
    <t>Marbach Properties - 1.75%</t>
  </si>
  <si>
    <t>Roger Hemming - 1.75%</t>
  </si>
  <si>
    <t>Cavaliar Transport - 1.75%</t>
  </si>
  <si>
    <t>Sales Transformation - 1.75%</t>
  </si>
  <si>
    <t>Urbane Flooring - 1.75%</t>
  </si>
  <si>
    <t>Providia Management - 1.75%</t>
  </si>
  <si>
    <t>New Generation Concrete - 1.75%</t>
  </si>
  <si>
    <t>Phoenix Marketing - 1.75%</t>
  </si>
  <si>
    <t>Bob Russell Trucking - 1.75%</t>
  </si>
  <si>
    <t>DOK / KZY - 1.25%</t>
  </si>
  <si>
    <t>Techoled - 1.75%</t>
  </si>
  <si>
    <t>Guardians Security Services - 1.25%</t>
  </si>
  <si>
    <t>Production Plus Technologies - 1.75%</t>
  </si>
  <si>
    <t>Eaglestone Landscaping - 1.75%</t>
  </si>
  <si>
    <t>CNF Services - 1.75%</t>
  </si>
  <si>
    <t>Brookes Enterprises - 1.75%</t>
  </si>
  <si>
    <t>Jerry's Sports Service - 1.25%</t>
  </si>
  <si>
    <t>Trelzo - 1.75%</t>
  </si>
  <si>
    <t>Busted Bra - 1.25%</t>
  </si>
  <si>
    <t>JCS Systems / A &amp; MS - 1.75%</t>
  </si>
  <si>
    <t>Brannon's Porta Pot Rentals - 1.75%</t>
  </si>
  <si>
    <t>Hale Industries - 1.25%</t>
  </si>
  <si>
    <t>Nuvision - 1.75%</t>
  </si>
  <si>
    <t>Jakes' Steakhouse - 1.25%</t>
  </si>
  <si>
    <t xml:space="preserve">Loanability </t>
  </si>
  <si>
    <t>Frontline Steel Structurres - 1.25%</t>
  </si>
  <si>
    <t>New - Add on</t>
  </si>
  <si>
    <t>Mister Window - 1.25%</t>
  </si>
  <si>
    <t>3RC General Contracting - 1.75%</t>
  </si>
  <si>
    <t>369 Logistcis Management - 1.25%</t>
  </si>
  <si>
    <t>Gunhand Welding - 1.75%</t>
  </si>
  <si>
    <t>Midwest Rail - 1.25%</t>
  </si>
  <si>
    <t>Pinnacle Property - 1.25%</t>
  </si>
  <si>
    <t>Titan Construction Management - 1.75%</t>
  </si>
  <si>
    <t>Triple 7 Construction - 1.75%</t>
  </si>
  <si>
    <t>Micronet - 1.75%</t>
  </si>
  <si>
    <t>JIS Measurement &amp; Operating - 1.75%</t>
  </si>
  <si>
    <t>Castro Custom - 1.75%</t>
  </si>
  <si>
    <t>JKWC - 1.75%</t>
  </si>
  <si>
    <t>Apex Pavers - 1.25%</t>
  </si>
  <si>
    <t>Melodia - 1.25%</t>
  </si>
  <si>
    <t>Apex Medical - 1.25%</t>
  </si>
  <si>
    <t>US Protection / Sorrento Acquisitions - 1.75%</t>
  </si>
  <si>
    <t>Munster Drywall - 1.25%</t>
  </si>
  <si>
    <t>Brothers Transportaiton - 1.25%</t>
  </si>
  <si>
    <t>Lead Mechanical - 1.75%</t>
  </si>
  <si>
    <t>Henry Acres - 1.75%</t>
  </si>
  <si>
    <t>Analgesic - 1.75%</t>
  </si>
  <si>
    <t>Flecto - 1.25%</t>
  </si>
  <si>
    <t>Concrete basement walls - 1.75%</t>
  </si>
  <si>
    <t>Woodstown - 1.75%</t>
  </si>
  <si>
    <t>Muvall - 1.25%</t>
  </si>
  <si>
    <t>Arc City - 1.25%</t>
  </si>
  <si>
    <t>Premier Reimbursement - 1.25%</t>
  </si>
  <si>
    <t>Regal - 1.75%</t>
  </si>
  <si>
    <t>CFI</t>
  </si>
  <si>
    <t>Grip Automotive - 1.75%</t>
  </si>
  <si>
    <t>Jettsyn - 1.75%</t>
  </si>
  <si>
    <t>Patrick Tirado Concrete - 1.75%</t>
  </si>
  <si>
    <t>Avanti - 1.75%</t>
  </si>
  <si>
    <t>Guardian Security Services - 1.25%</t>
  </si>
  <si>
    <t>Luzis Cleaning - 1.75%</t>
  </si>
  <si>
    <t>La Vie Restaurant - 1.75%</t>
  </si>
  <si>
    <t>Lowell Martin - 1.25%</t>
  </si>
  <si>
    <t>Sheboygan - 1.75%</t>
  </si>
  <si>
    <t>RSE Associates - 1.75%</t>
  </si>
  <si>
    <t>Iver Construction - 1.75%</t>
  </si>
  <si>
    <t>MII Aero - 1.75%</t>
  </si>
  <si>
    <t>Pot Express - 1.25%</t>
  </si>
  <si>
    <t xml:space="preserve">Justin 5% of upsell (1% comm) </t>
  </si>
  <si>
    <t>RJP Repair - 1.25%</t>
  </si>
  <si>
    <t>SC Concrete - 1.75%</t>
  </si>
  <si>
    <t>Walker Auctions - 1.75%</t>
  </si>
  <si>
    <t>Direct / Platform</t>
  </si>
  <si>
    <t>Clair Concrete - 1.75%</t>
  </si>
  <si>
    <t>Contractors Glass - 1.25%</t>
  </si>
  <si>
    <t>Atlantic Asphalt Paving - 1.75%</t>
  </si>
  <si>
    <t>2ck Custom Concrete - 1.25%</t>
  </si>
  <si>
    <t>Riptide Restaurants - 1.25%</t>
  </si>
  <si>
    <t>Yummy - 1.75%</t>
  </si>
  <si>
    <t>Abercrombie Underground - 1.25%</t>
  </si>
  <si>
    <t>JCS Systems - 1.75%</t>
  </si>
  <si>
    <t>RFM Retail - 1.75%</t>
  </si>
  <si>
    <t>American Vets Abatement - 1.25%</t>
  </si>
  <si>
    <t>A Vets Demo - 1.75%</t>
  </si>
  <si>
    <t>Silas - 1.75%</t>
  </si>
  <si>
    <t>Latino Roofing - 1.75%</t>
  </si>
  <si>
    <t>Ignis Design - 1.25%</t>
  </si>
  <si>
    <t>Eaglestone Landscapping - 1.75%</t>
  </si>
  <si>
    <t xml:space="preserve">VIking </t>
  </si>
  <si>
    <t>Bradan Coachworks - 1.25%</t>
  </si>
  <si>
    <t>Bingo Builders - 1.75%</t>
  </si>
  <si>
    <t>Collaboration Software Partners - 1.75%</t>
  </si>
  <si>
    <t>Ritu - 1.75%</t>
  </si>
  <si>
    <t>Alsibai - 1.75%</t>
  </si>
  <si>
    <t>Big Jay's Sign and Shirt - 1.75%</t>
  </si>
  <si>
    <t>D&amp;T Farms - 1.25%</t>
  </si>
  <si>
    <t>A Lotta Bull - 1.75%</t>
  </si>
  <si>
    <t>J&amp;S Waterproofing - 1.25%</t>
  </si>
  <si>
    <t>MWW Services - 1.25%</t>
  </si>
  <si>
    <t>MNC Electric - 1.75%</t>
  </si>
  <si>
    <t>Miner Investments - 1.25%</t>
  </si>
  <si>
    <t>JDN Property - 1.75%</t>
  </si>
  <si>
    <t>Whitley Welding Company - 1.75%</t>
  </si>
  <si>
    <t>Thriving Home Care - 1.25%</t>
  </si>
  <si>
    <t>Welch Construction - 1.75%</t>
  </si>
  <si>
    <t>Button Brand Veterinary Clininc - 1.75%</t>
  </si>
  <si>
    <t>Elyon Enterprise Strategies - 1.75%</t>
  </si>
  <si>
    <t>Henson Heating and Cooling - 1.75%</t>
  </si>
  <si>
    <t>DSRM - 1.75%</t>
  </si>
  <si>
    <t>American Kart - 1.75%</t>
  </si>
  <si>
    <t>Pristine Plumbing - 1.75%</t>
  </si>
  <si>
    <t>Internationa Protective Services - 1.25%</t>
  </si>
  <si>
    <t>Pioneer One - 1.75%</t>
  </si>
  <si>
    <t>Greenways Clearing &amp; Grading - 1.75%</t>
  </si>
  <si>
    <t>Paraierie Exteriors &amp; Painting - 1.75%</t>
  </si>
  <si>
    <t>Summit Signal - 1.75%</t>
  </si>
  <si>
    <t>Compas Conrete - 1.75%</t>
  </si>
  <si>
    <t>National Construction Management  - 1.25%</t>
  </si>
  <si>
    <t>Bylt - 1.75%</t>
  </si>
  <si>
    <t>Compassionate Heart Services - 1.25%</t>
  </si>
  <si>
    <t>Gift Basket - 1.25%</t>
  </si>
  <si>
    <t>GNLC Shipping - 1.75%</t>
  </si>
  <si>
    <t>The Bright Pursuit - 1.75%</t>
  </si>
  <si>
    <t>Quality Roadside Service - 1.25%</t>
  </si>
  <si>
    <t>No Net</t>
  </si>
  <si>
    <t>Linder Caster and Truck - 1.25%</t>
  </si>
  <si>
    <t>David L Brooks Hauling - 1.75%</t>
  </si>
  <si>
    <t>Remblake Builders - 1.75%</t>
  </si>
  <si>
    <t>Myers Company Architectural - 1.25%</t>
  </si>
  <si>
    <t>Dind Enterprises - 1.75%</t>
  </si>
  <si>
    <t>Coastal Paving and Excavation - 1.75%</t>
  </si>
  <si>
    <t>Affordable Environmental - 1.75%</t>
  </si>
  <si>
    <t>Advantage Electric - 1.25%</t>
  </si>
  <si>
    <t>Motor City - 1.75%</t>
  </si>
  <si>
    <t>Liberty Behavorial - 1.75%</t>
  </si>
  <si>
    <t>Platform / Direct</t>
  </si>
  <si>
    <t>Northeastern Metro Abstract - 1.75%</t>
  </si>
  <si>
    <t>Molina Directional Drilling - 1.75%</t>
  </si>
  <si>
    <t>Reliance Concrete - 1.75%</t>
  </si>
  <si>
    <t>First Union</t>
  </si>
  <si>
    <t>Flavors Cuisine - 1.75%</t>
  </si>
  <si>
    <t>Casco Plumbing - 1.75%</t>
  </si>
  <si>
    <t>Whiskey Business - 1.75%</t>
  </si>
  <si>
    <t>Bailey European - 1.25%</t>
  </si>
  <si>
    <t>Cardosos Cleaning - 1.75%</t>
  </si>
  <si>
    <t>Zanco Sales - 1.25%</t>
  </si>
  <si>
    <t>Conare - 1.75%</t>
  </si>
  <si>
    <t>Wallberg - 1.75%</t>
  </si>
  <si>
    <t>SSI Pest - 1.75%</t>
  </si>
  <si>
    <t>Perfect Wellness - 1.25%</t>
  </si>
  <si>
    <t>National Maintenance - 1.75%</t>
  </si>
  <si>
    <t>Walts Automotive - 1.25%</t>
  </si>
  <si>
    <t>WA Arnold - 1.25%</t>
  </si>
  <si>
    <t>All American Towing - 1.25%</t>
  </si>
  <si>
    <t>Crump Enterprises - 1.75%</t>
  </si>
  <si>
    <t>Bob's Asphalt and Paving - 1.75%</t>
  </si>
  <si>
    <t>Personal Touch Events - 1.75%</t>
  </si>
  <si>
    <t>Robert White's Construction - 1.75%</t>
  </si>
  <si>
    <t>Loanablity</t>
  </si>
  <si>
    <t>Williams Family RV - 1.25%</t>
  </si>
  <si>
    <t>Studianos - 1.25%</t>
  </si>
  <si>
    <t>Packline Technologies - 1.75%</t>
  </si>
  <si>
    <t>Keystone Granite - 1.75%</t>
  </si>
  <si>
    <t>R&amp;C Consulting - 1.75%</t>
  </si>
  <si>
    <t>Tri City Roofing - 1.25%</t>
  </si>
  <si>
    <t>Pavemaster Asphalt - 1.25%</t>
  </si>
  <si>
    <t>StaffNow - 1.75%</t>
  </si>
  <si>
    <t>Steve's Meats - 1.25%</t>
  </si>
  <si>
    <t>PortableDevice - 1.75%</t>
  </si>
  <si>
    <t>LOS Outreach Services - 1.75%</t>
  </si>
  <si>
    <t>Alamo - 1.75%</t>
  </si>
  <si>
    <t>GGL Properties - 1.25%</t>
  </si>
  <si>
    <t>Raybrook Homes - 1.75%</t>
  </si>
  <si>
    <t>Capitol Investments Consultants - 1.25%</t>
  </si>
  <si>
    <t>Wells Sweeping - 1.75%</t>
  </si>
  <si>
    <t xml:space="preserve">Justin rev share </t>
  </si>
  <si>
    <t>Pikes Peak - 1.75%</t>
  </si>
  <si>
    <t>Gozal - 1.25%</t>
  </si>
  <si>
    <t>JA&amp;D Auto Detailing - 1.25%</t>
  </si>
  <si>
    <t>Vinson Shuler - 1.25%</t>
  </si>
  <si>
    <t>La Pizzaria Restaurant - 1.25%</t>
  </si>
  <si>
    <t>Big Renovations - 1.75%</t>
  </si>
  <si>
    <t>Valley Fire - 1.25%</t>
  </si>
  <si>
    <t>American Kart Holdings - 1.75%</t>
  </si>
  <si>
    <t>Bubbas Automotive - 1.75%</t>
  </si>
  <si>
    <t>Taub / Hueneme Veterinary - 1.75%</t>
  </si>
  <si>
    <t>Casa De Campo - 1.75%</t>
  </si>
  <si>
    <t>E&amp;S Hauling - 1.25%</t>
  </si>
  <si>
    <t>Bradley Mechanical - 1.25%</t>
  </si>
  <si>
    <t>Mininger - 1.25%</t>
  </si>
  <si>
    <t>Krieger Korp - 1.75%</t>
  </si>
  <si>
    <t>Compass Framing &amp; Drywall - 1.75%</t>
  </si>
  <si>
    <t>Westcoastautoauction - 1.75%</t>
  </si>
  <si>
    <t>Riverwoods Construction - 1.75%</t>
  </si>
  <si>
    <t>Gables Roofing - 1.75%</t>
  </si>
  <si>
    <t>clawback</t>
  </si>
  <si>
    <t>National Limousine - 1.75%</t>
  </si>
  <si>
    <t>Bob Russell Trucking - 1.25%</t>
  </si>
  <si>
    <t>Global Warehousing &amp; Logistics - 1.75%</t>
  </si>
  <si>
    <t>Thunderbird Commodities - 1.75%</t>
  </si>
  <si>
    <t>Facundo Home Builder / Facundo Investments - 1.75%</t>
  </si>
  <si>
    <t>CTC Ground - 1.75%</t>
  </si>
  <si>
    <t>Horses and Hounds - 1.25%</t>
  </si>
  <si>
    <t>Southern Peak Auto Body - 1.75%</t>
  </si>
  <si>
    <t>Havana 86 - 1.75%</t>
  </si>
  <si>
    <t>Nutrition Solutions - 1.75%</t>
  </si>
  <si>
    <t>Mexican Burrito - 1.25%</t>
  </si>
  <si>
    <t>Joe's Gutter - 1.75%</t>
  </si>
  <si>
    <t>Firefly - 1.25%</t>
  </si>
  <si>
    <t>3PL Business - 1.75%</t>
  </si>
  <si>
    <t>Jamie James Motor - 1.25% (missed 1)</t>
  </si>
  <si>
    <t>Missed</t>
  </si>
  <si>
    <t>Jamie James Motor - 1.25% (missed 2)</t>
  </si>
  <si>
    <t>Jamie James Motor - 1.25% (missed 3)</t>
  </si>
  <si>
    <t xml:space="preserve">Jamie James Motor - 1.25% </t>
  </si>
  <si>
    <t>A&amp;Y Landscapping - 1.75%</t>
  </si>
  <si>
    <t>Nance Corp - 1.75%</t>
  </si>
  <si>
    <t>Shine Transporation - 1.75%</t>
  </si>
  <si>
    <t>Espinoza Cable - 1.75%</t>
  </si>
  <si>
    <t>4315 Machester Rd - 1.75%</t>
  </si>
  <si>
    <t>Incomm Summits - 1.25%</t>
  </si>
  <si>
    <t>Cafe Vico - 1.25%</t>
  </si>
  <si>
    <t>Barrow Construction - 1.75%</t>
  </si>
  <si>
    <t>Bloomfields / R&amp;M Bagels - 1.25%</t>
  </si>
  <si>
    <t>Advantage Marketing - 1.75%</t>
  </si>
  <si>
    <t>DC Roofing - 1.75%</t>
  </si>
  <si>
    <t>Saffioti Pool - 1.75%</t>
  </si>
  <si>
    <t>Eminet Contracting - 1.75%</t>
  </si>
  <si>
    <t>Blue Lake Utility - 1.25%</t>
  </si>
  <si>
    <t>G/C Construction Group - 1.25%</t>
  </si>
  <si>
    <t>Woodside Construction - 1.75%</t>
  </si>
  <si>
    <t>Curry Excavation - 1.25%</t>
  </si>
  <si>
    <t>Richmond</t>
  </si>
  <si>
    <t>3TS Services - 1.75%</t>
  </si>
  <si>
    <t>Living with Purpose of Missouri - 1.75%</t>
  </si>
  <si>
    <t>Canyon Falls Business - 1.25%</t>
  </si>
  <si>
    <t>V Vid Painting - 1.75%</t>
  </si>
  <si>
    <t>All For You Pavers - 1.75%</t>
  </si>
  <si>
    <t>K Single Corp - 1.25%</t>
  </si>
  <si>
    <t>Summit Truck and Autobody - 1.75%</t>
  </si>
  <si>
    <t>Blackbeards - 1.25%</t>
  </si>
  <si>
    <t>ICU Recovery - 1.75%</t>
  </si>
  <si>
    <t>Criterion Edge - 1.25%</t>
  </si>
  <si>
    <t>J&amp;R Sundberg - 1.25%</t>
  </si>
  <si>
    <t>Elite Marble - 1.75%</t>
  </si>
  <si>
    <t>Growing Stronger Housing - 1.75%</t>
  </si>
  <si>
    <t>Premier</t>
  </si>
  <si>
    <t>Canga Restoration - 1.75%</t>
  </si>
  <si>
    <t>Cheri K Lewis Engineers - 1.75%</t>
  </si>
  <si>
    <t>Kinectic Energy Services - 1.75%</t>
  </si>
  <si>
    <t>Highway Rehabilitation - 1.25%</t>
  </si>
  <si>
    <t>Universal Power and Control - 1.25%</t>
  </si>
  <si>
    <t>Fersch - 1.25%</t>
  </si>
  <si>
    <t>Martinez Grease and Oil Recycling - 1.75%</t>
  </si>
  <si>
    <t>Mikes Unique Collectable - 1.75%</t>
  </si>
  <si>
    <t>Let's Roll - 1.25%</t>
  </si>
  <si>
    <t>Renew - Add on</t>
  </si>
  <si>
    <t>TM KM - 1.25%</t>
  </si>
  <si>
    <t>GAC Enterprises - 1.75%</t>
  </si>
  <si>
    <t>Halwani Cuisine - 1.75%</t>
  </si>
  <si>
    <t>Solo Motorsports - 1.75%</t>
  </si>
  <si>
    <t>Paris Heating - 1.25%</t>
  </si>
  <si>
    <t>Rapid Reload - 1.25%</t>
  </si>
  <si>
    <t>Tav Pratville - 1.25%</t>
  </si>
  <si>
    <t>Midwest Railroad - 1.75%</t>
  </si>
  <si>
    <t>S.E. Buildcorp - 1.75%</t>
  </si>
  <si>
    <t>5M - 1.25%</t>
  </si>
  <si>
    <t>Yard Barbour - 1.25%</t>
  </si>
  <si>
    <t>TCB Automation - 1.75%</t>
  </si>
  <si>
    <t>Enertech - 1.75%</t>
  </si>
  <si>
    <t>JAT Trucking - 1.25%</t>
  </si>
  <si>
    <t>Smith Grain - 1.75%</t>
  </si>
  <si>
    <t>Photo Electric - 1.75%</t>
  </si>
  <si>
    <t>State Roofing - 1.75%</t>
  </si>
  <si>
    <t>Precision Powered Products - 1.25%</t>
  </si>
  <si>
    <t>Muradu - 1.75%</t>
  </si>
  <si>
    <t>Absolute Transportation - 1.25%</t>
  </si>
  <si>
    <t>KRHX3 Developement - 1.75%</t>
  </si>
  <si>
    <t>Eugene Specker - 1.25%</t>
  </si>
  <si>
    <t>Smart Painting - 1.75%</t>
  </si>
  <si>
    <t>1st Choice Commercial and Residential - 1.75%</t>
  </si>
  <si>
    <t>Lancaster Beauty - 1.25%</t>
  </si>
  <si>
    <t>Shirt The City Printing - 1.75%</t>
  </si>
  <si>
    <t>Solar Maintenence Pros - 1.75%</t>
  </si>
  <si>
    <t>Premier Cap</t>
  </si>
  <si>
    <t>MAD Superior - 1.25%</t>
  </si>
  <si>
    <t>Avanti Truck Line - 1.75%</t>
  </si>
  <si>
    <t>Eagle Grace Health - 1.75%</t>
  </si>
  <si>
    <t>Avery Family Construction - 1.25%</t>
  </si>
  <si>
    <t>Glovers Welding - 1.75%</t>
  </si>
  <si>
    <t>Sidor Staffing - 1.75%</t>
  </si>
  <si>
    <t>Elite Construction - 1.75%</t>
  </si>
  <si>
    <t>Precision Cams - 1.75%</t>
  </si>
  <si>
    <t>Black Water Structures - 1.25%</t>
  </si>
  <si>
    <t>Diamond Brand - 1.75%</t>
  </si>
  <si>
    <t>Slate Performance - 1.25%</t>
  </si>
  <si>
    <t>Forum Brands - 1.75%</t>
  </si>
  <si>
    <t xml:space="preserve">Justin rev share Renew. Gurus $15k syn </t>
  </si>
  <si>
    <t>Go to guys construction - 1.25%</t>
  </si>
  <si>
    <t>R &amp; W Timber Resources - 1.75%</t>
  </si>
  <si>
    <t>Bills Automotive - 1.25%</t>
  </si>
  <si>
    <t>Montealegre Finazas - 1.25%</t>
  </si>
  <si>
    <t>Little Treasures - 1.25%</t>
  </si>
  <si>
    <t>Maine Family Services - 1.75%</t>
  </si>
  <si>
    <t>Cedar Cliff Pizza - 1.75%</t>
  </si>
  <si>
    <t>Landcare - 1.25%</t>
  </si>
  <si>
    <t>Ericson Construction - 1.75%</t>
  </si>
  <si>
    <t>Custom Home - 1.25%</t>
  </si>
  <si>
    <t>Learning Ladders - 1.25%</t>
  </si>
  <si>
    <t>Angels of Care - 1.75%</t>
  </si>
  <si>
    <t>Erica Diaz - 1.25%</t>
  </si>
  <si>
    <t>Williamson Builders - 1.25%</t>
  </si>
  <si>
    <t>Compliance Solutions - 1.25%</t>
  </si>
  <si>
    <t>Liberty Window - 1.25%</t>
  </si>
  <si>
    <t>Tayso Homes - 1.75%</t>
  </si>
  <si>
    <t>Menelas Enterprises - 1.75%</t>
  </si>
  <si>
    <t>Cexperts - 1.75%</t>
  </si>
  <si>
    <t>Resource Contracting - 1.25%</t>
  </si>
  <si>
    <t>Erie Shore Car - 1.75%</t>
  </si>
  <si>
    <t>Granitex - 1.75%</t>
  </si>
  <si>
    <t xml:space="preserve">Justin rev share. Gurus $15k syn </t>
  </si>
  <si>
    <t>Advanced DME - 1.25%</t>
  </si>
  <si>
    <t>Asscher Grace - 1.25%</t>
  </si>
  <si>
    <t>Stem Solutions - 1.25%</t>
  </si>
  <si>
    <t>Braga General Contractor - 1.25%</t>
  </si>
  <si>
    <t>Great Lakes - 1.25%</t>
  </si>
  <si>
    <t>R and M Enterprises - 1.25%</t>
  </si>
  <si>
    <t>Renew - PIF</t>
  </si>
  <si>
    <t>Exchange Custom Homes - 1.75%</t>
  </si>
  <si>
    <t>Jusitn Renew</t>
  </si>
  <si>
    <t>Bailey Building - 1.25%</t>
  </si>
  <si>
    <t>Advance Tree Pros - 1.75%</t>
  </si>
  <si>
    <t>Roberts Signs - 1.75%</t>
  </si>
  <si>
    <t>C and R Repair - 1.25%</t>
  </si>
  <si>
    <t>DK Express - 1.25%</t>
  </si>
  <si>
    <t>Giant Development - 1.75%</t>
  </si>
  <si>
    <t>Wolverine Metal Stamping - 1.25%</t>
  </si>
  <si>
    <t>LBA Logistics - 1.25%</t>
  </si>
  <si>
    <t>Bains Service Center - 1.75%</t>
  </si>
  <si>
    <t>Finley Interests - 1.25%</t>
  </si>
  <si>
    <t>Davoody Brush Removal - 1.75%</t>
  </si>
  <si>
    <t>Ez Hps Services - 1.75%</t>
  </si>
  <si>
    <t>Huckins Contruction - 1.75%</t>
  </si>
  <si>
    <t>Tru-Eco - 1.25%</t>
  </si>
  <si>
    <t>Suwanne Iron Works - 1.75%</t>
  </si>
  <si>
    <t>3PL - 1.75%</t>
  </si>
  <si>
    <t>Myers Company - 1.25%</t>
  </si>
  <si>
    <t>Alexander Plumbing - 1.75%</t>
  </si>
  <si>
    <t>Schocks Holding / Tillford Towing - 1.25%</t>
  </si>
  <si>
    <t>Honey Dental - 1.25%</t>
  </si>
  <si>
    <t>Personal Touch - 1.75%</t>
  </si>
  <si>
    <t>KRHX3 Development - 1.75%</t>
  </si>
  <si>
    <t>Cosmic Comfort / Jantz Electrical - 1.75%</t>
  </si>
  <si>
    <t>Dubose Trucking - 1.25%</t>
  </si>
  <si>
    <t>Tracy Grading - 1.75%</t>
  </si>
  <si>
    <t>Thermal Technology - 1.75%</t>
  </si>
  <si>
    <t>Chicken Kebab - 1.75%</t>
  </si>
  <si>
    <t>Asc Creations Landscapping - 1.75%</t>
  </si>
  <si>
    <t>Pinpoint Pest - 1.75%</t>
  </si>
  <si>
    <t>SSI Pest Arrest - 1.75%</t>
  </si>
  <si>
    <t>HH Express - 1.75%</t>
  </si>
  <si>
    <t>R&amp;M Collission / Miller &amp; Ringley - 1.25%</t>
  </si>
  <si>
    <t>Comfort CEC - 1.75%</t>
  </si>
  <si>
    <t>Rhino Homes - 1.75%</t>
  </si>
  <si>
    <t>Cross SI - 1.25%</t>
  </si>
  <si>
    <t>Vigilant Anesthesia - 1.25%</t>
  </si>
  <si>
    <t>Minuti Coffee - 1.25%</t>
  </si>
  <si>
    <t>American Rumble - 1.75%</t>
  </si>
  <si>
    <t>Bennett Brothers Printing - 1.25%</t>
  </si>
  <si>
    <t>DSRM - 1.25%</t>
  </si>
  <si>
    <t>ACS - 1.75%</t>
  </si>
  <si>
    <t>AFFE / Blue Monarch Financial - 1.75%</t>
  </si>
  <si>
    <t>Prestige Builders - 1.25%</t>
  </si>
  <si>
    <t>VV Group - 1.75%</t>
  </si>
  <si>
    <t>Safework - 1.75%</t>
  </si>
  <si>
    <t>Peacock Theraputic School - 1.75%</t>
  </si>
  <si>
    <t>Glass City Auto Center - 1.75%</t>
  </si>
  <si>
    <t>1st Choice Commerical - 1.75%</t>
  </si>
  <si>
    <t>Roo's Heating, Air Conditioning - 1.75%</t>
  </si>
  <si>
    <t>ANC Movers - 1.25%</t>
  </si>
  <si>
    <t>RC Demolition - 1.75%</t>
  </si>
  <si>
    <t>Morelly Logistics - 1.75%</t>
  </si>
  <si>
    <t>Stone Haven Services - 1.75%</t>
  </si>
  <si>
    <t>MC Land &amp; Properties - 1.25%</t>
  </si>
  <si>
    <t>Veteran Equipment - 1.25%</t>
  </si>
  <si>
    <t>Baccari Bloodstock - 1.75%</t>
  </si>
  <si>
    <t>Reclamation By Design - 1.75%</t>
  </si>
  <si>
    <t>Patriots Choice - 1.75%</t>
  </si>
  <si>
    <t>Lakeside - 1.25%</t>
  </si>
  <si>
    <t>RAS Data Services - 1.75%</t>
  </si>
  <si>
    <t>Azores Concrete - 1.75%</t>
  </si>
  <si>
    <t>US Bus Charter &amp; Limo - 1.25%</t>
  </si>
  <si>
    <t>AP Modular - 1.25%</t>
  </si>
  <si>
    <t>RD3 - 1.25%</t>
  </si>
  <si>
    <t>EG's Built - 1.75%</t>
  </si>
  <si>
    <t>Velocity Ammunition - 1.25%</t>
  </si>
  <si>
    <t>Oak Ridge - 1.25%</t>
  </si>
  <si>
    <t>James Gray Sales - 1.25%</t>
  </si>
  <si>
    <t>Cervantes Group - 1.25%</t>
  </si>
  <si>
    <t>Diverse Masonry - 1.75%</t>
  </si>
  <si>
    <t>A to Z Property - 1.75%</t>
  </si>
  <si>
    <t>HSJ Excavation - 1.25%</t>
  </si>
  <si>
    <t>Direct / Glazer Samson</t>
  </si>
  <si>
    <t>Elite Medical - 1.75%</t>
  </si>
  <si>
    <t>Madkuhant - 1.25%</t>
  </si>
  <si>
    <t>Compass Framing and Drywall - 1.75%</t>
  </si>
  <si>
    <t>Muradu - 1.25%</t>
  </si>
  <si>
    <t>Miner Investements / Wrightway - 1.25%</t>
  </si>
  <si>
    <t>Dubbs</t>
  </si>
  <si>
    <t>JP Strategic Holdings - 1.75%</t>
  </si>
  <si>
    <t>MIssed from 4/3/25</t>
  </si>
  <si>
    <t>Synergy Crude - 1.25%</t>
  </si>
  <si>
    <t>Overwatch TN Security - 1.25%</t>
  </si>
  <si>
    <t>H&amp;G Investment Group - 1.25%</t>
  </si>
  <si>
    <t>Island Delight Carribean - 1.25%</t>
  </si>
  <si>
    <t>Whitebeck Building &amp; Design - 1.75%</t>
  </si>
  <si>
    <t>New ISO</t>
  </si>
  <si>
    <t>Davoody Brush - 1.75%</t>
  </si>
  <si>
    <t>Renew ISO</t>
  </si>
  <si>
    <t>Vickys of Sante Fe - 1.25%</t>
  </si>
  <si>
    <t>Onyx Capital - 1.25%</t>
  </si>
  <si>
    <t>Renovate Construction - 1.75%</t>
  </si>
  <si>
    <t>Maraos Burgers - 1.25%</t>
  </si>
  <si>
    <t>Chris</t>
  </si>
  <si>
    <t>Complete Welding Solutions - 1.75%</t>
  </si>
  <si>
    <t>Aqua Haven - 1.25%</t>
  </si>
  <si>
    <t>ECC Roofing - 1.25%</t>
  </si>
  <si>
    <t>3TS - 1.75%</t>
  </si>
  <si>
    <t>No Limit Contracting - 1.75%</t>
  </si>
  <si>
    <t>Big Yummy - 1.75%</t>
  </si>
  <si>
    <t>Avast Realty - 1.75%</t>
  </si>
  <si>
    <t>J&amp;P Company - 1.75%</t>
  </si>
  <si>
    <t>C&amp;L Nolt Transport - 1.75%</t>
  </si>
  <si>
    <t>Landrum Resources - 1.25%</t>
  </si>
  <si>
    <t>BJs Restaurant - 1.75%</t>
  </si>
  <si>
    <t>Valor Creations - 1.25%</t>
  </si>
  <si>
    <t>Rainbow Lakes Heat - 1.75%</t>
  </si>
  <si>
    <t xml:space="preserve">                      </t>
  </si>
  <si>
    <t>Smart Cars of Virginia - 1.75%</t>
  </si>
  <si>
    <t>Law Office of Russell Kerr - 1.25%</t>
  </si>
  <si>
    <t>Headflyer - 1.25%</t>
  </si>
  <si>
    <t>GNLC Shipping - 1.25%</t>
  </si>
  <si>
    <t>PES Security - 1.75%</t>
  </si>
  <si>
    <t>Sheboyan Glass - 1.75%</t>
  </si>
  <si>
    <t>Columbia Center for Implants - 1.25%</t>
  </si>
  <si>
    <t>Waypoint Creative - 1.75%</t>
  </si>
  <si>
    <t xml:space="preserve">Clarify </t>
  </si>
  <si>
    <t>RC Specialty Fabrication - 1.75%</t>
  </si>
  <si>
    <t>Brother's Transportation - 1.25%</t>
  </si>
  <si>
    <t>Caulfield Family Auto Sales / Jimmy Smith - 1.75%</t>
  </si>
  <si>
    <t>IFS</t>
  </si>
  <si>
    <t>Liberty Behavorial - 1.25%</t>
  </si>
  <si>
    <t xml:space="preserve">  </t>
  </si>
  <si>
    <t>Law Office of Christopher Mills - 1.25%</t>
  </si>
  <si>
    <t>Jake's Steakhouse - 1.25%</t>
  </si>
  <si>
    <t>Noble Plumbing - 1.75%</t>
  </si>
  <si>
    <t>NexGen Truck &amp; Trailer Parts - 1.75%</t>
  </si>
  <si>
    <t>DM Hope Alliance - 1.25%</t>
  </si>
  <si>
    <t>Avartec - 1.25%</t>
  </si>
  <si>
    <t>Cornerstone Data - 1.75%</t>
  </si>
  <si>
    <t>3871 LLC - 1.25%</t>
  </si>
  <si>
    <t>CMB Healthcare - 1.75%</t>
  </si>
  <si>
    <t>PRC Associates - 1.75%</t>
  </si>
  <si>
    <t>La Salsa - 1.25%</t>
  </si>
  <si>
    <t>Acqua Di Mare - 1.25%</t>
  </si>
  <si>
    <t>Alligned Construction - 1.75%</t>
  </si>
  <si>
    <t>Puget Sound Truck Sales - 1.75%</t>
  </si>
  <si>
    <t>Safeway Van Lines - 1.75%</t>
  </si>
  <si>
    <t>TRC Logistics - 1.75%</t>
  </si>
  <si>
    <t>Martinez Painting - 1.25%</t>
  </si>
  <si>
    <t>Ideal Producers - 1.75%</t>
  </si>
  <si>
    <t>Bridgeline Construction - 1.75%</t>
  </si>
  <si>
    <t>H&amp;S Commercial and Ind - 1.75%</t>
  </si>
  <si>
    <t>SAE Trading - 1.75%</t>
  </si>
  <si>
    <t>Apex Practice Solutions - 1.25%</t>
  </si>
  <si>
    <t xml:space="preserve">Justin rev share Renew. Gurus $20k syn </t>
  </si>
  <si>
    <t>JP Transportation - 1.25%</t>
  </si>
  <si>
    <t>All Tex Land - 1.75%</t>
  </si>
  <si>
    <t>Robert Whites Construction - 1.25%</t>
  </si>
  <si>
    <t>PA Epoxy - 1.25%</t>
  </si>
  <si>
    <t>Roger L Bell - 1.25%</t>
  </si>
  <si>
    <t>Brother's Car Sales - 1.75%</t>
  </si>
  <si>
    <t>Quick Capital</t>
  </si>
  <si>
    <t>Caforio Development - 1.75%</t>
  </si>
  <si>
    <t>JJco 3320 - 1.75%</t>
  </si>
  <si>
    <t>Coup 2012 - 1.75%</t>
  </si>
  <si>
    <t>Biaggi - 1.25%</t>
  </si>
  <si>
    <t>Ricci Law - 1.25%</t>
  </si>
  <si>
    <t>Hawthorne Industries - 1.75%</t>
  </si>
  <si>
    <t>Advance Tree Pros - 1.25%</t>
  </si>
  <si>
    <t>Frickers Cycle - 1.25%</t>
  </si>
  <si>
    <t>Stateline Auto Brokers - 1.75%</t>
  </si>
  <si>
    <t>Jofa Transport - 1.75%</t>
  </si>
  <si>
    <t>Vsquared - 1.75%</t>
  </si>
  <si>
    <t>Blue Dream General - 1.75%</t>
  </si>
  <si>
    <t xml:space="preserve">Samson </t>
  </si>
  <si>
    <t>Luxury Landscape - 1.75%</t>
  </si>
  <si>
    <t>Honesto Peto Group - 1.75%</t>
  </si>
  <si>
    <t>Ruiz Brothers - 1.25%</t>
  </si>
  <si>
    <t>JG Equipment - 1.75%</t>
  </si>
  <si>
    <t>DBF Construction - 1.75%</t>
  </si>
  <si>
    <t>Atlas Excavation - 1.75%</t>
  </si>
  <si>
    <t>World Aerospace - 1.75%</t>
  </si>
  <si>
    <t>Revitalize Alabama - 1.25%</t>
  </si>
  <si>
    <t>Mt Moriah Auto Sales - 1.75%</t>
  </si>
  <si>
    <t>Cross Eyed Cricket - 1.75%</t>
  </si>
  <si>
    <t>WC Clark Homes - 1.25%</t>
  </si>
  <si>
    <t>Headstart Warrenty Group - 1.75%</t>
  </si>
  <si>
    <t>PMF / Nick Channel</t>
  </si>
  <si>
    <t>Revv Elation - 1.75%</t>
  </si>
  <si>
    <t>L J Innovations - 1.25%</t>
  </si>
  <si>
    <t>Jetsyn - 1.25%</t>
  </si>
  <si>
    <t>A Clean Approach - 1.75%</t>
  </si>
  <si>
    <t>Evolution Parking - 1.25%</t>
  </si>
  <si>
    <t>Vicky's of Santa Fe - 1.75%</t>
  </si>
  <si>
    <t>J &amp; R Sundberg - 1.25%</t>
  </si>
  <si>
    <t>La Original Tortilla - 1.25%</t>
  </si>
  <si>
    <t>World Candy Stores - 1.75%</t>
  </si>
  <si>
    <t>Take Two Cafe - 1.75%</t>
  </si>
  <si>
    <t>J &amp; P Company - 1.75%</t>
  </si>
  <si>
    <t>PGI Distrutor - 1.25%</t>
  </si>
  <si>
    <t>Concrete Service - 1.25%</t>
  </si>
  <si>
    <t>Enchanted Fairies - 1.25%</t>
  </si>
  <si>
    <t>Stroman Industries - 1.25%</t>
  </si>
  <si>
    <t>Ideal Producers Group - 1.75%</t>
  </si>
  <si>
    <t>Sean Gardella - 1.75%</t>
  </si>
  <si>
    <t>Timber Direct - 1.75%</t>
  </si>
  <si>
    <t>Integrated Energy - 1.75%</t>
  </si>
  <si>
    <t>Blueline Landscapping - 1.25%</t>
  </si>
  <si>
    <t>Steel Hammer Roofing - 1.75%</t>
  </si>
  <si>
    <t>Minuti Coffee - 1.75%</t>
  </si>
  <si>
    <t>Capital Gurrus</t>
  </si>
  <si>
    <t>TLHI Construction - 1.75%</t>
  </si>
  <si>
    <t>MS Construciton - 1.75%</t>
  </si>
  <si>
    <t>Sicily Coal - 1.75%</t>
  </si>
  <si>
    <t>Burke &amp; Michael - 1.75%</t>
  </si>
  <si>
    <t>International Liquidation - 1.25%</t>
  </si>
  <si>
    <t>Sunny Mac - 1.75%</t>
  </si>
  <si>
    <t>Cate Associates - 1.75%</t>
  </si>
  <si>
    <t>Builder 1 Construciton - 1.25%</t>
  </si>
  <si>
    <t>Property Medic - 1.75%</t>
  </si>
  <si>
    <t>F1 Technology - 1.75%</t>
  </si>
  <si>
    <t>Yager Enterprises - 1.75%</t>
  </si>
  <si>
    <t>Towne Housing - 1.75%</t>
  </si>
  <si>
    <t>Brazos Commercial Roofing - 1.75%</t>
  </si>
  <si>
    <t>Contractor Glass - 1.25%</t>
  </si>
  <si>
    <t>Pros - 1.25%</t>
  </si>
  <si>
    <t>NC Civil - 1.75%</t>
  </si>
  <si>
    <t>Mello Marketing - 1.25%</t>
  </si>
  <si>
    <t>WCE Enterprises - 1.75%</t>
  </si>
  <si>
    <t>J&amp;H Painting Services - 1.75%</t>
  </si>
  <si>
    <t>Performance Distributors - 1.25%</t>
  </si>
  <si>
    <t>Soundview Landscape - 1.25%</t>
  </si>
  <si>
    <t>Warrior Ammunition - 1.75%</t>
  </si>
  <si>
    <t>Loyalty Mechanical - 1.75%</t>
  </si>
  <si>
    <t>Alpine - 1.75%</t>
  </si>
  <si>
    <t>Velocity Ammunition Sales - 1.25%</t>
  </si>
  <si>
    <t>Lather Transport - 1.75%</t>
  </si>
  <si>
    <t>SCI Construction Group - 1.75%</t>
  </si>
  <si>
    <t>ZJSB - 1.75%</t>
  </si>
  <si>
    <t>Edge Services - 1.25%</t>
  </si>
  <si>
    <t>Mad Science - 1.75%</t>
  </si>
  <si>
    <t>Buckley Auto Center - 1.75%</t>
  </si>
  <si>
    <t>Wells Sweeping - 1.25%</t>
  </si>
  <si>
    <t>The Meat Guys - 1.75%</t>
  </si>
  <si>
    <t>Trinity Homes - 1.75%</t>
  </si>
  <si>
    <t>E3 Tax - 1.75%</t>
  </si>
  <si>
    <t>Victory Motorcars - 1.25%</t>
  </si>
  <si>
    <t>Point Auto - 1.75%</t>
  </si>
  <si>
    <t>Frontline Steel - 1.25%</t>
  </si>
  <si>
    <t>Sepid - 1.75%</t>
  </si>
  <si>
    <t>Accurate ProBuild Solutions - 1.75%</t>
  </si>
  <si>
    <t>ClemTenn - 1.25%</t>
  </si>
  <si>
    <t>Superior Floor Service - 1.75%</t>
  </si>
  <si>
    <t>DIrect</t>
  </si>
  <si>
    <t>Turner Machine - 1.25%</t>
  </si>
  <si>
    <t>All In Won Med-Bill - 1.75%</t>
  </si>
  <si>
    <t>Royal Funding</t>
  </si>
  <si>
    <t>Up Insurance Agency - 1.75%</t>
  </si>
  <si>
    <t>Exchange Trucking - 1.25%</t>
  </si>
  <si>
    <t>Everlasting</t>
  </si>
  <si>
    <t>In-Line Fence &amp; Railing Co - 1.75%</t>
  </si>
  <si>
    <t>The Original Pancake House - 1.75%</t>
  </si>
  <si>
    <t>American Heat Processing - 1.25%</t>
  </si>
  <si>
    <t>Lee Hoffman Roofing - 1.25%</t>
  </si>
  <si>
    <t>Graffiti Graffix - 1.25%</t>
  </si>
  <si>
    <t>Steves Meats - 1.25%</t>
  </si>
  <si>
    <t>Legacy Landscapping- 1.25%</t>
  </si>
  <si>
    <t>Prophylaxis Healthcare - 1.75%</t>
  </si>
  <si>
    <t>Better Rise / Direct</t>
  </si>
  <si>
    <t>Justin ; Justin 5% of upsell (1% comm) ; capped at 1% for Justin</t>
  </si>
  <si>
    <t>Output Lounge - 1.75%</t>
  </si>
  <si>
    <t>Southpoint Auto Body - 1.25%</t>
  </si>
  <si>
    <t>ConnieXio Holdings - 1.75%</t>
  </si>
  <si>
    <t>Capgap</t>
  </si>
  <si>
    <t>Proscapes LLC - 1.75%</t>
  </si>
  <si>
    <t>RB Development - 1.75%</t>
  </si>
  <si>
    <t>TNT Investments - 1.75%</t>
  </si>
  <si>
    <t>Synergistic Systems - 1.75%</t>
  </si>
  <si>
    <t>SKV Holdings - 1.25%</t>
  </si>
  <si>
    <t>Classic Die and Mold - 1.75%</t>
  </si>
  <si>
    <t>South Texas - 1.75%</t>
  </si>
  <si>
    <t>Justin rev share</t>
  </si>
  <si>
    <t>Pacific North - 1.75%</t>
  </si>
  <si>
    <t>Fortress</t>
  </si>
  <si>
    <t>Bluesun - 1.75%</t>
  </si>
  <si>
    <t>Credit Now Used Cars - 1.75%</t>
  </si>
  <si>
    <t>Scandia - 1.75%</t>
  </si>
  <si>
    <t>Eliteone / Moldstar - 1.75%</t>
  </si>
  <si>
    <t>Milwaukee Paper Company - 1.75%</t>
  </si>
  <si>
    <t>Velocity USA - 1.25%</t>
  </si>
  <si>
    <t>Southeast Abatement - 1.25%</t>
  </si>
  <si>
    <t>Scientific Mechanical - 1.75%</t>
  </si>
  <si>
    <t>Lendflow / House</t>
  </si>
  <si>
    <t>Justin rev share renew</t>
  </si>
  <si>
    <t>RVB - 1.25%</t>
  </si>
  <si>
    <t>South Coast Industrial Services - 1.75%</t>
  </si>
  <si>
    <t>Better Rise</t>
  </si>
  <si>
    <t>Lead Mechanical - 1.25%</t>
  </si>
  <si>
    <t>Law Office of Frederick - 1.75%</t>
  </si>
  <si>
    <t>Solved Education - 0%</t>
  </si>
  <si>
    <t>Clarify</t>
  </si>
  <si>
    <t>Justin - capped at .6% ; no mgmt fee</t>
  </si>
  <si>
    <t>Risden - 1.75%</t>
  </si>
  <si>
    <t>Guardians Security - 1.25%</t>
  </si>
  <si>
    <t>Truckstop management - 1.75%</t>
  </si>
  <si>
    <t xml:space="preserve">Justin rev share renew. Gurus $15k syn </t>
  </si>
  <si>
    <t>Shine Transportation - 1.75%</t>
  </si>
  <si>
    <t>Melrose Auto Gallery - 1.75%</t>
  </si>
  <si>
    <t xml:space="preserve">Quick Capital </t>
  </si>
  <si>
    <t>The Learning Academy of Georiga - 1.75%</t>
  </si>
  <si>
    <t>Ram Transport and Language - 1.75%</t>
  </si>
  <si>
    <t>ManagePoint MSP - 1.75%</t>
  </si>
  <si>
    <t>Pava - 1.25%</t>
  </si>
  <si>
    <t>Perez &amp; Long - 1.25%</t>
  </si>
  <si>
    <t>Mikes Unique - 1.25%</t>
  </si>
  <si>
    <t>Hunter Auto &amp; Wrecker - 1.75%</t>
  </si>
  <si>
    <t>Mad Max - 1.75%</t>
  </si>
  <si>
    <t>Viking Sports Bar - 1.75%</t>
  </si>
  <si>
    <t>Ichabods Grille - 1.75%</t>
  </si>
  <si>
    <t>Thunderbirds Grille - 1.75%</t>
  </si>
  <si>
    <t>HLS Enterprises - 1.75%</t>
  </si>
  <si>
    <t>Solvis - 1.75%</t>
  </si>
  <si>
    <t>Prestige Cleaning - 1.75%</t>
  </si>
  <si>
    <t>Boston North - 1.75%</t>
  </si>
  <si>
    <t>Kelly Fluid - 1.25%</t>
  </si>
  <si>
    <t>Triple R Custom - 1.25%</t>
  </si>
  <si>
    <t>3TS Services - 1.25%</t>
  </si>
  <si>
    <t>Dads Truck and Auto - 1.75%</t>
  </si>
  <si>
    <t>Pristine Plumbing - 1.25%</t>
  </si>
  <si>
    <t>Lauren Laundis - 1.25%</t>
  </si>
  <si>
    <t>R&amp;M Bagels - 1.25%</t>
  </si>
  <si>
    <t>Seart Marine - 1.75%</t>
  </si>
  <si>
    <t>1st Choice Commercial - 1.25%</t>
  </si>
  <si>
    <t>Angels in Guard - 1.75%</t>
  </si>
  <si>
    <t>Los Outreach - 1.25%</t>
  </si>
  <si>
    <t>Crate Excavations - 1.75%</t>
  </si>
  <si>
    <t>GVS - 1.25%</t>
  </si>
  <si>
    <t>National Auto Tools - 1.75%</t>
  </si>
  <si>
    <t>Esther's Home - 1.75%</t>
  </si>
  <si>
    <t>Royal</t>
  </si>
  <si>
    <t>Askew-Peterson - 1.75%</t>
  </si>
  <si>
    <t>Sacci - 1.25%</t>
  </si>
  <si>
    <t>J&amp;R Sundberg - 1.75%</t>
  </si>
  <si>
    <t>Vasqo Logistics - 1.75%</t>
  </si>
  <si>
    <t>TCG - 1.25%</t>
  </si>
  <si>
    <t>S&amp;J Hotshot - 1.75%</t>
  </si>
  <si>
    <t>Spearhead Renovations - 1.75%</t>
  </si>
  <si>
    <t>Absolute Transporation - 1.25%</t>
  </si>
  <si>
    <t>Home Supply - 1.75%</t>
  </si>
  <si>
    <t>Story Collision - 1.25%</t>
  </si>
  <si>
    <t xml:space="preserve">Glazer/ Direct </t>
  </si>
  <si>
    <t>Santellos - 1.75%</t>
  </si>
  <si>
    <t>Platinum Landscape - 1.75%</t>
  </si>
  <si>
    <t xml:space="preserve">Justin rev share Renew. Gurus $25k syn </t>
  </si>
  <si>
    <t>Sauk River - 1.75%</t>
  </si>
  <si>
    <t>Tidewater Medical - 1.25%</t>
  </si>
  <si>
    <t>McDowell Motorsports - 1.25%</t>
  </si>
  <si>
    <t>Platinum Express - 1.75%</t>
  </si>
  <si>
    <t>J&amp;AD Auto Detailing - 1.25%</t>
  </si>
  <si>
    <t>Northern Auto - 1.75%</t>
  </si>
  <si>
    <t>GA Doughty - 1.75%</t>
  </si>
  <si>
    <t>Clune - 1.75%</t>
  </si>
  <si>
    <t>Burton Transport - 1.25%</t>
  </si>
  <si>
    <t>American Dream Granite - 1.75%</t>
  </si>
  <si>
    <t>Jusitn</t>
  </si>
  <si>
    <t xml:space="preserve">Justin </t>
  </si>
  <si>
    <t>Compassionate Heart Services - 1.75%</t>
  </si>
  <si>
    <t>Bluelake Utility - 1.25%</t>
  </si>
  <si>
    <t>Quality Compressor  - 1.25%</t>
  </si>
  <si>
    <t>Compas Concrete - 1.25%</t>
  </si>
  <si>
    <t>Hoffman International - 1.25%</t>
  </si>
  <si>
    <t>Bicycle Adventures - 1.25%</t>
  </si>
  <si>
    <t>Charlie Direct</t>
  </si>
  <si>
    <t>Short Term Nashville - 1.25%</t>
  </si>
  <si>
    <t>Biztec - 1.75%</t>
  </si>
  <si>
    <t>Working Capital Marketplace</t>
  </si>
  <si>
    <t>Elyon - 1.25%</t>
  </si>
  <si>
    <t>STS Impact Windows - 1.75%</t>
  </si>
  <si>
    <t>Capitol Fire Protection - 1.75%</t>
  </si>
  <si>
    <t>Wet Monkey - 1.25%</t>
  </si>
  <si>
    <t>C&amp;M Western - 1.75%</t>
  </si>
  <si>
    <t>GC Construction - 1.25%</t>
  </si>
  <si>
    <t>Architectural Glazing Systems - 1.25%</t>
  </si>
  <si>
    <t>A &amp; J Supply - 1.25%</t>
  </si>
  <si>
    <t>Auction Brokers - 1.75%</t>
  </si>
  <si>
    <t>Xtreme Landscapes- 1.75%</t>
  </si>
  <si>
    <t>Southern Finishes - 1.75%</t>
  </si>
  <si>
    <t>Riverwoods - 1.25%</t>
  </si>
  <si>
    <t>Valalla Fuels - 1.75%</t>
  </si>
  <si>
    <t>PK Towing - 1.75%</t>
  </si>
  <si>
    <t>Triton Tower - 1.75%</t>
  </si>
  <si>
    <t>4J Foundation - 1.75%</t>
  </si>
  <si>
    <t>Pure Auto - 1.75%</t>
  </si>
  <si>
    <t>Accurate Site Development - 1.25%</t>
  </si>
  <si>
    <t>L IMI Ventures - 1.75%</t>
  </si>
  <si>
    <t>JCS Systems - 1.25%</t>
  </si>
  <si>
    <t>Sidor - 1.75%</t>
  </si>
  <si>
    <t>A and R Collission Specialist - 1.25%</t>
  </si>
  <si>
    <t>Service Experts Plumbing - 1.75%</t>
  </si>
  <si>
    <t>Elite One - 1.75%</t>
  </si>
  <si>
    <t>Boville Industrial - 1.75%</t>
  </si>
  <si>
    <t>Compliance Solution - 1.25%</t>
  </si>
  <si>
    <t>DCE Construction - 1.25%</t>
  </si>
  <si>
    <t>Forum Brands - 1.25%</t>
  </si>
  <si>
    <t xml:space="preserve">Justin rev share. Gurus $25k syn </t>
  </si>
  <si>
    <t>Ram Transmission - 1.75%</t>
  </si>
  <si>
    <t>Micronet - 1.25%</t>
  </si>
  <si>
    <t>Perfected Bodies Fitness - 1.75%</t>
  </si>
  <si>
    <t>Surface Solutions - 1.75%</t>
  </si>
  <si>
    <t>Sharpvue - 1.75%</t>
  </si>
  <si>
    <t>Blue Garden - 1.25%</t>
  </si>
  <si>
    <t>Mackey Family Transport - 1.75%</t>
  </si>
  <si>
    <t>Interstate Granite - 1.75%</t>
  </si>
  <si>
    <t>Web Dynamics - 1.75%</t>
  </si>
  <si>
    <t>Universal P&amp;C - 1.25%</t>
  </si>
  <si>
    <t>Atlantic Asphalt - 1.25%</t>
  </si>
  <si>
    <t>Kingdom Pavers - 1.75%</t>
  </si>
  <si>
    <t>Paradise RV - 1.75%</t>
  </si>
  <si>
    <t>Presitige Cleaning - 1.75%</t>
  </si>
  <si>
    <t>Bayside Pharmacy - 1.75%</t>
  </si>
  <si>
    <t>Cap Gap</t>
  </si>
  <si>
    <t>Farr Rentals - 1.75%</t>
  </si>
  <si>
    <t>Citigreen - 1.75%</t>
  </si>
  <si>
    <t>Independent Fire Group - 1.75%</t>
  </si>
  <si>
    <t>Portable Device Fix - 1.25%</t>
  </si>
  <si>
    <t>Pasillas Underground - 1.75%</t>
  </si>
  <si>
    <t>Sterndog Kennels - 1.75%</t>
  </si>
  <si>
    <t>Capital Investment Realty - 1.75%</t>
  </si>
  <si>
    <t>Just rev share</t>
  </si>
  <si>
    <t>Hire Talent - 1.75%</t>
  </si>
  <si>
    <t>Da Holz Enterprises - 1.75%</t>
  </si>
  <si>
    <t>Llugo - 1.75%</t>
  </si>
  <si>
    <t>Gunhand Welding - 1.25%</t>
  </si>
  <si>
    <t>Bylt - 1.25%</t>
  </si>
  <si>
    <t>Hursh Iron Works - 1.75%</t>
  </si>
  <si>
    <t>River Rock Energy - 1.75%</t>
  </si>
  <si>
    <t>JNR Equipment - 1.25%</t>
  </si>
  <si>
    <t>MNC Electric - 1.25%</t>
  </si>
  <si>
    <t>Talk of the Town Salon Suites - 1.75%</t>
  </si>
  <si>
    <t>Chapman - 1.75%</t>
  </si>
  <si>
    <t>Sheboygan Glass - 1.25%</t>
  </si>
  <si>
    <t>Proscapes - 1.75%</t>
  </si>
  <si>
    <t>Republic Homes - 1.75%</t>
  </si>
  <si>
    <t>Doug Williams Refridgeration - 1.75%</t>
  </si>
  <si>
    <t>Paschal Construction - 1.75%</t>
  </si>
  <si>
    <t>Penson and Green - 1.25%</t>
  </si>
  <si>
    <t>Shore Construction Services - 1.75%</t>
  </si>
  <si>
    <t>Chucho Produce - 1.75%</t>
  </si>
  <si>
    <t>WHL Construction - 1.75%</t>
  </si>
  <si>
    <t>Taste of India - 1.25%</t>
  </si>
  <si>
    <t>Brooke Tree Service - 1.75%</t>
  </si>
  <si>
    <t>Bailey Building - 1.75%</t>
  </si>
  <si>
    <t>Sunburst Trucking - 1.75%</t>
  </si>
  <si>
    <t>Archis irrigation Landscapping - 1.75%</t>
  </si>
  <si>
    <t>Mincon / Woodside Construction Services - 1.75%</t>
  </si>
  <si>
    <t>Cross Machine - 1.75%</t>
  </si>
  <si>
    <t>Civilty Management - 1.75%</t>
  </si>
  <si>
    <t>Anchor Realty - 1.75%</t>
  </si>
  <si>
    <t xml:space="preserve">Greg deal </t>
  </si>
  <si>
    <t>D Lux Printing - 1.75%</t>
  </si>
  <si>
    <t>Custom Marine Carpet - 1.75%</t>
  </si>
  <si>
    <t>Nutrition Solutions - 1.25%</t>
  </si>
  <si>
    <t>WKS Inc - 1.75%</t>
  </si>
  <si>
    <t>Platfrom</t>
  </si>
  <si>
    <t>Bright Pursuit - 1.25%</t>
  </si>
  <si>
    <t>Fix it Fast - 1.25%</t>
  </si>
  <si>
    <t>Five Star International Services - 1.75%</t>
  </si>
  <si>
    <t>Direct / Nick Channel</t>
  </si>
  <si>
    <t>Nexokin - 1.75%</t>
  </si>
  <si>
    <t>Sharp Custom - 1.75%</t>
  </si>
  <si>
    <t>Mooney's Heating Air - 1.75%</t>
  </si>
  <si>
    <t>Kizis Landscapping - 1.75%</t>
  </si>
  <si>
    <t>Revscale - 1.25%</t>
  </si>
  <si>
    <t>Vecmar - 1.25%</t>
  </si>
  <si>
    <t xml:space="preserve">Justin 5% of upsell (1.5% comm) </t>
  </si>
  <si>
    <t>CNW Consturction Services - 1.75%</t>
  </si>
  <si>
    <t>Ascension - 1.75%</t>
  </si>
  <si>
    <t>Olstrad Corporation - 1.75%</t>
  </si>
  <si>
    <t>Phoenix Marketing - 1.25%</t>
  </si>
  <si>
    <t>RC Transfer - 1.75%</t>
  </si>
  <si>
    <t>Greenhouses Hotel - 1.75%</t>
  </si>
  <si>
    <t>Logo Joes - 1.75%</t>
  </si>
  <si>
    <t>Smith Grain - 1.25%</t>
  </si>
  <si>
    <t>Baker Contracting - 1.75%</t>
  </si>
  <si>
    <t>Brians One Day Cleaner - 1.75%</t>
  </si>
  <si>
    <t>Guardian Medical - 1.75%</t>
  </si>
  <si>
    <t>Blackhowske - 1.75%</t>
  </si>
  <si>
    <t>Hale - 1.25%</t>
  </si>
  <si>
    <t>Smoky Mountain Pools - 1.25%</t>
  </si>
  <si>
    <t>2CK - 1.25%</t>
  </si>
  <si>
    <t>Top Line Hands - 1.75%</t>
  </si>
  <si>
    <t>JT Contracting - 1.25%</t>
  </si>
  <si>
    <t>4315 Manchester - 1.25%</t>
  </si>
  <si>
    <t>Coastal Pediatrics - 1.75%</t>
  </si>
  <si>
    <t>JR Putman - 1.75%</t>
  </si>
  <si>
    <t>Edge - 1.25%</t>
  </si>
  <si>
    <t xml:space="preserve">Justin Renew </t>
  </si>
  <si>
    <t>Food Service Refrigeration - 1.75%</t>
  </si>
  <si>
    <t>Chrome Carriers - 1.75%</t>
  </si>
  <si>
    <t>Atlantic Asphalt Paving - 1.25%</t>
  </si>
  <si>
    <t>Mac Exteriors - 1.25%</t>
  </si>
  <si>
    <t>North Atlanta - 1.75%</t>
  </si>
  <si>
    <t>Lancaster Beauty - 1.75%</t>
  </si>
  <si>
    <t>Ashley Cooper Homes - 1.75%</t>
  </si>
  <si>
    <t>StaffNow - 1.25%</t>
  </si>
  <si>
    <t>Don Wheeler - 1.75%</t>
  </si>
  <si>
    <t>La Source - 1.75%</t>
  </si>
  <si>
    <t>ASV Creations - 1.25%</t>
  </si>
  <si>
    <t>Xtreme Electric - 1.75%</t>
  </si>
  <si>
    <t>Family and Healthcae - 1.75%</t>
  </si>
  <si>
    <t>Barcellos Farrel - 1.75%</t>
  </si>
  <si>
    <t>JNJ Logistics - 1.75%</t>
  </si>
  <si>
    <t>Conare - 1.25%</t>
  </si>
  <si>
    <t>Rocamich - 1.75%</t>
  </si>
  <si>
    <t>All Pro Cooler - 1.75%</t>
  </si>
  <si>
    <t>Coastal Pediatric Dentistry - 1.75%</t>
  </si>
  <si>
    <t>STLM - 1.25%</t>
  </si>
  <si>
    <t>Lees Auto Recycling - 1.75%</t>
  </si>
  <si>
    <t>Cross Si - 1.25%</t>
  </si>
  <si>
    <t>JRM Construction - 1.75%</t>
  </si>
  <si>
    <t>South Fifth Automotive - 1.25%</t>
  </si>
  <si>
    <t>Capital Gururs</t>
  </si>
  <si>
    <t>PNW Transporation Solutions - 1.75%</t>
  </si>
  <si>
    <t>ESD Heavy Truck - 1.75%</t>
  </si>
  <si>
    <t>United Enterprise Builders - 1.75%</t>
  </si>
  <si>
    <t xml:space="preserve">Platform / Nick Channel </t>
  </si>
  <si>
    <t>La Finca Coffee - 1.25%</t>
  </si>
  <si>
    <t>Zoombroom - 1.75%</t>
  </si>
  <si>
    <t>S2DD Express Delivery - 1.75%</t>
  </si>
  <si>
    <t>County Line Transport - 1.75%</t>
  </si>
  <si>
    <t>Precision Cams - 1.25%</t>
  </si>
  <si>
    <t xml:space="preserve">Capital Gururs </t>
  </si>
  <si>
    <t>Compassionate Heartcare - 1.25%</t>
  </si>
  <si>
    <t>Podsearch - 1.75%</t>
  </si>
  <si>
    <t>American Kart - 1.25%</t>
  </si>
  <si>
    <t>Windwalker Transporation - 1.75%</t>
  </si>
  <si>
    <t>Jbstyesinco - 1.75%</t>
  </si>
  <si>
    <t xml:space="preserve">Bridge Funding </t>
  </si>
  <si>
    <t>Onyx Capital Tequila Partners - 1.25%</t>
  </si>
  <si>
    <t>Luzis Cleaning - 1.25%</t>
  </si>
  <si>
    <t>Floor Authority - 1.75%</t>
  </si>
  <si>
    <t>Dougherty Construction - 1.75%</t>
  </si>
  <si>
    <t>All One Lanscape - 1.25%</t>
  </si>
  <si>
    <t>369 Logistics - 1.25%</t>
  </si>
  <si>
    <t>555 Conklin - 1.75%</t>
  </si>
  <si>
    <t>Capital Gurus / Direct</t>
  </si>
  <si>
    <t>Justin rev share. Gurus $15k syn . 2% towards direct</t>
  </si>
  <si>
    <t>T&amp;D Grading - 1.25%</t>
  </si>
  <si>
    <t>Peterman Farms - 1.75%</t>
  </si>
  <si>
    <t>Montealegre Finanzas - 1.25%</t>
  </si>
  <si>
    <t>Castle Graphics - 1.75%</t>
  </si>
  <si>
    <t>Lather Transport - 1.25%</t>
  </si>
  <si>
    <t>US Bus Charter - 1.25%</t>
  </si>
  <si>
    <t>Edgar Law Group - 1.75%</t>
  </si>
  <si>
    <t>Shirt The City Printing - 1.25%</t>
  </si>
  <si>
    <t>System 4 - 1.75%</t>
  </si>
  <si>
    <t>Justin rev share. Gurus $40k syn ; NO BONUS</t>
  </si>
  <si>
    <t>Brother's Car Sale - 1.25%</t>
  </si>
  <si>
    <t>CNF Services - 1.25%</t>
  </si>
  <si>
    <t>Casa De Campo - 1.25%</t>
  </si>
  <si>
    <t>Figueredo Home Sharing - 1.75%</t>
  </si>
  <si>
    <t>Panthem - 1.75%</t>
  </si>
  <si>
    <t>A&amp;K - 1.75%</t>
  </si>
  <si>
    <t>Gabe's Professional Auto - 1.75%</t>
  </si>
  <si>
    <t xml:space="preserve">Lendflow </t>
  </si>
  <si>
    <t>Ram Transport - 1.25%</t>
  </si>
  <si>
    <t>J&amp;K Distrobution - 1.75%</t>
  </si>
  <si>
    <t>Tax Resolution Accounting - 1.75%</t>
  </si>
  <si>
    <t>Dumbo - 1.75%</t>
  </si>
  <si>
    <t>ACP Ent - 1.75%</t>
  </si>
  <si>
    <t>Global Design Build - 1.75%</t>
  </si>
  <si>
    <t>Apex Landscapping - 1.25%</t>
  </si>
  <si>
    <t>L.O. Outdoors - 1.75%</t>
  </si>
  <si>
    <t>ACS, LLC - 1.25%</t>
  </si>
  <si>
    <t>Myers &amp; Co - 1.25%</t>
  </si>
  <si>
    <t>NST - 1.75%</t>
  </si>
  <si>
    <t>Compass Framing &amp; Drywall - 1.25%</t>
  </si>
  <si>
    <t>Elite Diesel - 1.75%</t>
  </si>
  <si>
    <t>Advance American Funding</t>
  </si>
  <si>
    <t>Eden Interiors - 1.75%</t>
  </si>
  <si>
    <t>Shine Transporation - 1.25%</t>
  </si>
  <si>
    <t>Ascher - 1.25%</t>
  </si>
  <si>
    <t>Yamya - 1.75%</t>
  </si>
  <si>
    <t>Kh Exterior - 1.75%</t>
  </si>
  <si>
    <t>Blueline</t>
  </si>
  <si>
    <t>121234 LLC - 1.75%</t>
  </si>
  <si>
    <t>No Bonus - Capped at 1%</t>
  </si>
  <si>
    <t>Dracyon - 1.75%</t>
  </si>
  <si>
    <t>SSC Roofing - 1.25%</t>
  </si>
  <si>
    <t>Heritage Roofing - 1.75%</t>
  </si>
  <si>
    <t>KN Enterprises - 1.75%</t>
  </si>
  <si>
    <t>MJI Building Services - 1.75%</t>
  </si>
  <si>
    <t>CM Red - 1.75%</t>
  </si>
  <si>
    <t>T&amp;K Trucking - 1.75%</t>
  </si>
  <si>
    <t>Patriot Team - 1.75%</t>
  </si>
  <si>
    <t>FRJ - 1.75%</t>
  </si>
  <si>
    <t>Mininger Farms - 1.25%</t>
  </si>
  <si>
    <t>Fat Fowl - 1.75%</t>
  </si>
  <si>
    <t>1st Choice Commerical and Residential - 1.25%</t>
  </si>
  <si>
    <t>Willow Homes - 1.25%</t>
  </si>
  <si>
    <t>Instructional Access - 1.75%</t>
  </si>
  <si>
    <t>Speed Aviation - 1.25%</t>
  </si>
  <si>
    <t>5 De Mayo Restaurant - 1.75%</t>
  </si>
  <si>
    <t>TRC Logistics - 1.25%</t>
  </si>
  <si>
    <t>Aberdeen Bike - 1.75%</t>
  </si>
  <si>
    <t>PROS Corporate Housing - 1.25%</t>
  </si>
  <si>
    <t>K-Mel Industries - 1.75%</t>
  </si>
  <si>
    <t>Noble Plumbing - 1.25%</t>
  </si>
  <si>
    <t>Joes Gutter - 1.25%</t>
  </si>
  <si>
    <t>Fat Angelos - 1.75%</t>
  </si>
  <si>
    <t>Itech Auto Collisison - 1.75%</t>
  </si>
  <si>
    <t>Rainbow Lakes - 1.25%</t>
  </si>
  <si>
    <t>Erie Shore Car - 1.25%</t>
  </si>
  <si>
    <t>Dougs Place of Emerson - 1.25%</t>
  </si>
  <si>
    <t>Humble Transport - 1.75%</t>
  </si>
  <si>
    <t>Pavemaster Asphalt Paving - 1.25%</t>
  </si>
  <si>
    <t>RHSH - 1.75%</t>
  </si>
  <si>
    <t>Boston North - 1.25%</t>
  </si>
  <si>
    <t>FB Construction - 1.75%</t>
  </si>
  <si>
    <t>Daluki - 1.75%</t>
  </si>
  <si>
    <t>KBD - 1.75%</t>
  </si>
  <si>
    <t>Azores - 1.75%</t>
  </si>
  <si>
    <t>Shore Construction - 1.75%</t>
  </si>
  <si>
    <t>S&amp;S Structures - 1.75%</t>
  </si>
  <si>
    <t>JT Hill - 1.75%</t>
  </si>
  <si>
    <t>Materials Handling - 1.75%</t>
  </si>
  <si>
    <t>Roger Hemming - 1.25%</t>
  </si>
  <si>
    <t>Let's Roll Roll - 1.25%</t>
  </si>
  <si>
    <t>Cradle to Crayons - 1.75%</t>
  </si>
  <si>
    <t>5M Services - 1.25%</t>
  </si>
  <si>
    <t>Iron Bull - 1.75%</t>
  </si>
  <si>
    <t>RDF Trucking - 1.75%</t>
  </si>
  <si>
    <t>E&amp;M Equipment Sales - 1.75%</t>
  </si>
  <si>
    <t>Rick Curren Auto Sales - 1.25%</t>
  </si>
  <si>
    <t>Business Funding Marketplace</t>
  </si>
  <si>
    <t>Zanco - 1.25%</t>
  </si>
  <si>
    <t>Caulfield Family Auto - 1.25%</t>
  </si>
  <si>
    <t>New World Drayage - 1.75%</t>
  </si>
  <si>
    <t>SOS Computers - 1.75%</t>
  </si>
  <si>
    <t>Austin Landscape - 1.75%</t>
  </si>
  <si>
    <t>Mountain Home Improvements - 1.75%</t>
  </si>
  <si>
    <t>Austin Bazaar - 1.75%</t>
  </si>
  <si>
    <t xml:space="preserve">Justin 5% of upsell (1.75% comm) </t>
  </si>
  <si>
    <t>Elk Bound - 1.75%</t>
  </si>
  <si>
    <t>Sushi Tokyo - 1.75%</t>
  </si>
  <si>
    <t>Bumbo Distrobution - 1.75%</t>
  </si>
  <si>
    <t>Family A automax - 1.75%</t>
  </si>
  <si>
    <t>Specialty Delivery and Logistics - 1.75%</t>
  </si>
  <si>
    <t>Mechanical Services - 1.75%</t>
  </si>
  <si>
    <t>Credit Now Used Cars - 1.25%</t>
  </si>
  <si>
    <t>Independent Fire - 1.75%</t>
  </si>
  <si>
    <t>Performance Properties - 1.75%</t>
  </si>
  <si>
    <t>GF Management - 1.25%</t>
  </si>
  <si>
    <t>Incomm - 1.25%</t>
  </si>
  <si>
    <t>Thermal Technology - 1.25%</t>
  </si>
  <si>
    <t xml:space="preserve">Justin rev share renew. Gurus $25k syn </t>
  </si>
  <si>
    <t>Mansfield Medical - 1.75%</t>
  </si>
  <si>
    <t>Kinetic Energy - 1.75%</t>
  </si>
  <si>
    <t>Retreat Vacations - 1.75%</t>
  </si>
  <si>
    <t>J Bachman Design - 1.25%</t>
  </si>
  <si>
    <t>Arturo's Concrete - 1.75%</t>
  </si>
  <si>
    <t>MC Land and Properties - 1.25%</t>
  </si>
  <si>
    <t>MVE - 1.75%</t>
  </si>
  <si>
    <t xml:space="preserve">Direct / Monera </t>
  </si>
  <si>
    <t xml:space="preserve">Justin 5% of upsell (5% comm) - 1% Monera </t>
  </si>
  <si>
    <t>Pipe ED Plumbing - 1.75%</t>
  </si>
  <si>
    <t>Hammond Air Conditioning - 1.75%</t>
  </si>
  <si>
    <t>Fuller Family - 1.75%</t>
  </si>
  <si>
    <t>ND&amp;D - 1.75%</t>
  </si>
  <si>
    <t>Gary Surdyke Motorcycle - 1.75%</t>
  </si>
  <si>
    <t>AGI Stone works - 1.75%</t>
  </si>
  <si>
    <t>Mac Exteriors - 1.75%</t>
  </si>
  <si>
    <t>Remblake - 1.25%</t>
  </si>
  <si>
    <t>Auction Brokers - 1.25%</t>
  </si>
  <si>
    <t>Retreat Construction - 1.75%</t>
  </si>
  <si>
    <t>Forward BMW - 1.75%</t>
  </si>
  <si>
    <t>Able Helpes</t>
  </si>
  <si>
    <t>Advanced Environmental - 1.75%</t>
  </si>
  <si>
    <t>Direct / Newport</t>
  </si>
  <si>
    <t>Commonwealth Roofing - 1.75%</t>
  </si>
  <si>
    <t>El Paso's - 1.75%</t>
  </si>
  <si>
    <t>Archis Irrigation - 1.75%</t>
  </si>
  <si>
    <t>D-Lux Printing - 1.75%</t>
  </si>
  <si>
    <t>Barnes Hauling Company - 1.75%</t>
  </si>
  <si>
    <t>3TS - 1.25%</t>
  </si>
  <si>
    <t>Wicked Wrenches BN Auto - 1.75%</t>
  </si>
  <si>
    <t>Continental Pool Builders - 1.75%</t>
  </si>
  <si>
    <t>GNLC - 1.25%</t>
  </si>
  <si>
    <t>Auto Parts Courier - 1.75%</t>
  </si>
  <si>
    <t>Echoone Ventures - 1.75%</t>
  </si>
  <si>
    <t>Suncoast - 1.75%</t>
  </si>
  <si>
    <t>Master Tech GA  - 1.75%</t>
  </si>
  <si>
    <t>Sierra Consulintg - 1.25%</t>
  </si>
  <si>
    <t>Woodside Construction - 1.25%</t>
  </si>
  <si>
    <t xml:space="preserve">Justin 5% of upsell </t>
  </si>
  <si>
    <t>Package Delivery Express - 1.75%</t>
  </si>
  <si>
    <t>Penedos Trucking - 1.75%</t>
  </si>
  <si>
    <t>Friesens Finest - 1.75%</t>
  </si>
  <si>
    <t>Integrity Finishes - 1.75%</t>
  </si>
  <si>
    <t>Avast Realty - 1.25%</t>
  </si>
  <si>
    <t>Padel - 1.75%</t>
  </si>
  <si>
    <t>Rincon Investment - 1.75%</t>
  </si>
  <si>
    <t>Shaw Heavy Equipment - 1.75%</t>
  </si>
  <si>
    <t xml:space="preserve">Royal Funding </t>
  </si>
  <si>
    <t>BFG Enterprises - 1.75%</t>
  </si>
  <si>
    <t>RB Development - 1.25%</t>
  </si>
  <si>
    <t>A To Z Property - 1.25%</t>
  </si>
  <si>
    <t>Greenways Clearing - 1.25%</t>
  </si>
  <si>
    <t>Angels Around Home Care - 1.75%</t>
  </si>
  <si>
    <t>Clemm Tenn Contracting - 1.25%</t>
  </si>
  <si>
    <t>Paradise Custom Pools / Alligned Construction - 1.25%</t>
  </si>
  <si>
    <t>Platinum Auto Glass - 1.25%</t>
  </si>
  <si>
    <t>PCM - 1.75%</t>
  </si>
  <si>
    <t>Snyder Manufacturing - 1.25%</t>
  </si>
  <si>
    <t>Jamie James Car Medic - 1.75%</t>
  </si>
  <si>
    <t>Missed 1/28/25</t>
  </si>
  <si>
    <t>Jamie James Car Medic - 1.25%</t>
  </si>
  <si>
    <t>Jamie James Motor - 1.25% (missed 4)</t>
  </si>
  <si>
    <t>Missed 11/22/23</t>
  </si>
  <si>
    <t>Agtech - 1.75%</t>
  </si>
  <si>
    <t>Mission Motors - 1.75%</t>
  </si>
  <si>
    <t>Gold Line - 1.75%</t>
  </si>
  <si>
    <t>Ichiban - 1.75%</t>
  </si>
  <si>
    <t>Towne Housing - 1.25%</t>
  </si>
  <si>
    <t>Bidleman Auto Group / Hartway Motors - 1.75%</t>
  </si>
  <si>
    <t>Able Helpers Homecare - 1.25%</t>
  </si>
  <si>
    <t>Espinoza - 1.75%</t>
  </si>
  <si>
    <t>Kitchen Direct - 1.75%</t>
  </si>
  <si>
    <t>Major Staffing - 1.75%</t>
  </si>
  <si>
    <t>HIRE Talent - 1.25%</t>
  </si>
  <si>
    <t>River Supply - 1.75%</t>
  </si>
  <si>
    <t>Wildside Clothing - 1.75%</t>
  </si>
  <si>
    <t xml:space="preserve">Byzloan </t>
  </si>
  <si>
    <t>GMG Industries - 1.75%</t>
  </si>
  <si>
    <t>Barcello's Farrel - 1.25%</t>
  </si>
  <si>
    <t>Branchin Off Tree Service - 1.75%</t>
  </si>
  <si>
    <t>Patmon Law - 1.75%</t>
  </si>
  <si>
    <t>Jammer - 1.75%</t>
  </si>
  <si>
    <t>McGuire &amp; Associates - 1.75%</t>
  </si>
  <si>
    <t>Vital Sign Homecare - 1.75%</t>
  </si>
  <si>
    <t>Phipps - 1.75%</t>
  </si>
  <si>
    <t>Coastal Financial - 1.25%</t>
  </si>
  <si>
    <t>Solo Motorsports - 1.25%</t>
  </si>
  <si>
    <t>Reflections of you - 1.25%</t>
  </si>
  <si>
    <t>Bayside Pharmacy - 1.25%</t>
  </si>
  <si>
    <t xml:space="preserve">Cap Gap </t>
  </si>
  <si>
    <t>Windermere Memory - 1.75%</t>
  </si>
  <si>
    <t>World Aerospace - 1.25%</t>
  </si>
  <si>
    <t>Alcaraz - 1.25%</t>
  </si>
  <si>
    <t>Sanderson Quality - 1.75%</t>
  </si>
  <si>
    <t>National Limo - 1.75%</t>
  </si>
  <si>
    <t>Justin - capped at 1% ; no bonus</t>
  </si>
  <si>
    <t>State Roofing - 1.25%</t>
  </si>
  <si>
    <t>3 Brothers Beach - 1.75%</t>
  </si>
  <si>
    <t>Luxury Pools - 1.75%</t>
  </si>
  <si>
    <t>Specialty Delivery &amp; Logistics - 1.75%</t>
  </si>
  <si>
    <t>Canyon Creek - 1.25%</t>
  </si>
  <si>
    <t>Data Network Solutions - 1.25%</t>
  </si>
  <si>
    <t>Gurus / Direct</t>
  </si>
  <si>
    <t>Justin rev share renew. Gurus $25k syn ; direct 3% comm</t>
  </si>
  <si>
    <t>Jarvis - 1.25%</t>
  </si>
  <si>
    <t>Exterior Solutions - 1.25%</t>
  </si>
  <si>
    <t>Greg Deal</t>
  </si>
  <si>
    <t>VT Solutions - 1.75%</t>
  </si>
  <si>
    <t>J&amp;H Painting - 1.25%</t>
  </si>
  <si>
    <t>Personal Touch - 1.25%</t>
  </si>
  <si>
    <t>Cardoso's - 1.25%</t>
  </si>
  <si>
    <t>LF Multicraft  - 1.75%</t>
  </si>
  <si>
    <t>Huntsville Residential Fencing - 1.75%</t>
  </si>
  <si>
    <t>Dental Capex</t>
  </si>
  <si>
    <t>R&amp;C Consulting - 1.25%</t>
  </si>
  <si>
    <t>Packline Technologies - 1.25%</t>
  </si>
  <si>
    <t>Southern Site - 1.75%</t>
  </si>
  <si>
    <t>Shaffer Trucking - 1.75%</t>
  </si>
  <si>
    <t>Building Envelope - 1.75%</t>
  </si>
  <si>
    <t>Manning - 1.75%</t>
  </si>
  <si>
    <t>R Steady - 1.25%</t>
  </si>
  <si>
    <t>Martinez Grease and Oil - 1.25%</t>
  </si>
  <si>
    <t>Mississippi Pro - 1.75%</t>
  </si>
  <si>
    <t>Coup 2012 - 1.25%</t>
  </si>
  <si>
    <t>Co 3230 - 1.25%</t>
  </si>
  <si>
    <t>Turns Incorporated - 1.25%</t>
  </si>
  <si>
    <t>RC Demolition - 1.25%</t>
  </si>
  <si>
    <t>Westcoastauto Auction - 1.25%</t>
  </si>
  <si>
    <t>Integrated Maintenance and Bus - 1.75%</t>
  </si>
  <si>
    <t>Berkely Beta - 1.75%</t>
  </si>
  <si>
    <t>Barret Concrete - 1.25%</t>
  </si>
  <si>
    <t>Victory Lane Motorcars - 1.25%</t>
  </si>
  <si>
    <t>Adrian Fence - 1.75%</t>
  </si>
  <si>
    <t>Muradu Construction - 1.25%</t>
  </si>
  <si>
    <t>Pegasus Group - 1.75%</t>
  </si>
  <si>
    <t>R&amp;M Enterprises - 1.25%</t>
  </si>
  <si>
    <t>Hammond - 1.75%</t>
  </si>
  <si>
    <t>ICU - 1.25%</t>
  </si>
  <si>
    <t>Circle TPR - 1.25%</t>
  </si>
  <si>
    <t>J&amp;J Harvesting - 1.75%</t>
  </si>
  <si>
    <t>Slinker Roofing - 1.75%</t>
  </si>
  <si>
    <t>The Bright Pursuit - 1.25%</t>
  </si>
  <si>
    <t>Motorcity Autos - 1.25%</t>
  </si>
  <si>
    <t>Corinthian Contractors - 1.75%</t>
  </si>
  <si>
    <t>Go Green Auto - 1.75%</t>
  </si>
  <si>
    <t>4XH Logistics - 1.75%</t>
  </si>
  <si>
    <t>Perfection Industrial - 1.75%</t>
  </si>
  <si>
    <t xml:space="preserve">Capital Gurus </t>
  </si>
  <si>
    <t>Nutraboss - 1.75%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</si>
</sst>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mm yyyy"/>
    <numFmt numFmtId="166" formatCode="M/d/yyyy"/>
    <numFmt numFmtId="167" formatCode="m/d/yy"/>
  </numFmts>
  <fonts count="9">
    <font>
      <sz val="10.0"/>
      <color rgb="FF000000"/>
      <name val="Arial"/>
      <scheme val="minor"/>
    </font>
    <font>
      <u/>
      <sz val="12.0"/>
      <color rgb="FF0000FF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4" numFmtId="0" xfId="0" applyFont="1"/>
    <xf borderId="0" fillId="4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5" fontId="5" numFmtId="164" xfId="0" applyAlignment="1" applyFill="1" applyFont="1" applyNumberFormat="1">
      <alignment horizontal="center"/>
    </xf>
    <xf borderId="0" fillId="0" fontId="5" numFmtId="164" xfId="0" applyAlignment="1" applyFont="1" applyNumberFormat="1">
      <alignment readingOrder="0"/>
    </xf>
    <xf borderId="0" fillId="5" fontId="5" numFmtId="165" xfId="0" applyAlignment="1" applyFont="1" applyNumberFormat="1">
      <alignment horizontal="left" readingOrder="0"/>
    </xf>
    <xf borderId="0" fillId="5" fontId="7" numFmtId="164" xfId="0" applyAlignment="1" applyFont="1" applyNumberFormat="1">
      <alignment horizontal="center"/>
    </xf>
    <xf borderId="0" fillId="5" fontId="7" numFmtId="166" xfId="0" applyAlignment="1" applyFont="1" applyNumberFormat="1">
      <alignment horizontal="center"/>
    </xf>
    <xf borderId="0" fillId="5" fontId="7" numFmtId="0" xfId="0" applyAlignment="1" applyFont="1">
      <alignment horizontal="center"/>
    </xf>
    <xf borderId="0" fillId="5" fontId="4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4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6" fontId="4" numFmtId="0" xfId="0" applyAlignment="1" applyFill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7" fontId="4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horizontal="center" vertical="bottom"/>
    </xf>
    <xf borderId="0" fillId="0" fontId="8" numFmtId="166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4" numFmtId="167" xfId="0" applyAlignment="1" applyFont="1" applyNumberFormat="1">
      <alignment readingOrder="0"/>
    </xf>
    <xf borderId="0" fillId="6" fontId="8" numFmtId="0" xfId="0" applyAlignment="1" applyFont="1">
      <alignment vertical="bottom"/>
    </xf>
    <xf borderId="0" fillId="7" fontId="8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0"/>
    <col customWidth="1" min="3" max="3" width="27.13"/>
    <col customWidth="1" min="5" max="5" width="22.38"/>
    <col customWidth="1" min="7" max="7" width="15.88"/>
    <col customWidth="1" min="8" max="8" width="44.88"/>
    <col customWidth="1" min="9" max="9" width="15.13"/>
    <col customWidth="1" min="11" max="11" width="16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/>
      <c r="K1" s="7" t="s">
        <v>9</v>
      </c>
      <c r="L1" s="6"/>
    </row>
    <row r="2" ht="33.75" customHeight="1">
      <c r="A2" s="8"/>
      <c r="B2" s="9"/>
      <c r="C2" s="9"/>
      <c r="D2" s="9"/>
      <c r="E2" s="9"/>
      <c r="F2" s="9"/>
      <c r="G2" s="9"/>
      <c r="H2" s="10">
        <f>SUM(B3+B181+B321+B457+B577+B704+B816+B949+B1079+B1238+B1370)</f>
        <v>329779500</v>
      </c>
      <c r="I2" s="6"/>
      <c r="J2" s="6"/>
      <c r="K2" s="11">
        <v>3.28216E8</v>
      </c>
      <c r="L2" s="6"/>
    </row>
    <row r="3">
      <c r="A3" s="12">
        <v>45658.0</v>
      </c>
      <c r="B3" s="13">
        <f t="shared" ref="B3:C3" si="1">SUM(B4:B180)</f>
        <v>34555300</v>
      </c>
      <c r="C3" s="13">
        <f t="shared" si="1"/>
        <v>518215.25</v>
      </c>
      <c r="D3" s="14"/>
      <c r="E3" s="15"/>
      <c r="F3" s="15"/>
      <c r="G3" s="15"/>
      <c r="H3" s="16"/>
      <c r="I3" s="16"/>
      <c r="J3" s="16"/>
      <c r="K3" s="16"/>
      <c r="L3" s="16"/>
    </row>
    <row r="4">
      <c r="A4" s="17" t="s">
        <v>10</v>
      </c>
      <c r="B4" s="18">
        <v>31500.0</v>
      </c>
      <c r="C4" s="19">
        <f t="shared" ref="C4:C8" si="2">0.0125*B4</f>
        <v>393.75</v>
      </c>
      <c r="D4" s="20">
        <v>45659.0</v>
      </c>
      <c r="E4" s="17" t="s">
        <v>11</v>
      </c>
      <c r="F4" s="17" t="s">
        <v>12</v>
      </c>
      <c r="N4" s="21" t="s">
        <v>13</v>
      </c>
    </row>
    <row r="5">
      <c r="A5" s="17" t="s">
        <v>14</v>
      </c>
      <c r="B5" s="18">
        <v>15000.0</v>
      </c>
      <c r="C5" s="19">
        <f t="shared" si="2"/>
        <v>187.5</v>
      </c>
      <c r="D5" s="20">
        <v>45659.0</v>
      </c>
      <c r="E5" s="17" t="s">
        <v>15</v>
      </c>
      <c r="F5" s="17" t="s">
        <v>12</v>
      </c>
      <c r="H5" s="17" t="s">
        <v>16</v>
      </c>
      <c r="K5" s="17">
        <v>60.0</v>
      </c>
      <c r="N5" s="17" t="s">
        <v>17</v>
      </c>
      <c r="O5" s="22">
        <v>14423.07</v>
      </c>
    </row>
    <row r="6">
      <c r="A6" s="17" t="s">
        <v>18</v>
      </c>
      <c r="B6" s="18">
        <v>50000.0</v>
      </c>
      <c r="C6" s="19">
        <f t="shared" si="2"/>
        <v>625</v>
      </c>
      <c r="D6" s="20">
        <v>45659.0</v>
      </c>
      <c r="E6" s="17" t="s">
        <v>15</v>
      </c>
      <c r="F6" s="17" t="s">
        <v>12</v>
      </c>
      <c r="H6" s="17" t="s">
        <v>16</v>
      </c>
      <c r="K6" s="17">
        <v>200.0</v>
      </c>
      <c r="N6" s="17" t="s">
        <v>19</v>
      </c>
      <c r="O6" s="22">
        <v>30487.5</v>
      </c>
    </row>
    <row r="7">
      <c r="A7" s="17" t="s">
        <v>20</v>
      </c>
      <c r="B7" s="18">
        <v>100000.0</v>
      </c>
      <c r="C7" s="19">
        <f t="shared" si="2"/>
        <v>1250</v>
      </c>
      <c r="D7" s="20">
        <v>45659.0</v>
      </c>
      <c r="E7" s="17" t="s">
        <v>21</v>
      </c>
      <c r="F7" s="17" t="s">
        <v>12</v>
      </c>
      <c r="H7" s="17" t="s">
        <v>22</v>
      </c>
      <c r="N7" s="17" t="s">
        <v>15</v>
      </c>
      <c r="O7" s="22">
        <v>15228.75</v>
      </c>
    </row>
    <row r="8">
      <c r="A8" s="17" t="s">
        <v>23</v>
      </c>
      <c r="B8" s="18">
        <v>70000.0</v>
      </c>
      <c r="C8" s="19">
        <f t="shared" si="2"/>
        <v>875</v>
      </c>
      <c r="D8" s="20">
        <v>45659.0</v>
      </c>
      <c r="E8" s="17" t="s">
        <v>24</v>
      </c>
      <c r="F8" s="17" t="s">
        <v>12</v>
      </c>
      <c r="H8" s="17" t="s">
        <v>25</v>
      </c>
      <c r="N8" s="17" t="s">
        <v>26</v>
      </c>
      <c r="O8" s="22">
        <v>18250.0</v>
      </c>
    </row>
    <row r="9">
      <c r="A9" s="17" t="s">
        <v>27</v>
      </c>
      <c r="B9" s="18">
        <v>10000.0</v>
      </c>
      <c r="C9" s="19">
        <f>0.0175*B9</f>
        <v>175</v>
      </c>
      <c r="D9" s="20">
        <v>45660.0</v>
      </c>
      <c r="E9" s="17" t="s">
        <v>15</v>
      </c>
      <c r="F9" s="17" t="s">
        <v>28</v>
      </c>
      <c r="H9" s="17" t="s">
        <v>29</v>
      </c>
      <c r="I9" s="23" t="s">
        <v>30</v>
      </c>
      <c r="K9" s="17">
        <v>45.0</v>
      </c>
      <c r="N9" s="17" t="s">
        <v>31</v>
      </c>
      <c r="O9" s="24">
        <v>8125.0</v>
      </c>
    </row>
    <row r="10">
      <c r="A10" s="17" t="s">
        <v>32</v>
      </c>
      <c r="B10" s="18">
        <v>34000.0</v>
      </c>
      <c r="C10" s="19">
        <f>0.0125*B10</f>
        <v>425</v>
      </c>
      <c r="D10" s="20">
        <v>45660.0</v>
      </c>
      <c r="E10" s="17" t="s">
        <v>15</v>
      </c>
      <c r="F10" s="17" t="s">
        <v>12</v>
      </c>
      <c r="H10" s="17" t="s">
        <v>16</v>
      </c>
      <c r="K10" s="17">
        <v>136.0</v>
      </c>
    </row>
    <row r="11">
      <c r="A11" s="17" t="s">
        <v>33</v>
      </c>
      <c r="B11" s="18">
        <v>210000.0</v>
      </c>
      <c r="C11" s="19">
        <f t="shared" ref="C11:C13" si="3">0.0175*B11</f>
        <v>3675</v>
      </c>
      <c r="D11" s="20">
        <v>45660.0</v>
      </c>
      <c r="E11" s="17" t="s">
        <v>11</v>
      </c>
      <c r="F11" s="17" t="s">
        <v>28</v>
      </c>
      <c r="I11" s="23" t="s">
        <v>30</v>
      </c>
    </row>
    <row r="12">
      <c r="A12" s="17" t="s">
        <v>34</v>
      </c>
      <c r="B12" s="18">
        <v>200000.0</v>
      </c>
      <c r="C12" s="19">
        <f t="shared" si="3"/>
        <v>3500</v>
      </c>
      <c r="D12" s="20">
        <v>45660.0</v>
      </c>
      <c r="E12" s="17" t="s">
        <v>15</v>
      </c>
      <c r="F12" s="17" t="s">
        <v>28</v>
      </c>
      <c r="H12" s="17" t="s">
        <v>35</v>
      </c>
      <c r="I12" s="23" t="s">
        <v>30</v>
      </c>
      <c r="K12" s="17">
        <v>400.0</v>
      </c>
    </row>
    <row r="13">
      <c r="A13" s="17" t="s">
        <v>36</v>
      </c>
      <c r="B13" s="18">
        <v>50000.0</v>
      </c>
      <c r="C13" s="19">
        <f t="shared" si="3"/>
        <v>875</v>
      </c>
      <c r="D13" s="20">
        <v>45660.0</v>
      </c>
      <c r="E13" s="17" t="s">
        <v>11</v>
      </c>
      <c r="F13" s="17" t="s">
        <v>28</v>
      </c>
      <c r="I13" s="23" t="s">
        <v>30</v>
      </c>
    </row>
    <row r="14">
      <c r="A14" s="17" t="s">
        <v>37</v>
      </c>
      <c r="B14" s="18">
        <v>1000000.0</v>
      </c>
      <c r="C14" s="19">
        <f t="shared" ref="C14:C15" si="4">0.0125*B14</f>
        <v>12500</v>
      </c>
      <c r="D14" s="20">
        <v>45660.0</v>
      </c>
      <c r="E14" s="17" t="s">
        <v>11</v>
      </c>
      <c r="F14" s="17" t="s">
        <v>12</v>
      </c>
    </row>
    <row r="15">
      <c r="A15" s="17" t="s">
        <v>38</v>
      </c>
      <c r="B15" s="18">
        <v>35000.0</v>
      </c>
      <c r="C15" s="19">
        <f t="shared" si="4"/>
        <v>437.5</v>
      </c>
      <c r="D15" s="20">
        <v>45660.0</v>
      </c>
      <c r="E15" s="17" t="s">
        <v>21</v>
      </c>
      <c r="F15" s="17" t="s">
        <v>12</v>
      </c>
      <c r="H15" s="17" t="s">
        <v>22</v>
      </c>
    </row>
    <row r="16">
      <c r="A16" s="17" t="s">
        <v>39</v>
      </c>
      <c r="B16" s="18">
        <v>50000.0</v>
      </c>
      <c r="C16" s="19">
        <f>0.0175*B16</f>
        <v>875</v>
      </c>
      <c r="D16" s="20">
        <v>45660.0</v>
      </c>
      <c r="E16" s="17" t="s">
        <v>40</v>
      </c>
      <c r="F16" s="17" t="s">
        <v>41</v>
      </c>
    </row>
    <row r="17">
      <c r="A17" s="17" t="s">
        <v>42</v>
      </c>
      <c r="B17" s="18">
        <v>285000.0</v>
      </c>
      <c r="C17" s="19">
        <f>0.0125*B17</f>
        <v>3562.5</v>
      </c>
      <c r="D17" s="20">
        <v>45660.0</v>
      </c>
      <c r="E17" s="17" t="s">
        <v>11</v>
      </c>
      <c r="F17" s="17" t="s">
        <v>12</v>
      </c>
    </row>
    <row r="18">
      <c r="A18" s="17" t="s">
        <v>43</v>
      </c>
      <c r="B18" s="18">
        <v>60000.0</v>
      </c>
      <c r="C18" s="19">
        <f t="shared" ref="C18:C19" si="5">0.0175*B18</f>
        <v>1050</v>
      </c>
      <c r="D18" s="20">
        <v>45660.0</v>
      </c>
      <c r="E18" s="17" t="s">
        <v>11</v>
      </c>
      <c r="F18" s="17" t="s">
        <v>28</v>
      </c>
      <c r="I18" s="23" t="s">
        <v>30</v>
      </c>
    </row>
    <row r="19">
      <c r="A19" s="17" t="s">
        <v>44</v>
      </c>
      <c r="B19" s="18">
        <v>150000.0</v>
      </c>
      <c r="C19" s="19">
        <f t="shared" si="5"/>
        <v>2625</v>
      </c>
      <c r="D19" s="20">
        <v>45660.0</v>
      </c>
      <c r="E19" s="17" t="s">
        <v>24</v>
      </c>
      <c r="F19" s="17" t="s">
        <v>28</v>
      </c>
      <c r="H19" s="17" t="s">
        <v>45</v>
      </c>
      <c r="I19" s="23" t="s">
        <v>30</v>
      </c>
    </row>
    <row r="20">
      <c r="A20" s="17" t="s">
        <v>46</v>
      </c>
      <c r="B20" s="18">
        <v>100000.0</v>
      </c>
      <c r="C20" s="19">
        <f t="shared" ref="C20:C22" si="6">0.0125*B20</f>
        <v>1250</v>
      </c>
      <c r="D20" s="20">
        <v>45663.0</v>
      </c>
      <c r="E20" s="17" t="s">
        <v>11</v>
      </c>
      <c r="F20" s="17" t="s">
        <v>12</v>
      </c>
    </row>
    <row r="21">
      <c r="A21" s="17" t="s">
        <v>47</v>
      </c>
      <c r="B21" s="18">
        <v>300000.0</v>
      </c>
      <c r="C21" s="19">
        <f t="shared" si="6"/>
        <v>3750</v>
      </c>
      <c r="D21" s="20">
        <v>45663.0</v>
      </c>
      <c r="E21" s="17" t="s">
        <v>24</v>
      </c>
      <c r="F21" s="17" t="s">
        <v>12</v>
      </c>
      <c r="H21" s="17" t="s">
        <v>48</v>
      </c>
    </row>
    <row r="22">
      <c r="A22" s="17" t="s">
        <v>49</v>
      </c>
      <c r="B22" s="18">
        <v>85000.0</v>
      </c>
      <c r="C22" s="19">
        <f t="shared" si="6"/>
        <v>1062.5</v>
      </c>
      <c r="D22" s="20">
        <v>45663.0</v>
      </c>
      <c r="E22" s="17" t="s">
        <v>11</v>
      </c>
      <c r="F22" s="17" t="s">
        <v>12</v>
      </c>
    </row>
    <row r="23">
      <c r="A23" s="17" t="s">
        <v>50</v>
      </c>
      <c r="B23" s="18">
        <v>40000.0</v>
      </c>
      <c r="C23" s="19">
        <f>0.0175*B23</f>
        <v>700</v>
      </c>
      <c r="D23" s="20">
        <v>45664.0</v>
      </c>
      <c r="E23" s="17" t="s">
        <v>15</v>
      </c>
      <c r="F23" s="17" t="s">
        <v>28</v>
      </c>
      <c r="H23" s="17" t="s">
        <v>51</v>
      </c>
      <c r="I23" s="23" t="s">
        <v>30</v>
      </c>
      <c r="K23" s="17">
        <v>200.0</v>
      </c>
    </row>
    <row r="24">
      <c r="A24" s="17" t="s">
        <v>52</v>
      </c>
      <c r="B24" s="18">
        <v>1400000.0</v>
      </c>
      <c r="C24" s="19">
        <f>0.0125*B24</f>
        <v>17500</v>
      </c>
      <c r="D24" s="20">
        <v>45664.0</v>
      </c>
      <c r="E24" s="17" t="s">
        <v>11</v>
      </c>
      <c r="F24" s="17" t="s">
        <v>12</v>
      </c>
    </row>
    <row r="25">
      <c r="A25" s="17" t="s">
        <v>53</v>
      </c>
      <c r="B25" s="18">
        <v>125000.0</v>
      </c>
      <c r="C25" s="19">
        <f>0.0175*B25</f>
        <v>2187.5</v>
      </c>
      <c r="D25" s="20">
        <v>45664.0</v>
      </c>
      <c r="E25" s="17" t="s">
        <v>15</v>
      </c>
      <c r="F25" s="17" t="s">
        <v>28</v>
      </c>
      <c r="H25" s="17" t="s">
        <v>54</v>
      </c>
      <c r="K25" s="17">
        <v>750.0</v>
      </c>
    </row>
    <row r="26">
      <c r="A26" s="17" t="s">
        <v>55</v>
      </c>
      <c r="B26" s="18">
        <v>57000.0</v>
      </c>
      <c r="C26" s="19">
        <f t="shared" ref="C26:C27" si="7">0.0125*B26</f>
        <v>712.5</v>
      </c>
      <c r="D26" s="20">
        <v>45665.0</v>
      </c>
      <c r="E26" s="17" t="s">
        <v>15</v>
      </c>
      <c r="F26" s="17" t="s">
        <v>12</v>
      </c>
      <c r="H26" s="17" t="s">
        <v>54</v>
      </c>
      <c r="K26" s="17">
        <v>342.0</v>
      </c>
    </row>
    <row r="27">
      <c r="A27" s="17" t="s">
        <v>56</v>
      </c>
      <c r="B27" s="18">
        <v>50000.0</v>
      </c>
      <c r="C27" s="19">
        <f t="shared" si="7"/>
        <v>625</v>
      </c>
      <c r="D27" s="20">
        <v>45665.0</v>
      </c>
      <c r="E27" s="17" t="s">
        <v>15</v>
      </c>
      <c r="F27" s="17" t="s">
        <v>12</v>
      </c>
      <c r="H27" s="17" t="s">
        <v>54</v>
      </c>
      <c r="K27" s="17">
        <v>300.0</v>
      </c>
    </row>
    <row r="28">
      <c r="A28" s="17" t="s">
        <v>57</v>
      </c>
      <c r="B28" s="18">
        <v>300000.0</v>
      </c>
      <c r="C28" s="19">
        <f t="shared" ref="C28:C29" si="8">0.0175*B28</f>
        <v>5250</v>
      </c>
      <c r="D28" s="20">
        <v>45665.0</v>
      </c>
      <c r="E28" s="17" t="s">
        <v>24</v>
      </c>
      <c r="F28" s="17" t="s">
        <v>28</v>
      </c>
      <c r="H28" s="17" t="s">
        <v>58</v>
      </c>
      <c r="I28" s="23" t="s">
        <v>30</v>
      </c>
    </row>
    <row r="29">
      <c r="A29" s="17" t="s">
        <v>59</v>
      </c>
      <c r="B29" s="18">
        <v>140000.0</v>
      </c>
      <c r="C29" s="19">
        <f t="shared" si="8"/>
        <v>2450</v>
      </c>
      <c r="D29" s="20">
        <v>45665.0</v>
      </c>
      <c r="E29" s="25" t="s">
        <v>60</v>
      </c>
      <c r="F29" s="17" t="s">
        <v>28</v>
      </c>
      <c r="I29" s="23" t="s">
        <v>30</v>
      </c>
    </row>
    <row r="30">
      <c r="A30" s="17" t="s">
        <v>61</v>
      </c>
      <c r="B30" s="18">
        <v>5000.0</v>
      </c>
      <c r="C30" s="19">
        <f>0.0125*B30</f>
        <v>62.5</v>
      </c>
      <c r="D30" s="20">
        <v>45665.0</v>
      </c>
      <c r="E30" s="17" t="s">
        <v>11</v>
      </c>
      <c r="F30" s="17" t="s">
        <v>12</v>
      </c>
    </row>
    <row r="31">
      <c r="A31" s="17" t="s">
        <v>62</v>
      </c>
      <c r="B31" s="18">
        <v>150000.0</v>
      </c>
      <c r="C31" s="19">
        <f>0.0175*B31</f>
        <v>2625</v>
      </c>
      <c r="D31" s="20">
        <v>45665.0</v>
      </c>
      <c r="E31" s="17" t="s">
        <v>11</v>
      </c>
      <c r="F31" s="17" t="s">
        <v>41</v>
      </c>
    </row>
    <row r="32">
      <c r="A32" s="17" t="s">
        <v>63</v>
      </c>
      <c r="B32" s="18">
        <v>300000.0</v>
      </c>
      <c r="C32" s="19">
        <f>0.0125*B32</f>
        <v>3750</v>
      </c>
      <c r="D32" s="20">
        <v>45665.0</v>
      </c>
      <c r="E32" s="17" t="s">
        <v>11</v>
      </c>
      <c r="F32" s="17" t="s">
        <v>12</v>
      </c>
    </row>
    <row r="33">
      <c r="A33" s="17" t="s">
        <v>64</v>
      </c>
      <c r="B33" s="18">
        <v>200000.0</v>
      </c>
      <c r="C33" s="19">
        <f t="shared" ref="C33:C35" si="9">0.0175*B33</f>
        <v>3500</v>
      </c>
      <c r="D33" s="20">
        <v>45665.0</v>
      </c>
      <c r="E33" s="17" t="s">
        <v>24</v>
      </c>
      <c r="F33" s="17" t="s">
        <v>28</v>
      </c>
      <c r="H33" s="17" t="s">
        <v>58</v>
      </c>
      <c r="I33" s="23" t="s">
        <v>30</v>
      </c>
    </row>
    <row r="34">
      <c r="A34" s="17" t="s">
        <v>65</v>
      </c>
      <c r="B34" s="18">
        <v>250000.0</v>
      </c>
      <c r="C34" s="19">
        <f t="shared" si="9"/>
        <v>4375</v>
      </c>
      <c r="D34" s="20">
        <v>45665.0</v>
      </c>
      <c r="E34" s="17" t="s">
        <v>11</v>
      </c>
      <c r="F34" s="17" t="s">
        <v>28</v>
      </c>
      <c r="I34" s="23" t="s">
        <v>30</v>
      </c>
    </row>
    <row r="35">
      <c r="A35" s="17" t="s">
        <v>66</v>
      </c>
      <c r="B35" s="18">
        <v>80000.0</v>
      </c>
      <c r="C35" s="19">
        <f t="shared" si="9"/>
        <v>1400</v>
      </c>
      <c r="D35" s="20">
        <v>45665.0</v>
      </c>
      <c r="E35" s="17" t="s">
        <v>11</v>
      </c>
      <c r="F35" s="17" t="s">
        <v>67</v>
      </c>
      <c r="I35" s="23" t="s">
        <v>30</v>
      </c>
    </row>
    <row r="36">
      <c r="A36" s="17" t="s">
        <v>68</v>
      </c>
      <c r="B36" s="18">
        <v>150000.0</v>
      </c>
      <c r="C36" s="19">
        <f>0.0125*B36</f>
        <v>1875</v>
      </c>
      <c r="D36" s="20">
        <v>45666.0</v>
      </c>
      <c r="E36" s="17" t="s">
        <v>69</v>
      </c>
      <c r="F36" s="17" t="s">
        <v>12</v>
      </c>
      <c r="H36" s="17" t="s">
        <v>22</v>
      </c>
    </row>
    <row r="37">
      <c r="A37" s="17" t="s">
        <v>70</v>
      </c>
      <c r="B37" s="18">
        <v>25000.0</v>
      </c>
      <c r="C37" s="19">
        <f t="shared" ref="C37:C43" si="10">0.0175*B37</f>
        <v>437.5</v>
      </c>
      <c r="D37" s="20">
        <v>45666.0</v>
      </c>
      <c r="E37" s="17" t="s">
        <v>11</v>
      </c>
      <c r="F37" s="17" t="s">
        <v>41</v>
      </c>
    </row>
    <row r="38">
      <c r="A38" s="17" t="s">
        <v>71</v>
      </c>
      <c r="B38" s="18">
        <v>20000.0</v>
      </c>
      <c r="C38" s="19">
        <f t="shared" si="10"/>
        <v>350</v>
      </c>
      <c r="D38" s="20">
        <v>45666.0</v>
      </c>
      <c r="E38" s="17" t="s">
        <v>11</v>
      </c>
      <c r="F38" s="17" t="s">
        <v>28</v>
      </c>
    </row>
    <row r="39">
      <c r="A39" s="17" t="s">
        <v>72</v>
      </c>
      <c r="B39" s="18">
        <v>100000.0</v>
      </c>
      <c r="C39" s="19">
        <f t="shared" si="10"/>
        <v>1750</v>
      </c>
      <c r="D39" s="20">
        <v>45666.0</v>
      </c>
      <c r="E39" s="17" t="s">
        <v>73</v>
      </c>
      <c r="F39" s="17" t="s">
        <v>67</v>
      </c>
    </row>
    <row r="40">
      <c r="A40" s="17" t="s">
        <v>74</v>
      </c>
      <c r="B40" s="18">
        <v>400000.0</v>
      </c>
      <c r="C40" s="19">
        <f t="shared" si="10"/>
        <v>7000</v>
      </c>
      <c r="D40" s="20">
        <v>45666.0</v>
      </c>
      <c r="E40" s="17" t="s">
        <v>75</v>
      </c>
      <c r="F40" s="17" t="s">
        <v>28</v>
      </c>
      <c r="I40" s="23" t="s">
        <v>30</v>
      </c>
    </row>
    <row r="41">
      <c r="A41" s="17" t="s">
        <v>76</v>
      </c>
      <c r="B41" s="18">
        <v>100000.0</v>
      </c>
      <c r="C41" s="19">
        <f t="shared" si="10"/>
        <v>1750</v>
      </c>
      <c r="D41" s="20">
        <v>45666.0</v>
      </c>
      <c r="E41" s="17" t="s">
        <v>15</v>
      </c>
      <c r="F41" s="17" t="s">
        <v>67</v>
      </c>
      <c r="H41" s="17" t="s">
        <v>51</v>
      </c>
      <c r="I41" s="23" t="s">
        <v>30</v>
      </c>
      <c r="K41" s="17">
        <v>500.0</v>
      </c>
    </row>
    <row r="42">
      <c r="A42" s="17" t="s">
        <v>77</v>
      </c>
      <c r="B42" s="18">
        <v>50000.0</v>
      </c>
      <c r="C42" s="19">
        <f t="shared" si="10"/>
        <v>875</v>
      </c>
      <c r="D42" s="20">
        <v>45666.0</v>
      </c>
      <c r="E42" s="17" t="s">
        <v>60</v>
      </c>
      <c r="F42" s="17" t="s">
        <v>28</v>
      </c>
      <c r="I42" s="23" t="s">
        <v>30</v>
      </c>
    </row>
    <row r="43">
      <c r="A43" s="17" t="s">
        <v>78</v>
      </c>
      <c r="B43" s="18">
        <v>100000.0</v>
      </c>
      <c r="C43" s="19">
        <f t="shared" si="10"/>
        <v>1750</v>
      </c>
      <c r="D43" s="20">
        <v>45666.0</v>
      </c>
      <c r="E43" s="17" t="s">
        <v>15</v>
      </c>
      <c r="F43" s="17" t="s">
        <v>28</v>
      </c>
      <c r="H43" s="17" t="s">
        <v>35</v>
      </c>
      <c r="I43" s="23" t="s">
        <v>30</v>
      </c>
      <c r="K43" s="17">
        <v>200.0</v>
      </c>
    </row>
    <row r="44">
      <c r="A44" s="17" t="s">
        <v>79</v>
      </c>
      <c r="B44" s="18">
        <v>1600000.0</v>
      </c>
      <c r="C44" s="19">
        <f>0.0125*B44</f>
        <v>20000</v>
      </c>
      <c r="D44" s="20">
        <v>45666.0</v>
      </c>
      <c r="E44" s="17" t="s">
        <v>11</v>
      </c>
      <c r="F44" s="17" t="s">
        <v>12</v>
      </c>
    </row>
    <row r="45">
      <c r="A45" s="17" t="s">
        <v>80</v>
      </c>
      <c r="B45" s="18">
        <v>125000.0</v>
      </c>
      <c r="C45" s="19">
        <f>0.0175*B45</f>
        <v>2187.5</v>
      </c>
      <c r="D45" s="20">
        <v>45666.0</v>
      </c>
      <c r="E45" s="17" t="s">
        <v>15</v>
      </c>
      <c r="F45" s="17" t="s">
        <v>28</v>
      </c>
      <c r="H45" s="17" t="s">
        <v>35</v>
      </c>
      <c r="I45" s="23" t="s">
        <v>30</v>
      </c>
      <c r="K45" s="17">
        <v>250.0</v>
      </c>
    </row>
    <row r="46">
      <c r="A46" s="17" t="s">
        <v>81</v>
      </c>
      <c r="B46" s="18">
        <v>75000.0</v>
      </c>
      <c r="C46" s="19">
        <f t="shared" ref="C46:C47" si="11">0.0125*B46</f>
        <v>937.5</v>
      </c>
      <c r="D46" s="20">
        <v>45666.0</v>
      </c>
      <c r="E46" s="17" t="s">
        <v>11</v>
      </c>
      <c r="F46" s="17" t="s">
        <v>12</v>
      </c>
    </row>
    <row r="47">
      <c r="A47" s="26" t="s">
        <v>82</v>
      </c>
      <c r="B47" s="18">
        <v>45000.0</v>
      </c>
      <c r="C47" s="19">
        <f t="shared" si="11"/>
        <v>562.5</v>
      </c>
      <c r="D47" s="20">
        <v>45666.0</v>
      </c>
      <c r="E47" s="17" t="s">
        <v>11</v>
      </c>
      <c r="F47" s="17" t="s">
        <v>12</v>
      </c>
    </row>
    <row r="48">
      <c r="A48" s="26" t="s">
        <v>83</v>
      </c>
      <c r="B48" s="18">
        <v>30000.0</v>
      </c>
      <c r="C48" s="19">
        <f>0.0175*B48</f>
        <v>525</v>
      </c>
      <c r="D48" s="20">
        <v>45667.0</v>
      </c>
      <c r="E48" s="17" t="s">
        <v>60</v>
      </c>
      <c r="F48" s="17" t="s">
        <v>28</v>
      </c>
    </row>
    <row r="49">
      <c r="A49" s="17" t="s">
        <v>84</v>
      </c>
      <c r="B49" s="18">
        <v>1350000.0</v>
      </c>
      <c r="C49" s="19">
        <f t="shared" ref="C49:C52" si="12">0.0125*B49</f>
        <v>16875</v>
      </c>
      <c r="D49" s="20">
        <v>45667.0</v>
      </c>
      <c r="E49" s="17" t="s">
        <v>24</v>
      </c>
      <c r="F49" s="17" t="s">
        <v>12</v>
      </c>
      <c r="H49" s="17" t="s">
        <v>48</v>
      </c>
    </row>
    <row r="50">
      <c r="A50" s="17" t="s">
        <v>85</v>
      </c>
      <c r="B50" s="18">
        <v>152000.0</v>
      </c>
      <c r="C50" s="19">
        <f t="shared" si="12"/>
        <v>1900</v>
      </c>
      <c r="D50" s="20">
        <v>45667.0</v>
      </c>
      <c r="E50" s="17" t="s">
        <v>73</v>
      </c>
      <c r="F50" s="17" t="s">
        <v>12</v>
      </c>
    </row>
    <row r="51">
      <c r="A51" s="17" t="s">
        <v>86</v>
      </c>
      <c r="B51" s="18">
        <v>350000.0</v>
      </c>
      <c r="C51" s="19">
        <f t="shared" si="12"/>
        <v>4375</v>
      </c>
      <c r="D51" s="20">
        <v>45667.0</v>
      </c>
      <c r="E51" s="17" t="s">
        <v>11</v>
      </c>
      <c r="F51" s="17" t="s">
        <v>12</v>
      </c>
    </row>
    <row r="52">
      <c r="A52" s="17" t="s">
        <v>87</v>
      </c>
      <c r="B52" s="18">
        <v>200000.0</v>
      </c>
      <c r="C52" s="19">
        <f t="shared" si="12"/>
        <v>2500</v>
      </c>
      <c r="D52" s="20">
        <v>45667.0</v>
      </c>
      <c r="E52" s="17" t="s">
        <v>11</v>
      </c>
      <c r="F52" s="17" t="s">
        <v>12</v>
      </c>
    </row>
    <row r="53">
      <c r="A53" s="17" t="s">
        <v>88</v>
      </c>
      <c r="B53" s="18">
        <v>170000.0</v>
      </c>
      <c r="C53" s="19">
        <f>0.0175*B53</f>
        <v>2975</v>
      </c>
      <c r="D53" s="20">
        <v>45667.0</v>
      </c>
      <c r="E53" s="17" t="s">
        <v>60</v>
      </c>
      <c r="F53" s="17" t="s">
        <v>28</v>
      </c>
      <c r="I53" s="23" t="s">
        <v>30</v>
      </c>
    </row>
    <row r="54">
      <c r="A54" s="17" t="s">
        <v>89</v>
      </c>
      <c r="B54" s="18">
        <v>75000.0</v>
      </c>
      <c r="C54" s="19">
        <f t="shared" ref="C54:C58" si="13">0.0125*B54</f>
        <v>937.5</v>
      </c>
      <c r="D54" s="20">
        <v>45667.0</v>
      </c>
      <c r="E54" s="17" t="s">
        <v>15</v>
      </c>
      <c r="F54" s="17" t="s">
        <v>12</v>
      </c>
      <c r="H54" s="17" t="s">
        <v>16</v>
      </c>
      <c r="K54" s="17">
        <v>300.0</v>
      </c>
    </row>
    <row r="55">
      <c r="A55" s="17" t="s">
        <v>90</v>
      </c>
      <c r="B55" s="18">
        <v>150000.0</v>
      </c>
      <c r="C55" s="19">
        <f t="shared" si="13"/>
        <v>1875</v>
      </c>
      <c r="D55" s="20">
        <v>45670.0</v>
      </c>
      <c r="E55" s="17" t="s">
        <v>73</v>
      </c>
      <c r="F55" s="17" t="s">
        <v>12</v>
      </c>
    </row>
    <row r="56">
      <c r="A56" s="17" t="s">
        <v>91</v>
      </c>
      <c r="B56" s="18">
        <v>750000.0</v>
      </c>
      <c r="C56" s="19">
        <f t="shared" si="13"/>
        <v>9375</v>
      </c>
      <c r="D56" s="20">
        <v>45670.0</v>
      </c>
      <c r="E56" s="17" t="s">
        <v>92</v>
      </c>
      <c r="F56" s="17" t="s">
        <v>12</v>
      </c>
    </row>
    <row r="57">
      <c r="A57" s="17" t="s">
        <v>93</v>
      </c>
      <c r="B57" s="18">
        <v>400000.0</v>
      </c>
      <c r="C57" s="19">
        <f t="shared" si="13"/>
        <v>5000</v>
      </c>
      <c r="D57" s="20">
        <v>45670.0</v>
      </c>
      <c r="E57" s="17" t="s">
        <v>11</v>
      </c>
      <c r="F57" s="17" t="s">
        <v>12</v>
      </c>
    </row>
    <row r="58">
      <c r="A58" s="17" t="s">
        <v>94</v>
      </c>
      <c r="B58" s="18">
        <v>95000.0</v>
      </c>
      <c r="C58" s="19">
        <f t="shared" si="13"/>
        <v>1187.5</v>
      </c>
      <c r="D58" s="20">
        <v>45670.0</v>
      </c>
      <c r="E58" s="17" t="s">
        <v>15</v>
      </c>
      <c r="F58" s="17" t="s">
        <v>12</v>
      </c>
      <c r="H58" s="17" t="s">
        <v>16</v>
      </c>
      <c r="K58" s="17">
        <v>380.0</v>
      </c>
    </row>
    <row r="59">
      <c r="A59" s="17" t="s">
        <v>95</v>
      </c>
      <c r="B59" s="18">
        <v>200000.0</v>
      </c>
      <c r="C59" s="19">
        <f t="shared" ref="C59:C65" si="14">0.0175*B59</f>
        <v>3500</v>
      </c>
      <c r="D59" s="20">
        <v>45670.0</v>
      </c>
      <c r="E59" s="17" t="s">
        <v>11</v>
      </c>
      <c r="F59" s="17" t="s">
        <v>28</v>
      </c>
      <c r="I59" s="23" t="s">
        <v>30</v>
      </c>
    </row>
    <row r="60">
      <c r="A60" s="17" t="s">
        <v>96</v>
      </c>
      <c r="B60" s="18">
        <v>200000.0</v>
      </c>
      <c r="C60" s="19">
        <f t="shared" si="14"/>
        <v>3500</v>
      </c>
      <c r="D60" s="20">
        <v>45670.0</v>
      </c>
      <c r="E60" s="17" t="s">
        <v>11</v>
      </c>
      <c r="F60" s="17" t="s">
        <v>28</v>
      </c>
      <c r="I60" s="23" t="s">
        <v>30</v>
      </c>
    </row>
    <row r="61">
      <c r="A61" s="17" t="s">
        <v>97</v>
      </c>
      <c r="B61" s="18">
        <v>300000.0</v>
      </c>
      <c r="C61" s="19">
        <f t="shared" si="14"/>
        <v>5250</v>
      </c>
      <c r="D61" s="20">
        <v>45670.0</v>
      </c>
      <c r="E61" s="17" t="s">
        <v>15</v>
      </c>
      <c r="F61" s="17" t="s">
        <v>28</v>
      </c>
      <c r="H61" s="17" t="s">
        <v>98</v>
      </c>
      <c r="I61" s="23" t="s">
        <v>30</v>
      </c>
      <c r="K61" s="17">
        <v>900.0</v>
      </c>
    </row>
    <row r="62">
      <c r="A62" s="17" t="s">
        <v>78</v>
      </c>
      <c r="B62" s="18">
        <v>60000.0</v>
      </c>
      <c r="C62" s="19">
        <f t="shared" si="14"/>
        <v>1050</v>
      </c>
      <c r="D62" s="20">
        <v>45671.0</v>
      </c>
      <c r="E62" s="17" t="s">
        <v>15</v>
      </c>
      <c r="F62" s="17" t="s">
        <v>67</v>
      </c>
      <c r="H62" s="17" t="s">
        <v>35</v>
      </c>
      <c r="I62" s="23" t="s">
        <v>30</v>
      </c>
      <c r="K62" s="17">
        <v>120.0</v>
      </c>
    </row>
    <row r="63">
      <c r="A63" s="17" t="s">
        <v>99</v>
      </c>
      <c r="B63" s="18">
        <v>200000.0</v>
      </c>
      <c r="C63" s="19">
        <f t="shared" si="14"/>
        <v>3500</v>
      </c>
      <c r="D63" s="20">
        <v>45671.0</v>
      </c>
      <c r="E63" s="17" t="s">
        <v>11</v>
      </c>
      <c r="F63" s="17" t="s">
        <v>28</v>
      </c>
      <c r="I63" s="23" t="s">
        <v>30</v>
      </c>
    </row>
    <row r="64">
      <c r="A64" s="17" t="s">
        <v>100</v>
      </c>
      <c r="B64" s="18">
        <v>75000.0</v>
      </c>
      <c r="C64" s="19">
        <f t="shared" si="14"/>
        <v>1312.5</v>
      </c>
      <c r="D64" s="20">
        <v>45671.0</v>
      </c>
      <c r="E64" s="17" t="s">
        <v>60</v>
      </c>
      <c r="F64" s="17" t="s">
        <v>28</v>
      </c>
      <c r="I64" s="23" t="s">
        <v>30</v>
      </c>
    </row>
    <row r="65">
      <c r="A65" s="17" t="s">
        <v>101</v>
      </c>
      <c r="B65" s="18">
        <v>35000.0</v>
      </c>
      <c r="C65" s="19">
        <f t="shared" si="14"/>
        <v>612.5</v>
      </c>
      <c r="D65" s="20">
        <v>45671.0</v>
      </c>
      <c r="E65" s="17" t="s">
        <v>15</v>
      </c>
      <c r="F65" s="17" t="s">
        <v>28</v>
      </c>
      <c r="H65" s="17" t="s">
        <v>54</v>
      </c>
      <c r="K65" s="17">
        <v>210.0</v>
      </c>
    </row>
    <row r="66">
      <c r="A66" s="17" t="s">
        <v>102</v>
      </c>
      <c r="B66" s="18">
        <v>100000.0</v>
      </c>
      <c r="C66" s="19">
        <f t="shared" ref="C66:C71" si="15">0.0125*B66</f>
        <v>1250</v>
      </c>
      <c r="D66" s="20">
        <v>45671.0</v>
      </c>
      <c r="E66" s="17" t="s">
        <v>11</v>
      </c>
      <c r="F66" s="17" t="s">
        <v>12</v>
      </c>
    </row>
    <row r="67">
      <c r="A67" s="17" t="s">
        <v>103</v>
      </c>
      <c r="B67" s="18">
        <v>110000.0</v>
      </c>
      <c r="C67" s="19">
        <f t="shared" si="15"/>
        <v>1375</v>
      </c>
      <c r="D67" s="20">
        <v>45671.0</v>
      </c>
      <c r="E67" s="17" t="s">
        <v>11</v>
      </c>
      <c r="F67" s="17" t="s">
        <v>12</v>
      </c>
    </row>
    <row r="68">
      <c r="A68" s="17" t="s">
        <v>104</v>
      </c>
      <c r="B68" s="18">
        <v>90000.0</v>
      </c>
      <c r="C68" s="19">
        <f t="shared" si="15"/>
        <v>1125</v>
      </c>
      <c r="D68" s="20">
        <v>45671.0</v>
      </c>
      <c r="E68" s="17" t="s">
        <v>69</v>
      </c>
      <c r="F68" s="17" t="s">
        <v>12</v>
      </c>
      <c r="H68" s="17" t="s">
        <v>22</v>
      </c>
    </row>
    <row r="69">
      <c r="A69" s="17" t="s">
        <v>105</v>
      </c>
      <c r="B69" s="18">
        <v>112000.0</v>
      </c>
      <c r="C69" s="19">
        <f t="shared" si="15"/>
        <v>1400</v>
      </c>
      <c r="D69" s="20">
        <v>45671.0</v>
      </c>
      <c r="E69" s="17" t="s">
        <v>73</v>
      </c>
      <c r="F69" s="17" t="s">
        <v>12</v>
      </c>
    </row>
    <row r="70">
      <c r="A70" s="17" t="s">
        <v>106</v>
      </c>
      <c r="B70" s="18">
        <v>50000.0</v>
      </c>
      <c r="C70" s="19">
        <f t="shared" si="15"/>
        <v>625</v>
      </c>
      <c r="D70" s="20">
        <v>45671.0</v>
      </c>
      <c r="E70" s="17" t="s">
        <v>60</v>
      </c>
      <c r="F70" s="17" t="s">
        <v>12</v>
      </c>
    </row>
    <row r="71">
      <c r="A71" s="17" t="s">
        <v>107</v>
      </c>
      <c r="B71" s="18">
        <v>100000.0</v>
      </c>
      <c r="C71" s="19">
        <f t="shared" si="15"/>
        <v>1250</v>
      </c>
      <c r="D71" s="20">
        <v>45671.0</v>
      </c>
      <c r="E71" s="17" t="s">
        <v>24</v>
      </c>
      <c r="F71" s="17" t="s">
        <v>12</v>
      </c>
      <c r="H71" s="17" t="s">
        <v>25</v>
      </c>
    </row>
    <row r="72">
      <c r="A72" s="17" t="s">
        <v>108</v>
      </c>
      <c r="B72" s="18">
        <v>75000.0</v>
      </c>
      <c r="C72" s="19">
        <f>0.0175*B72</f>
        <v>1312.5</v>
      </c>
      <c r="D72" s="20">
        <v>45671.0</v>
      </c>
      <c r="E72" s="17" t="s">
        <v>15</v>
      </c>
      <c r="F72" s="17" t="s">
        <v>28</v>
      </c>
      <c r="H72" s="17" t="s">
        <v>54</v>
      </c>
      <c r="I72" s="23" t="s">
        <v>30</v>
      </c>
      <c r="K72" s="17">
        <v>450.0</v>
      </c>
    </row>
    <row r="73">
      <c r="A73" s="17" t="s">
        <v>109</v>
      </c>
      <c r="B73" s="18">
        <v>750000.0</v>
      </c>
      <c r="C73" s="19">
        <f>0.0125*B73</f>
        <v>9375</v>
      </c>
      <c r="D73" s="20">
        <v>45672.0</v>
      </c>
      <c r="E73" s="17" t="s">
        <v>11</v>
      </c>
      <c r="F73" s="17" t="s">
        <v>12</v>
      </c>
    </row>
    <row r="74">
      <c r="A74" s="17" t="s">
        <v>110</v>
      </c>
      <c r="B74" s="18">
        <v>75000.0</v>
      </c>
      <c r="C74" s="19">
        <f t="shared" ref="C74:C75" si="16">0.0175*B74</f>
        <v>1312.5</v>
      </c>
      <c r="D74" s="20">
        <v>45672.0</v>
      </c>
      <c r="E74" s="17" t="s">
        <v>24</v>
      </c>
      <c r="F74" s="17" t="s">
        <v>28</v>
      </c>
      <c r="H74" s="17" t="s">
        <v>58</v>
      </c>
      <c r="I74" s="23" t="s">
        <v>30</v>
      </c>
    </row>
    <row r="75">
      <c r="A75" s="17" t="s">
        <v>111</v>
      </c>
      <c r="B75" s="18">
        <v>195000.0</v>
      </c>
      <c r="C75" s="19">
        <f t="shared" si="16"/>
        <v>3412.5</v>
      </c>
      <c r="D75" s="20">
        <v>45672.0</v>
      </c>
      <c r="E75" s="17" t="s">
        <v>60</v>
      </c>
      <c r="F75" s="17" t="s">
        <v>28</v>
      </c>
      <c r="I75" s="23" t="s">
        <v>30</v>
      </c>
    </row>
    <row r="76">
      <c r="A76" s="17" t="s">
        <v>112</v>
      </c>
      <c r="B76" s="18">
        <v>100000.0</v>
      </c>
      <c r="C76" s="19">
        <f>0.0125*B76</f>
        <v>1250</v>
      </c>
      <c r="D76" s="20">
        <v>45672.0</v>
      </c>
      <c r="E76" s="17" t="s">
        <v>11</v>
      </c>
      <c r="F76" s="17" t="s">
        <v>12</v>
      </c>
    </row>
    <row r="77">
      <c r="A77" s="17" t="s">
        <v>113</v>
      </c>
      <c r="B77" s="18">
        <v>225000.0</v>
      </c>
      <c r="C77" s="19">
        <f>0.0175*B77</f>
        <v>3937.5</v>
      </c>
      <c r="D77" s="20">
        <v>45672.0</v>
      </c>
      <c r="E77" s="17" t="s">
        <v>15</v>
      </c>
      <c r="F77" s="17" t="s">
        <v>28</v>
      </c>
      <c r="H77" s="17" t="s">
        <v>35</v>
      </c>
      <c r="I77" s="23" t="s">
        <v>30</v>
      </c>
      <c r="K77" s="17">
        <v>450.0</v>
      </c>
    </row>
    <row r="78">
      <c r="A78" s="17" t="s">
        <v>114</v>
      </c>
      <c r="B78" s="18">
        <v>100000.0</v>
      </c>
      <c r="C78" s="19">
        <f>0.0125*B78</f>
        <v>1250</v>
      </c>
      <c r="D78" s="20">
        <v>45672.0</v>
      </c>
      <c r="E78" s="17" t="s">
        <v>11</v>
      </c>
      <c r="F78" s="17" t="s">
        <v>12</v>
      </c>
    </row>
    <row r="79">
      <c r="A79" s="17" t="s">
        <v>115</v>
      </c>
      <c r="B79" s="18">
        <v>400000.0</v>
      </c>
      <c r="C79" s="19">
        <f t="shared" ref="C79:C81" si="17">0.0175*B79</f>
        <v>7000</v>
      </c>
      <c r="D79" s="20">
        <v>45672.0</v>
      </c>
      <c r="E79" s="17" t="s">
        <v>116</v>
      </c>
      <c r="F79" s="17" t="s">
        <v>28</v>
      </c>
      <c r="H79" s="17" t="s">
        <v>13</v>
      </c>
      <c r="I79" s="23" t="s">
        <v>30</v>
      </c>
    </row>
    <row r="80">
      <c r="A80" s="17" t="s">
        <v>117</v>
      </c>
      <c r="B80" s="18">
        <v>250000.0</v>
      </c>
      <c r="C80" s="19">
        <f t="shared" si="17"/>
        <v>4375</v>
      </c>
      <c r="D80" s="20">
        <v>45672.0</v>
      </c>
      <c r="E80" s="17" t="s">
        <v>118</v>
      </c>
      <c r="F80" s="17" t="s">
        <v>28</v>
      </c>
      <c r="H80" s="17" t="s">
        <v>13</v>
      </c>
      <c r="I80" s="23" t="s">
        <v>30</v>
      </c>
    </row>
    <row r="81">
      <c r="A81" s="17" t="s">
        <v>119</v>
      </c>
      <c r="B81" s="18">
        <v>100000.0</v>
      </c>
      <c r="C81" s="19">
        <f t="shared" si="17"/>
        <v>1750</v>
      </c>
      <c r="D81" s="20">
        <v>45672.0</v>
      </c>
      <c r="E81" s="17" t="s">
        <v>15</v>
      </c>
      <c r="F81" s="17" t="s">
        <v>28</v>
      </c>
      <c r="H81" s="17" t="s">
        <v>98</v>
      </c>
      <c r="I81" s="23" t="s">
        <v>30</v>
      </c>
      <c r="K81" s="17">
        <v>300.0</v>
      </c>
    </row>
    <row r="82">
      <c r="A82" s="17" t="s">
        <v>120</v>
      </c>
      <c r="B82" s="18">
        <v>10000.0</v>
      </c>
      <c r="C82" s="19">
        <f>0.0125*B82</f>
        <v>125</v>
      </c>
      <c r="D82" s="20">
        <v>45673.0</v>
      </c>
      <c r="E82" s="17" t="s">
        <v>15</v>
      </c>
      <c r="F82" s="17" t="s">
        <v>12</v>
      </c>
      <c r="H82" s="17" t="s">
        <v>54</v>
      </c>
      <c r="K82" s="17">
        <v>60.0</v>
      </c>
    </row>
    <row r="83">
      <c r="A83" s="17" t="s">
        <v>121</v>
      </c>
      <c r="B83" s="18">
        <v>30000.0</v>
      </c>
      <c r="C83" s="19">
        <f>0.0175*B83</f>
        <v>525</v>
      </c>
      <c r="D83" s="20">
        <v>45673.0</v>
      </c>
      <c r="E83" s="17" t="s">
        <v>11</v>
      </c>
      <c r="F83" s="17" t="s">
        <v>28</v>
      </c>
    </row>
    <row r="84">
      <c r="A84" s="17" t="s">
        <v>122</v>
      </c>
      <c r="B84" s="18">
        <v>30000.0</v>
      </c>
      <c r="C84" s="19">
        <f>0.0125*B84</f>
        <v>375</v>
      </c>
      <c r="D84" s="20">
        <v>45673.0</v>
      </c>
      <c r="E84" s="17" t="s">
        <v>11</v>
      </c>
      <c r="F84" s="17" t="s">
        <v>12</v>
      </c>
    </row>
    <row r="85">
      <c r="A85" s="17" t="s">
        <v>123</v>
      </c>
      <c r="B85" s="18">
        <v>50000.0</v>
      </c>
      <c r="C85" s="19">
        <f t="shared" ref="C85:C87" si="18">0.0175*B85</f>
        <v>875</v>
      </c>
      <c r="D85" s="20">
        <v>45673.0</v>
      </c>
      <c r="E85" s="17" t="s">
        <v>11</v>
      </c>
      <c r="F85" s="17" t="s">
        <v>67</v>
      </c>
      <c r="I85" s="23" t="s">
        <v>30</v>
      </c>
    </row>
    <row r="86">
      <c r="A86" s="17" t="s">
        <v>124</v>
      </c>
      <c r="B86" s="18">
        <v>50000.0</v>
      </c>
      <c r="C86" s="19">
        <f t="shared" si="18"/>
        <v>875</v>
      </c>
      <c r="D86" s="20">
        <v>45673.0</v>
      </c>
      <c r="E86" s="17" t="s">
        <v>11</v>
      </c>
      <c r="F86" s="17" t="s">
        <v>28</v>
      </c>
    </row>
    <row r="87">
      <c r="A87" s="17" t="s">
        <v>125</v>
      </c>
      <c r="B87" s="18">
        <v>80000.0</v>
      </c>
      <c r="C87" s="19">
        <f t="shared" si="18"/>
        <v>1400</v>
      </c>
      <c r="D87" s="20">
        <v>45673.0</v>
      </c>
      <c r="E87" s="17" t="s">
        <v>24</v>
      </c>
      <c r="F87" s="17" t="s">
        <v>28</v>
      </c>
      <c r="H87" s="17" t="s">
        <v>58</v>
      </c>
      <c r="I87" s="23" t="s">
        <v>30</v>
      </c>
    </row>
    <row r="88">
      <c r="A88" s="17" t="s">
        <v>126</v>
      </c>
      <c r="B88" s="18">
        <v>35000.0</v>
      </c>
      <c r="C88" s="19">
        <f>0.0125*B88</f>
        <v>437.5</v>
      </c>
      <c r="D88" s="20">
        <v>45673.0</v>
      </c>
      <c r="E88" s="17" t="s">
        <v>15</v>
      </c>
      <c r="F88" s="17" t="s">
        <v>12</v>
      </c>
      <c r="H88" s="17" t="s">
        <v>54</v>
      </c>
      <c r="K88" s="17">
        <v>210.0</v>
      </c>
    </row>
    <row r="89">
      <c r="A89" s="17" t="s">
        <v>127</v>
      </c>
      <c r="B89" s="18">
        <v>250000.0</v>
      </c>
      <c r="C89" s="19">
        <f>0.0175*B89</f>
        <v>4375</v>
      </c>
      <c r="D89" s="20">
        <v>45674.0</v>
      </c>
      <c r="E89" s="17" t="s">
        <v>24</v>
      </c>
      <c r="F89" s="17" t="s">
        <v>28</v>
      </c>
      <c r="H89" s="17" t="s">
        <v>58</v>
      </c>
      <c r="I89" s="23" t="s">
        <v>30</v>
      </c>
    </row>
    <row r="90">
      <c r="A90" s="17" t="s">
        <v>107</v>
      </c>
      <c r="B90" s="18">
        <v>50000.0</v>
      </c>
      <c r="C90" s="19">
        <f>0.0125*B90</f>
        <v>625</v>
      </c>
      <c r="D90" s="20">
        <v>45674.0</v>
      </c>
      <c r="E90" s="17" t="s">
        <v>24</v>
      </c>
      <c r="F90" s="17" t="s">
        <v>12</v>
      </c>
      <c r="H90" s="17" t="s">
        <v>25</v>
      </c>
    </row>
    <row r="91">
      <c r="A91" s="21" t="s">
        <v>128</v>
      </c>
      <c r="B91" s="18">
        <v>50000.0</v>
      </c>
      <c r="C91" s="19">
        <f>0.0175*B91</f>
        <v>875</v>
      </c>
      <c r="D91" s="20">
        <v>45674.0</v>
      </c>
      <c r="E91" s="17" t="s">
        <v>11</v>
      </c>
      <c r="F91" s="17" t="s">
        <v>28</v>
      </c>
      <c r="I91" s="23" t="s">
        <v>30</v>
      </c>
    </row>
    <row r="92">
      <c r="A92" s="17" t="s">
        <v>129</v>
      </c>
      <c r="B92" s="18">
        <v>700000.0</v>
      </c>
      <c r="C92" s="19">
        <f>0.0125*B92</f>
        <v>8750</v>
      </c>
      <c r="D92" s="20">
        <v>45674.0</v>
      </c>
      <c r="E92" s="17" t="s">
        <v>24</v>
      </c>
      <c r="F92" s="17" t="s">
        <v>12</v>
      </c>
      <c r="H92" s="17" t="s">
        <v>48</v>
      </c>
    </row>
    <row r="93">
      <c r="A93" s="17" t="s">
        <v>130</v>
      </c>
      <c r="B93" s="18">
        <v>100000.0</v>
      </c>
      <c r="C93" s="19">
        <f t="shared" ref="C93:C95" si="19">0.0175*B93</f>
        <v>1750</v>
      </c>
      <c r="D93" s="20">
        <v>45674.0</v>
      </c>
      <c r="E93" s="17" t="s">
        <v>11</v>
      </c>
      <c r="F93" s="17" t="s">
        <v>28</v>
      </c>
      <c r="I93" s="23" t="s">
        <v>30</v>
      </c>
    </row>
    <row r="94">
      <c r="A94" s="17" t="s">
        <v>131</v>
      </c>
      <c r="B94" s="18">
        <v>25000.0</v>
      </c>
      <c r="C94" s="19">
        <f t="shared" si="19"/>
        <v>437.5</v>
      </c>
      <c r="D94" s="20">
        <v>45674.0</v>
      </c>
      <c r="E94" s="17" t="s">
        <v>11</v>
      </c>
      <c r="F94" s="17" t="s">
        <v>28</v>
      </c>
    </row>
    <row r="95">
      <c r="A95" s="17" t="s">
        <v>132</v>
      </c>
      <c r="B95" s="18">
        <v>20000.0</v>
      </c>
      <c r="C95" s="19">
        <f t="shared" si="19"/>
        <v>350</v>
      </c>
      <c r="D95" s="20">
        <v>45674.0</v>
      </c>
      <c r="E95" s="17" t="s">
        <v>11</v>
      </c>
      <c r="F95" s="17" t="s">
        <v>28</v>
      </c>
    </row>
    <row r="96">
      <c r="A96" s="17" t="s">
        <v>133</v>
      </c>
      <c r="B96" s="18">
        <v>60000.0</v>
      </c>
      <c r="C96" s="19">
        <f t="shared" ref="C96:C97" si="20">0.0125*B96</f>
        <v>750</v>
      </c>
      <c r="D96" s="20">
        <v>45674.0</v>
      </c>
      <c r="E96" s="17" t="s">
        <v>11</v>
      </c>
      <c r="F96" s="17" t="s">
        <v>12</v>
      </c>
    </row>
    <row r="97">
      <c r="A97" s="17" t="s">
        <v>134</v>
      </c>
      <c r="B97" s="18">
        <v>275000.0</v>
      </c>
      <c r="C97" s="19">
        <f t="shared" si="20"/>
        <v>3437.5</v>
      </c>
      <c r="D97" s="20">
        <v>45674.0</v>
      </c>
      <c r="E97" s="17" t="s">
        <v>135</v>
      </c>
      <c r="F97" s="17" t="s">
        <v>12</v>
      </c>
      <c r="H97" s="17" t="s">
        <v>22</v>
      </c>
    </row>
    <row r="98">
      <c r="A98" s="17" t="s">
        <v>136</v>
      </c>
      <c r="B98" s="18">
        <v>75000.0</v>
      </c>
      <c r="C98" s="19">
        <f>0.0175*B98</f>
        <v>1312.5</v>
      </c>
      <c r="D98" s="20">
        <v>45674.0</v>
      </c>
      <c r="E98" s="17" t="s">
        <v>60</v>
      </c>
      <c r="F98" s="17" t="s">
        <v>28</v>
      </c>
      <c r="I98" s="23" t="s">
        <v>30</v>
      </c>
    </row>
    <row r="99">
      <c r="A99" s="17" t="s">
        <v>137</v>
      </c>
      <c r="B99" s="18">
        <v>150000.0</v>
      </c>
      <c r="C99" s="19">
        <f>0.0125*B99</f>
        <v>1875</v>
      </c>
      <c r="D99" s="20">
        <v>45674.0</v>
      </c>
      <c r="E99" s="17" t="s">
        <v>15</v>
      </c>
      <c r="F99" s="17" t="s">
        <v>12</v>
      </c>
      <c r="H99" s="17" t="s">
        <v>51</v>
      </c>
      <c r="K99" s="17">
        <v>750.0</v>
      </c>
    </row>
    <row r="100">
      <c r="A100" s="17" t="s">
        <v>138</v>
      </c>
      <c r="B100" s="18">
        <v>150000.0</v>
      </c>
      <c r="C100" s="19">
        <f t="shared" ref="C100:C101" si="21">0.0175*B100</f>
        <v>2625</v>
      </c>
      <c r="D100" s="20">
        <v>45674.0</v>
      </c>
      <c r="E100" s="17" t="s">
        <v>11</v>
      </c>
      <c r="F100" s="17" t="s">
        <v>28</v>
      </c>
      <c r="I100" s="23" t="s">
        <v>30</v>
      </c>
    </row>
    <row r="101">
      <c r="A101" s="17" t="s">
        <v>139</v>
      </c>
      <c r="B101" s="18">
        <v>225000.0</v>
      </c>
      <c r="C101" s="19">
        <f t="shared" si="21"/>
        <v>3937.5</v>
      </c>
      <c r="D101" s="20">
        <v>45678.0</v>
      </c>
      <c r="E101" s="17" t="s">
        <v>11</v>
      </c>
      <c r="F101" s="17" t="s">
        <v>28</v>
      </c>
      <c r="I101" s="23" t="s">
        <v>30</v>
      </c>
    </row>
    <row r="102">
      <c r="A102" s="17" t="s">
        <v>140</v>
      </c>
      <c r="B102" s="18">
        <v>65000.0</v>
      </c>
      <c r="C102" s="19">
        <f>0.0125*B102</f>
        <v>812.5</v>
      </c>
      <c r="D102" s="20">
        <v>45678.0</v>
      </c>
      <c r="E102" s="17" t="s">
        <v>11</v>
      </c>
      <c r="F102" s="17" t="s">
        <v>12</v>
      </c>
    </row>
    <row r="103">
      <c r="A103" s="17" t="s">
        <v>141</v>
      </c>
      <c r="B103" s="18">
        <v>20000.0</v>
      </c>
      <c r="C103" s="19">
        <f t="shared" ref="C103:C104" si="22">0.0175*B103</f>
        <v>350</v>
      </c>
      <c r="D103" s="20">
        <v>45678.0</v>
      </c>
      <c r="E103" s="17" t="s">
        <v>11</v>
      </c>
      <c r="F103" s="17" t="s">
        <v>28</v>
      </c>
      <c r="I103" s="23" t="s">
        <v>30</v>
      </c>
    </row>
    <row r="104">
      <c r="A104" s="17" t="s">
        <v>142</v>
      </c>
      <c r="B104" s="18">
        <v>200000.0</v>
      </c>
      <c r="C104" s="19">
        <f t="shared" si="22"/>
        <v>3500</v>
      </c>
      <c r="D104" s="20">
        <v>45678.0</v>
      </c>
      <c r="E104" s="17" t="s">
        <v>21</v>
      </c>
      <c r="F104" s="17" t="s">
        <v>41</v>
      </c>
      <c r="H104" s="17" t="s">
        <v>13</v>
      </c>
    </row>
    <row r="105">
      <c r="A105" s="17" t="s">
        <v>143</v>
      </c>
      <c r="B105" s="18">
        <v>75000.0</v>
      </c>
      <c r="C105" s="19">
        <f>0.0125*B105</f>
        <v>937.5</v>
      </c>
      <c r="D105" s="20">
        <v>45678.0</v>
      </c>
      <c r="E105" s="17" t="s">
        <v>24</v>
      </c>
      <c r="F105" s="17" t="s">
        <v>144</v>
      </c>
      <c r="H105" s="17" t="s">
        <v>25</v>
      </c>
    </row>
    <row r="106">
      <c r="A106" s="17" t="s">
        <v>145</v>
      </c>
      <c r="B106" s="18">
        <v>70000.0</v>
      </c>
      <c r="C106" s="19">
        <f t="shared" ref="C106:C108" si="23">0.0175*B106</f>
        <v>1225</v>
      </c>
      <c r="D106" s="20">
        <v>45678.0</v>
      </c>
      <c r="E106" s="17" t="s">
        <v>15</v>
      </c>
      <c r="F106" s="17" t="s">
        <v>28</v>
      </c>
      <c r="H106" s="17" t="s">
        <v>98</v>
      </c>
      <c r="I106" s="23" t="s">
        <v>30</v>
      </c>
      <c r="K106" s="17">
        <v>210.0</v>
      </c>
    </row>
    <row r="107">
      <c r="A107" s="17" t="s">
        <v>146</v>
      </c>
      <c r="B107" s="18">
        <v>30000.0</v>
      </c>
      <c r="C107" s="19">
        <f t="shared" si="23"/>
        <v>525</v>
      </c>
      <c r="D107" s="20">
        <v>45678.0</v>
      </c>
      <c r="E107" s="17" t="s">
        <v>147</v>
      </c>
      <c r="F107" s="17" t="s">
        <v>28</v>
      </c>
      <c r="H107" s="17" t="s">
        <v>13</v>
      </c>
      <c r="I107" s="23" t="s">
        <v>30</v>
      </c>
    </row>
    <row r="108">
      <c r="A108" s="17" t="s">
        <v>148</v>
      </c>
      <c r="B108" s="18">
        <v>20000.0</v>
      </c>
      <c r="C108" s="19">
        <f t="shared" si="23"/>
        <v>350</v>
      </c>
      <c r="D108" s="20">
        <v>45678.0</v>
      </c>
      <c r="E108" s="17" t="s">
        <v>15</v>
      </c>
      <c r="F108" s="17" t="s">
        <v>144</v>
      </c>
      <c r="H108" s="17" t="s">
        <v>149</v>
      </c>
      <c r="K108" s="17">
        <v>50.0</v>
      </c>
    </row>
    <row r="109">
      <c r="A109" s="17" t="s">
        <v>150</v>
      </c>
      <c r="B109" s="18">
        <v>15000.0</v>
      </c>
      <c r="C109" s="19">
        <f>0.0125*B109</f>
        <v>187.5</v>
      </c>
      <c r="D109" s="20">
        <v>45678.0</v>
      </c>
      <c r="E109" s="17" t="s">
        <v>11</v>
      </c>
      <c r="F109" s="17" t="s">
        <v>12</v>
      </c>
    </row>
    <row r="110">
      <c r="A110" s="17" t="s">
        <v>151</v>
      </c>
      <c r="B110" s="18">
        <v>110000.0</v>
      </c>
      <c r="C110" s="19">
        <f>0.0175*B110</f>
        <v>1925</v>
      </c>
      <c r="D110" s="20">
        <v>45678.0</v>
      </c>
      <c r="E110" s="17" t="s">
        <v>60</v>
      </c>
      <c r="F110" s="17" t="s">
        <v>41</v>
      </c>
    </row>
    <row r="111">
      <c r="A111" s="17" t="s">
        <v>152</v>
      </c>
      <c r="B111" s="18">
        <v>15000.0</v>
      </c>
      <c r="C111" s="19">
        <f t="shared" ref="C111:C112" si="24">0.0125*B111</f>
        <v>187.5</v>
      </c>
      <c r="D111" s="20">
        <v>45678.0</v>
      </c>
      <c r="E111" s="17" t="s">
        <v>11</v>
      </c>
      <c r="F111" s="17" t="s">
        <v>144</v>
      </c>
    </row>
    <row r="112">
      <c r="A112" s="17" t="s">
        <v>153</v>
      </c>
      <c r="B112" s="18">
        <v>50000.0</v>
      </c>
      <c r="C112" s="19">
        <f t="shared" si="24"/>
        <v>625</v>
      </c>
      <c r="D112" s="20">
        <v>45679.0</v>
      </c>
      <c r="E112" s="17" t="s">
        <v>15</v>
      </c>
      <c r="F112" s="17" t="s">
        <v>12</v>
      </c>
      <c r="H112" s="17" t="s">
        <v>51</v>
      </c>
      <c r="K112" s="17">
        <v>250.0</v>
      </c>
    </row>
    <row r="113">
      <c r="A113" s="17" t="s">
        <v>154</v>
      </c>
      <c r="B113" s="18">
        <v>125000.0</v>
      </c>
      <c r="C113" s="19">
        <f t="shared" ref="C113:C114" si="25">0.0175*B113</f>
        <v>2187.5</v>
      </c>
      <c r="D113" s="20">
        <v>45679.0</v>
      </c>
      <c r="E113" s="17" t="s">
        <v>11</v>
      </c>
      <c r="F113" s="17" t="s">
        <v>28</v>
      </c>
      <c r="I113" s="23" t="s">
        <v>30</v>
      </c>
    </row>
    <row r="114">
      <c r="A114" s="17" t="s">
        <v>155</v>
      </c>
      <c r="B114" s="18">
        <v>50000.0</v>
      </c>
      <c r="C114" s="19">
        <f t="shared" si="25"/>
        <v>875</v>
      </c>
      <c r="D114" s="20">
        <v>45679.0</v>
      </c>
      <c r="E114" s="17" t="s">
        <v>60</v>
      </c>
      <c r="F114" s="17" t="s">
        <v>28</v>
      </c>
      <c r="I114" s="23" t="s">
        <v>30</v>
      </c>
    </row>
    <row r="115">
      <c r="A115" s="17" t="s">
        <v>156</v>
      </c>
      <c r="B115" s="18">
        <v>114000.0</v>
      </c>
      <c r="C115" s="19">
        <f t="shared" ref="C115:C116" si="26">0.0125*B115</f>
        <v>1425</v>
      </c>
      <c r="D115" s="20">
        <v>45679.0</v>
      </c>
      <c r="E115" s="17" t="s">
        <v>15</v>
      </c>
      <c r="F115" s="17" t="s">
        <v>12</v>
      </c>
      <c r="H115" s="17" t="s">
        <v>35</v>
      </c>
      <c r="K115" s="17">
        <v>228.0</v>
      </c>
    </row>
    <row r="116">
      <c r="A116" s="17" t="s">
        <v>157</v>
      </c>
      <c r="B116" s="18">
        <v>2120000.0</v>
      </c>
      <c r="C116" s="19">
        <f t="shared" si="26"/>
        <v>26500</v>
      </c>
      <c r="D116" s="20">
        <v>45679.0</v>
      </c>
      <c r="E116" s="17" t="s">
        <v>40</v>
      </c>
      <c r="F116" s="17" t="s">
        <v>12</v>
      </c>
      <c r="H116" s="17" t="s">
        <v>22</v>
      </c>
    </row>
    <row r="117">
      <c r="A117" s="17" t="s">
        <v>158</v>
      </c>
      <c r="B117" s="18">
        <v>50000.0</v>
      </c>
      <c r="C117" s="19">
        <f t="shared" ref="C117:C118" si="27">0.0175*B117</f>
        <v>875</v>
      </c>
      <c r="D117" s="20">
        <v>45679.0</v>
      </c>
      <c r="E117" s="17" t="s">
        <v>15</v>
      </c>
      <c r="F117" s="17" t="s">
        <v>28</v>
      </c>
      <c r="H117" s="17" t="s">
        <v>54</v>
      </c>
      <c r="I117" s="23" t="s">
        <v>30</v>
      </c>
      <c r="K117" s="17">
        <v>300.0</v>
      </c>
    </row>
    <row r="118">
      <c r="A118" s="17" t="s">
        <v>159</v>
      </c>
      <c r="B118" s="18">
        <v>225000.0</v>
      </c>
      <c r="C118" s="19">
        <f t="shared" si="27"/>
        <v>3937.5</v>
      </c>
      <c r="D118" s="20">
        <v>45679.0</v>
      </c>
      <c r="E118" s="17" t="s">
        <v>11</v>
      </c>
      <c r="F118" s="17" t="s">
        <v>28</v>
      </c>
      <c r="I118" s="23" t="s">
        <v>30</v>
      </c>
    </row>
    <row r="119">
      <c r="A119" s="17" t="s">
        <v>160</v>
      </c>
      <c r="B119" s="18">
        <v>330000.0</v>
      </c>
      <c r="C119" s="19">
        <f t="shared" ref="C119:C120" si="28">0.0125*B119</f>
        <v>4125</v>
      </c>
      <c r="D119" s="20">
        <v>45680.0</v>
      </c>
      <c r="E119" s="17" t="s">
        <v>11</v>
      </c>
      <c r="F119" s="17" t="s">
        <v>12</v>
      </c>
      <c r="I119" s="26"/>
    </row>
    <row r="120">
      <c r="A120" s="17" t="s">
        <v>161</v>
      </c>
      <c r="B120" s="18">
        <v>30000.0</v>
      </c>
      <c r="C120" s="19">
        <f t="shared" si="28"/>
        <v>375</v>
      </c>
      <c r="D120" s="20">
        <v>45680.0</v>
      </c>
      <c r="E120" s="17" t="s">
        <v>24</v>
      </c>
      <c r="F120" s="17" t="s">
        <v>144</v>
      </c>
      <c r="H120" s="17" t="s">
        <v>25</v>
      </c>
    </row>
    <row r="121">
      <c r="A121" s="17" t="s">
        <v>162</v>
      </c>
      <c r="B121" s="18">
        <v>350000.0</v>
      </c>
      <c r="C121" s="19">
        <f t="shared" ref="C121:C134" si="29">0.0175*B121</f>
        <v>6125</v>
      </c>
      <c r="D121" s="20">
        <v>45680.0</v>
      </c>
      <c r="E121" s="17" t="s">
        <v>24</v>
      </c>
      <c r="F121" s="17" t="s">
        <v>28</v>
      </c>
      <c r="H121" s="17" t="s">
        <v>58</v>
      </c>
      <c r="I121" s="23" t="s">
        <v>30</v>
      </c>
    </row>
    <row r="122">
      <c r="A122" s="17" t="s">
        <v>163</v>
      </c>
      <c r="B122" s="18">
        <v>1000000.0</v>
      </c>
      <c r="C122" s="19">
        <f t="shared" si="29"/>
        <v>17500</v>
      </c>
      <c r="D122" s="20">
        <v>45680.0</v>
      </c>
      <c r="E122" s="17" t="s">
        <v>11</v>
      </c>
      <c r="F122" s="17" t="s">
        <v>28</v>
      </c>
      <c r="I122" s="23" t="s">
        <v>30</v>
      </c>
    </row>
    <row r="123">
      <c r="A123" s="17" t="s">
        <v>164</v>
      </c>
      <c r="B123" s="18">
        <v>500000.0</v>
      </c>
      <c r="C123" s="19">
        <f t="shared" si="29"/>
        <v>8750</v>
      </c>
      <c r="D123" s="20">
        <v>45680.0</v>
      </c>
      <c r="E123" s="17" t="s">
        <v>165</v>
      </c>
      <c r="F123" s="17" t="s">
        <v>28</v>
      </c>
      <c r="H123" s="17" t="s">
        <v>22</v>
      </c>
      <c r="I123" s="23" t="s">
        <v>30</v>
      </c>
    </row>
    <row r="124">
      <c r="A124" s="17" t="s">
        <v>166</v>
      </c>
      <c r="B124" s="18">
        <v>600800.0</v>
      </c>
      <c r="C124" s="19">
        <f t="shared" si="29"/>
        <v>10514</v>
      </c>
      <c r="D124" s="20">
        <v>45680.0</v>
      </c>
      <c r="E124" s="17" t="s">
        <v>11</v>
      </c>
      <c r="F124" s="17" t="s">
        <v>28</v>
      </c>
      <c r="I124" s="23" t="s">
        <v>30</v>
      </c>
    </row>
    <row r="125">
      <c r="A125" s="17" t="s">
        <v>167</v>
      </c>
      <c r="B125" s="18">
        <v>210000.0</v>
      </c>
      <c r="C125" s="19">
        <f t="shared" si="29"/>
        <v>3675</v>
      </c>
      <c r="D125" s="20">
        <v>45680.0</v>
      </c>
      <c r="E125" s="17" t="s">
        <v>15</v>
      </c>
      <c r="F125" s="17" t="s">
        <v>28</v>
      </c>
      <c r="H125" s="17" t="s">
        <v>168</v>
      </c>
      <c r="K125" s="17">
        <v>577.5</v>
      </c>
    </row>
    <row r="126">
      <c r="A126" s="17" t="s">
        <v>169</v>
      </c>
      <c r="B126" s="18">
        <v>15000.0</v>
      </c>
      <c r="C126" s="19">
        <f t="shared" si="29"/>
        <v>262.5</v>
      </c>
      <c r="D126" s="20">
        <v>45680.0</v>
      </c>
      <c r="E126" s="17" t="s">
        <v>15</v>
      </c>
      <c r="F126" s="17" t="s">
        <v>28</v>
      </c>
      <c r="H126" s="17" t="s">
        <v>54</v>
      </c>
      <c r="I126" s="23" t="s">
        <v>30</v>
      </c>
      <c r="K126" s="17">
        <v>90.0</v>
      </c>
    </row>
    <row r="127">
      <c r="A127" s="17" t="s">
        <v>170</v>
      </c>
      <c r="B127" s="18">
        <v>75000.0</v>
      </c>
      <c r="C127" s="19">
        <f t="shared" si="29"/>
        <v>1312.5</v>
      </c>
      <c r="D127" s="20">
        <v>45680.0</v>
      </c>
      <c r="E127" s="17" t="s">
        <v>171</v>
      </c>
      <c r="F127" s="17" t="s">
        <v>28</v>
      </c>
      <c r="H127" s="17" t="s">
        <v>172</v>
      </c>
      <c r="K127" s="17">
        <v>112.5</v>
      </c>
    </row>
    <row r="128">
      <c r="A128" s="17" t="s">
        <v>173</v>
      </c>
      <c r="B128" s="18">
        <v>60000.0</v>
      </c>
      <c r="C128" s="19">
        <f t="shared" si="29"/>
        <v>1050</v>
      </c>
      <c r="D128" s="20">
        <v>45680.0</v>
      </c>
      <c r="E128" s="17" t="s">
        <v>15</v>
      </c>
      <c r="F128" s="17" t="s">
        <v>28</v>
      </c>
      <c r="H128" s="17" t="s">
        <v>98</v>
      </c>
      <c r="I128" s="23" t="s">
        <v>30</v>
      </c>
      <c r="K128" s="17">
        <v>180.0</v>
      </c>
    </row>
    <row r="129">
      <c r="A129" s="17" t="s">
        <v>174</v>
      </c>
      <c r="B129" s="18">
        <v>31500.0</v>
      </c>
      <c r="C129" s="19">
        <f t="shared" si="29"/>
        <v>551.25</v>
      </c>
      <c r="D129" s="20">
        <v>45680.0</v>
      </c>
      <c r="E129" s="17" t="s">
        <v>15</v>
      </c>
      <c r="F129" s="17" t="s">
        <v>28</v>
      </c>
      <c r="H129" s="17" t="s">
        <v>54</v>
      </c>
      <c r="I129" s="23" t="s">
        <v>30</v>
      </c>
      <c r="K129" s="17">
        <v>189.0</v>
      </c>
    </row>
    <row r="130">
      <c r="A130" s="17" t="s">
        <v>175</v>
      </c>
      <c r="B130" s="18">
        <v>70000.0</v>
      </c>
      <c r="C130" s="19">
        <f t="shared" si="29"/>
        <v>1225</v>
      </c>
      <c r="D130" s="20">
        <v>45680.0</v>
      </c>
      <c r="E130" s="17" t="s">
        <v>135</v>
      </c>
      <c r="F130" s="17" t="s">
        <v>28</v>
      </c>
      <c r="H130" s="17" t="s">
        <v>13</v>
      </c>
      <c r="I130" s="23" t="s">
        <v>30</v>
      </c>
    </row>
    <row r="131">
      <c r="A131" s="17" t="s">
        <v>176</v>
      </c>
      <c r="B131" s="18">
        <v>30000.0</v>
      </c>
      <c r="C131" s="19">
        <f t="shared" si="29"/>
        <v>525</v>
      </c>
      <c r="D131" s="20">
        <v>45680.0</v>
      </c>
      <c r="E131" s="17" t="s">
        <v>11</v>
      </c>
      <c r="F131" s="17" t="s">
        <v>28</v>
      </c>
      <c r="I131" s="23" t="s">
        <v>30</v>
      </c>
    </row>
    <row r="132">
      <c r="A132" s="17" t="s">
        <v>177</v>
      </c>
      <c r="B132" s="18">
        <v>500000.0</v>
      </c>
      <c r="C132" s="19">
        <f t="shared" si="29"/>
        <v>8750</v>
      </c>
      <c r="D132" s="20">
        <v>45681.0</v>
      </c>
      <c r="E132" s="17" t="s">
        <v>24</v>
      </c>
      <c r="F132" s="17" t="s">
        <v>28</v>
      </c>
      <c r="H132" s="17" t="s">
        <v>58</v>
      </c>
      <c r="I132" s="23" t="s">
        <v>30</v>
      </c>
    </row>
    <row r="133">
      <c r="A133" s="17" t="s">
        <v>178</v>
      </c>
      <c r="B133" s="18">
        <v>215000.0</v>
      </c>
      <c r="C133" s="19">
        <f t="shared" si="29"/>
        <v>3762.5</v>
      </c>
      <c r="D133" s="20">
        <v>45681.0</v>
      </c>
      <c r="E133" s="17" t="s">
        <v>11</v>
      </c>
      <c r="F133" s="17" t="s">
        <v>28</v>
      </c>
      <c r="I133" s="23" t="s">
        <v>30</v>
      </c>
    </row>
    <row r="134">
      <c r="A134" s="17" t="s">
        <v>179</v>
      </c>
      <c r="B134" s="18">
        <v>200000.0</v>
      </c>
      <c r="C134" s="19">
        <f t="shared" si="29"/>
        <v>3500</v>
      </c>
      <c r="D134" s="20">
        <v>45681.0</v>
      </c>
      <c r="E134" s="17" t="s">
        <v>180</v>
      </c>
      <c r="F134" s="17" t="s">
        <v>28</v>
      </c>
      <c r="H134" s="17" t="s">
        <v>13</v>
      </c>
      <c r="I134" s="23" t="s">
        <v>30</v>
      </c>
    </row>
    <row r="135">
      <c r="A135" s="17" t="s">
        <v>181</v>
      </c>
      <c r="B135" s="18">
        <v>20000.0</v>
      </c>
      <c r="C135" s="19">
        <f>0.0125*B135</f>
        <v>250</v>
      </c>
      <c r="D135" s="20">
        <v>45681.0</v>
      </c>
      <c r="E135" s="17" t="s">
        <v>15</v>
      </c>
      <c r="F135" s="17" t="s">
        <v>12</v>
      </c>
      <c r="H135" s="17" t="s">
        <v>54</v>
      </c>
      <c r="K135" s="17">
        <v>120.0</v>
      </c>
    </row>
    <row r="136">
      <c r="A136" s="17" t="s">
        <v>182</v>
      </c>
      <c r="B136" s="18">
        <v>35000.0</v>
      </c>
      <c r="C136" s="19">
        <f t="shared" ref="C136:C137" si="30">0.0175*B136</f>
        <v>612.5</v>
      </c>
      <c r="D136" s="20">
        <v>45684.0</v>
      </c>
      <c r="E136" s="17" t="s">
        <v>11</v>
      </c>
      <c r="F136" s="17" t="s">
        <v>28</v>
      </c>
      <c r="I136" s="23" t="s">
        <v>30</v>
      </c>
    </row>
    <row r="137">
      <c r="A137" s="17" t="s">
        <v>183</v>
      </c>
      <c r="B137" s="18">
        <v>100000.0</v>
      </c>
      <c r="C137" s="19">
        <f t="shared" si="30"/>
        <v>1750</v>
      </c>
      <c r="D137" s="20">
        <v>45684.0</v>
      </c>
      <c r="E137" s="17" t="s">
        <v>11</v>
      </c>
      <c r="F137" s="17" t="s">
        <v>67</v>
      </c>
      <c r="I137" s="23" t="s">
        <v>30</v>
      </c>
    </row>
    <row r="138">
      <c r="A138" s="17" t="s">
        <v>184</v>
      </c>
      <c r="B138" s="18">
        <v>225000.0</v>
      </c>
      <c r="C138" s="19">
        <f>0.0125*B138</f>
        <v>2812.5</v>
      </c>
      <c r="D138" s="20">
        <v>45684.0</v>
      </c>
      <c r="E138" s="17" t="s">
        <v>60</v>
      </c>
      <c r="F138" s="17" t="s">
        <v>12</v>
      </c>
    </row>
    <row r="139">
      <c r="A139" s="17" t="s">
        <v>185</v>
      </c>
      <c r="B139" s="18">
        <v>150000.0</v>
      </c>
      <c r="C139" s="19">
        <f t="shared" ref="C139:C141" si="31">0.0175*B139</f>
        <v>2625</v>
      </c>
      <c r="D139" s="20">
        <v>45684.0</v>
      </c>
      <c r="E139" s="17" t="s">
        <v>15</v>
      </c>
      <c r="F139" s="17" t="s">
        <v>28</v>
      </c>
      <c r="H139" s="17" t="s">
        <v>51</v>
      </c>
      <c r="I139" s="23" t="s">
        <v>30</v>
      </c>
      <c r="K139" s="17">
        <v>750.0</v>
      </c>
    </row>
    <row r="140">
      <c r="A140" s="17" t="s">
        <v>186</v>
      </c>
      <c r="B140" s="18">
        <v>100000.0</v>
      </c>
      <c r="C140" s="19">
        <f t="shared" si="31"/>
        <v>1750</v>
      </c>
      <c r="D140" s="20">
        <v>45684.0</v>
      </c>
      <c r="E140" s="17" t="s">
        <v>11</v>
      </c>
      <c r="F140" s="17" t="s">
        <v>28</v>
      </c>
      <c r="I140" s="23" t="s">
        <v>30</v>
      </c>
    </row>
    <row r="141">
      <c r="A141" s="17" t="s">
        <v>187</v>
      </c>
      <c r="B141" s="18">
        <v>550000.0</v>
      </c>
      <c r="C141" s="19">
        <f t="shared" si="31"/>
        <v>9625</v>
      </c>
      <c r="D141" s="20">
        <v>45685.0</v>
      </c>
      <c r="E141" s="17" t="s">
        <v>24</v>
      </c>
      <c r="F141" s="17" t="s">
        <v>28</v>
      </c>
      <c r="H141" s="17" t="s">
        <v>58</v>
      </c>
      <c r="I141" s="23" t="s">
        <v>30</v>
      </c>
    </row>
    <row r="142">
      <c r="A142" s="17" t="s">
        <v>188</v>
      </c>
      <c r="B142" s="18">
        <v>110000.0</v>
      </c>
      <c r="C142" s="19">
        <f t="shared" ref="C142:C143" si="32">0.0125*B142</f>
        <v>1375</v>
      </c>
      <c r="D142" s="20">
        <v>45685.0</v>
      </c>
      <c r="E142" s="17" t="s">
        <v>189</v>
      </c>
      <c r="F142" s="17" t="s">
        <v>12</v>
      </c>
      <c r="H142" s="17" t="s">
        <v>25</v>
      </c>
    </row>
    <row r="143">
      <c r="A143" s="17" t="s">
        <v>190</v>
      </c>
      <c r="B143" s="18">
        <v>50000.0</v>
      </c>
      <c r="C143" s="19">
        <f t="shared" si="32"/>
        <v>625</v>
      </c>
      <c r="D143" s="20">
        <v>45685.0</v>
      </c>
      <c r="E143" s="17" t="s">
        <v>21</v>
      </c>
      <c r="F143" s="17" t="s">
        <v>12</v>
      </c>
      <c r="H143" s="17" t="s">
        <v>22</v>
      </c>
    </row>
    <row r="144">
      <c r="A144" s="17" t="s">
        <v>191</v>
      </c>
      <c r="B144" s="18">
        <v>500000.0</v>
      </c>
      <c r="C144" s="19">
        <f t="shared" ref="C144:C148" si="33">0.0175*B144</f>
        <v>8750</v>
      </c>
      <c r="D144" s="20">
        <v>45685.0</v>
      </c>
      <c r="E144" s="17" t="s">
        <v>11</v>
      </c>
      <c r="F144" s="17" t="s">
        <v>28</v>
      </c>
      <c r="I144" s="23" t="s">
        <v>30</v>
      </c>
    </row>
    <row r="145">
      <c r="A145" s="17" t="s">
        <v>192</v>
      </c>
      <c r="B145" s="18">
        <v>350000.0</v>
      </c>
      <c r="C145" s="19">
        <f t="shared" si="33"/>
        <v>6125</v>
      </c>
      <c r="D145" s="20">
        <v>45685.0</v>
      </c>
      <c r="E145" s="17" t="s">
        <v>24</v>
      </c>
      <c r="F145" s="17" t="s">
        <v>28</v>
      </c>
      <c r="H145" s="17" t="s">
        <v>58</v>
      </c>
      <c r="I145" s="23" t="s">
        <v>30</v>
      </c>
    </row>
    <row r="146">
      <c r="A146" s="17" t="s">
        <v>193</v>
      </c>
      <c r="B146" s="18">
        <v>65000.0</v>
      </c>
      <c r="C146" s="19">
        <f t="shared" si="33"/>
        <v>1137.5</v>
      </c>
      <c r="D146" s="20">
        <v>45685.0</v>
      </c>
      <c r="E146" s="17" t="s">
        <v>11</v>
      </c>
      <c r="F146" s="17" t="s">
        <v>28</v>
      </c>
      <c r="I146" s="23" t="s">
        <v>30</v>
      </c>
    </row>
    <row r="147">
      <c r="A147" s="17" t="s">
        <v>194</v>
      </c>
      <c r="B147" s="18">
        <v>80000.0</v>
      </c>
      <c r="C147" s="19">
        <f t="shared" si="33"/>
        <v>1400</v>
      </c>
      <c r="D147" s="20">
        <v>45685.0</v>
      </c>
      <c r="E147" s="17" t="s">
        <v>15</v>
      </c>
      <c r="F147" s="17" t="s">
        <v>28</v>
      </c>
      <c r="H147" s="17" t="s">
        <v>16</v>
      </c>
      <c r="I147" s="23" t="s">
        <v>30</v>
      </c>
      <c r="K147" s="17">
        <v>320.0</v>
      </c>
    </row>
    <row r="148">
      <c r="A148" s="17" t="s">
        <v>195</v>
      </c>
      <c r="B148" s="18">
        <v>700000.0</v>
      </c>
      <c r="C148" s="19">
        <f t="shared" si="33"/>
        <v>12250</v>
      </c>
      <c r="D148" s="20">
        <v>45685.0</v>
      </c>
      <c r="E148" s="17" t="s">
        <v>24</v>
      </c>
      <c r="F148" s="17" t="s">
        <v>28</v>
      </c>
      <c r="H148" s="17" t="s">
        <v>58</v>
      </c>
      <c r="I148" s="23" t="s">
        <v>30</v>
      </c>
    </row>
    <row r="149">
      <c r="A149" s="17" t="s">
        <v>196</v>
      </c>
      <c r="B149" s="18">
        <v>245000.0</v>
      </c>
      <c r="C149" s="19">
        <f>0.0125*B149</f>
        <v>3062.5</v>
      </c>
      <c r="D149" s="20">
        <v>45685.0</v>
      </c>
      <c r="E149" s="17" t="s">
        <v>197</v>
      </c>
      <c r="F149" s="17" t="s">
        <v>12</v>
      </c>
      <c r="H149" s="17" t="s">
        <v>22</v>
      </c>
    </row>
    <row r="150">
      <c r="A150" s="17" t="s">
        <v>198</v>
      </c>
      <c r="B150" s="18">
        <v>200000.0</v>
      </c>
      <c r="C150" s="19">
        <f>0.0175*B150</f>
        <v>3500</v>
      </c>
      <c r="D150" s="20">
        <v>45685.0</v>
      </c>
      <c r="E150" s="17" t="s">
        <v>24</v>
      </c>
      <c r="F150" s="17" t="s">
        <v>28</v>
      </c>
      <c r="H150" s="17" t="s">
        <v>58</v>
      </c>
      <c r="I150" s="23" t="s">
        <v>30</v>
      </c>
    </row>
    <row r="151">
      <c r="A151" s="17" t="s">
        <v>199</v>
      </c>
      <c r="B151" s="18">
        <v>240000.0</v>
      </c>
      <c r="C151" s="19">
        <f t="shared" ref="C151:C153" si="34">0.0125*B151</f>
        <v>3000</v>
      </c>
      <c r="D151" s="20">
        <v>45685.0</v>
      </c>
      <c r="E151" s="17" t="s">
        <v>11</v>
      </c>
      <c r="F151" s="17" t="s">
        <v>12</v>
      </c>
    </row>
    <row r="152">
      <c r="A152" s="17" t="s">
        <v>200</v>
      </c>
      <c r="B152" s="18">
        <v>325000.0</v>
      </c>
      <c r="C152" s="19">
        <f t="shared" si="34"/>
        <v>4062.5</v>
      </c>
      <c r="D152" s="20">
        <v>45685.0</v>
      </c>
      <c r="E152" s="17" t="s">
        <v>60</v>
      </c>
      <c r="F152" s="17" t="s">
        <v>12</v>
      </c>
    </row>
    <row r="153">
      <c r="A153" s="17" t="s">
        <v>201</v>
      </c>
      <c r="B153" s="18">
        <v>40000.0</v>
      </c>
      <c r="C153" s="19">
        <f t="shared" si="34"/>
        <v>500</v>
      </c>
      <c r="D153" s="20">
        <v>45685.0</v>
      </c>
      <c r="E153" s="17" t="s">
        <v>11</v>
      </c>
      <c r="F153" s="17" t="s">
        <v>12</v>
      </c>
    </row>
    <row r="154">
      <c r="A154" s="27" t="s">
        <v>202</v>
      </c>
      <c r="B154" s="28">
        <v>500000.0</v>
      </c>
      <c r="C154" s="28">
        <f>0.0175*B154</f>
        <v>8750</v>
      </c>
      <c r="D154" s="29">
        <v>45685.0</v>
      </c>
      <c r="E154" s="27" t="s">
        <v>203</v>
      </c>
      <c r="F154" s="27" t="s">
        <v>28</v>
      </c>
      <c r="G154" s="30"/>
      <c r="H154" s="30" t="s">
        <v>204</v>
      </c>
      <c r="I154" s="23" t="s">
        <v>30</v>
      </c>
      <c r="K154" s="17">
        <v>625.0</v>
      </c>
    </row>
    <row r="155">
      <c r="A155" s="17" t="s">
        <v>205</v>
      </c>
      <c r="B155" s="18">
        <v>25000.0</v>
      </c>
      <c r="C155" s="19">
        <f>0.0125*B155</f>
        <v>312.5</v>
      </c>
      <c r="D155" s="20">
        <v>45686.0</v>
      </c>
      <c r="E155" s="17" t="s">
        <v>11</v>
      </c>
      <c r="F155" s="17" t="s">
        <v>12</v>
      </c>
    </row>
    <row r="156">
      <c r="A156" s="17" t="s">
        <v>206</v>
      </c>
      <c r="B156" s="18">
        <v>75000.0</v>
      </c>
      <c r="C156" s="19">
        <f t="shared" ref="C156:C162" si="35">0.0175*B156</f>
        <v>1312.5</v>
      </c>
      <c r="D156" s="20">
        <v>45686.0</v>
      </c>
      <c r="E156" s="17" t="s">
        <v>15</v>
      </c>
      <c r="F156" s="17" t="s">
        <v>67</v>
      </c>
      <c r="H156" s="17" t="s">
        <v>51</v>
      </c>
      <c r="K156" s="17">
        <v>375.0</v>
      </c>
    </row>
    <row r="157">
      <c r="A157" s="17" t="s">
        <v>207</v>
      </c>
      <c r="B157" s="18">
        <v>15000.0</v>
      </c>
      <c r="C157" s="19">
        <f t="shared" si="35"/>
        <v>262.5</v>
      </c>
      <c r="D157" s="20">
        <v>45686.0</v>
      </c>
      <c r="E157" s="17" t="s">
        <v>15</v>
      </c>
      <c r="F157" s="17" t="s">
        <v>28</v>
      </c>
      <c r="H157" s="17" t="s">
        <v>54</v>
      </c>
      <c r="I157" s="23" t="s">
        <v>30</v>
      </c>
      <c r="K157" s="17">
        <v>90.0</v>
      </c>
    </row>
    <row r="158">
      <c r="A158" s="17" t="s">
        <v>208</v>
      </c>
      <c r="B158" s="18">
        <v>400000.0</v>
      </c>
      <c r="C158" s="19">
        <f t="shared" si="35"/>
        <v>7000</v>
      </c>
      <c r="D158" s="20">
        <v>45686.0</v>
      </c>
      <c r="E158" s="17" t="s">
        <v>15</v>
      </c>
      <c r="F158" s="17" t="s">
        <v>28</v>
      </c>
      <c r="H158" s="17" t="s">
        <v>172</v>
      </c>
      <c r="I158" s="23" t="s">
        <v>30</v>
      </c>
      <c r="K158" s="17">
        <v>600.0</v>
      </c>
    </row>
    <row r="159">
      <c r="A159" s="17" t="s">
        <v>154</v>
      </c>
      <c r="B159" s="18">
        <v>90000.0</v>
      </c>
      <c r="C159" s="19">
        <f t="shared" si="35"/>
        <v>1575</v>
      </c>
      <c r="D159" s="20">
        <v>45687.0</v>
      </c>
      <c r="E159" s="17" t="s">
        <v>11</v>
      </c>
      <c r="F159" s="17" t="s">
        <v>67</v>
      </c>
      <c r="I159" s="23" t="s">
        <v>30</v>
      </c>
    </row>
    <row r="160">
      <c r="A160" s="17" t="s">
        <v>209</v>
      </c>
      <c r="B160" s="18">
        <v>650000.0</v>
      </c>
      <c r="C160" s="19">
        <f t="shared" si="35"/>
        <v>11375</v>
      </c>
      <c r="D160" s="20">
        <v>45687.0</v>
      </c>
      <c r="E160" s="17" t="s">
        <v>210</v>
      </c>
      <c r="F160" s="17" t="s">
        <v>28</v>
      </c>
      <c r="H160" s="17" t="s">
        <v>13</v>
      </c>
      <c r="I160" s="23" t="s">
        <v>30</v>
      </c>
    </row>
    <row r="161">
      <c r="A161" s="17" t="s">
        <v>211</v>
      </c>
      <c r="B161" s="18">
        <v>60000.0</v>
      </c>
      <c r="C161" s="19">
        <f t="shared" si="35"/>
        <v>1050</v>
      </c>
      <c r="D161" s="20">
        <v>45687.0</v>
      </c>
      <c r="E161" s="17" t="s">
        <v>15</v>
      </c>
      <c r="F161" s="17" t="s">
        <v>28</v>
      </c>
      <c r="H161" s="17" t="s">
        <v>54</v>
      </c>
      <c r="I161" s="23" t="s">
        <v>30</v>
      </c>
      <c r="K161" s="17">
        <v>360.0</v>
      </c>
    </row>
    <row r="162">
      <c r="A162" s="17" t="s">
        <v>212</v>
      </c>
      <c r="B162" s="18">
        <v>200000.0</v>
      </c>
      <c r="C162" s="19">
        <f t="shared" si="35"/>
        <v>3500</v>
      </c>
      <c r="D162" s="20">
        <v>45687.0</v>
      </c>
      <c r="E162" s="17" t="s">
        <v>11</v>
      </c>
      <c r="F162" s="17" t="s">
        <v>28</v>
      </c>
    </row>
    <row r="163">
      <c r="A163" s="17" t="s">
        <v>213</v>
      </c>
      <c r="B163" s="18">
        <v>20000.0</v>
      </c>
      <c r="C163" s="19">
        <f>0.0125*B163</f>
        <v>250</v>
      </c>
      <c r="D163" s="20">
        <v>45687.0</v>
      </c>
      <c r="E163" s="17" t="s">
        <v>11</v>
      </c>
      <c r="F163" s="17" t="s">
        <v>12</v>
      </c>
    </row>
    <row r="164">
      <c r="A164" s="17" t="s">
        <v>214</v>
      </c>
      <c r="B164" s="18">
        <v>30000.0</v>
      </c>
      <c r="C164" s="19">
        <f t="shared" ref="C164:C166" si="36">0.0175*B164</f>
        <v>525</v>
      </c>
      <c r="D164" s="20">
        <v>45687.0</v>
      </c>
      <c r="E164" s="17" t="s">
        <v>60</v>
      </c>
      <c r="F164" s="17" t="s">
        <v>28</v>
      </c>
    </row>
    <row r="165">
      <c r="A165" s="17" t="s">
        <v>215</v>
      </c>
      <c r="B165" s="18">
        <v>50000.0</v>
      </c>
      <c r="C165" s="19">
        <f t="shared" si="36"/>
        <v>875</v>
      </c>
      <c r="D165" s="20">
        <v>45687.0</v>
      </c>
      <c r="E165" s="17" t="s">
        <v>11</v>
      </c>
      <c r="F165" s="17" t="s">
        <v>28</v>
      </c>
      <c r="I165" s="23" t="s">
        <v>30</v>
      </c>
    </row>
    <row r="166">
      <c r="A166" s="17" t="s">
        <v>216</v>
      </c>
      <c r="B166" s="18">
        <v>35000.0</v>
      </c>
      <c r="C166" s="19">
        <f t="shared" si="36"/>
        <v>612.5</v>
      </c>
      <c r="D166" s="20">
        <v>45688.0</v>
      </c>
      <c r="E166" s="17" t="s">
        <v>15</v>
      </c>
      <c r="F166" s="17" t="s">
        <v>12</v>
      </c>
      <c r="H166" s="17" t="s">
        <v>54</v>
      </c>
      <c r="K166" s="17">
        <v>210.0</v>
      </c>
    </row>
    <row r="167">
      <c r="A167" s="17" t="s">
        <v>217</v>
      </c>
      <c r="B167" s="18">
        <v>250000.0</v>
      </c>
      <c r="C167" s="19">
        <f>0.0125*B167</f>
        <v>3125</v>
      </c>
      <c r="D167" s="20">
        <v>45688.0</v>
      </c>
      <c r="E167" s="17" t="s">
        <v>11</v>
      </c>
      <c r="F167" s="17" t="s">
        <v>12</v>
      </c>
    </row>
    <row r="168">
      <c r="A168" s="17" t="s">
        <v>218</v>
      </c>
      <c r="B168" s="18">
        <v>30000.0</v>
      </c>
      <c r="C168" s="19">
        <f>0.0175*B168</f>
        <v>525</v>
      </c>
      <c r="D168" s="20">
        <v>45688.0</v>
      </c>
      <c r="E168" s="17" t="s">
        <v>15</v>
      </c>
      <c r="F168" s="17" t="s">
        <v>28</v>
      </c>
      <c r="H168" s="17" t="s">
        <v>16</v>
      </c>
      <c r="I168" s="23" t="s">
        <v>30</v>
      </c>
      <c r="K168" s="17">
        <v>120.0</v>
      </c>
    </row>
    <row r="169">
      <c r="A169" s="17" t="s">
        <v>219</v>
      </c>
      <c r="B169" s="18">
        <v>110000.0</v>
      </c>
      <c r="C169" s="19">
        <f>0.0125*B169</f>
        <v>1375</v>
      </c>
      <c r="D169" s="20">
        <v>45688.0</v>
      </c>
      <c r="E169" s="17" t="s">
        <v>15</v>
      </c>
      <c r="F169" s="17" t="s">
        <v>12</v>
      </c>
      <c r="H169" s="17" t="s">
        <v>220</v>
      </c>
      <c r="K169" s="17">
        <v>385.0</v>
      </c>
    </row>
    <row r="170">
      <c r="A170" s="17" t="s">
        <v>221</v>
      </c>
      <c r="B170" s="18">
        <v>70000.0</v>
      </c>
      <c r="C170" s="19">
        <f>0.0175*B170</f>
        <v>1225</v>
      </c>
      <c r="D170" s="20">
        <v>45688.0</v>
      </c>
      <c r="E170" s="17" t="s">
        <v>11</v>
      </c>
      <c r="F170" s="17" t="s">
        <v>28</v>
      </c>
      <c r="I170" s="23" t="s">
        <v>30</v>
      </c>
    </row>
    <row r="171">
      <c r="A171" s="17" t="s">
        <v>222</v>
      </c>
      <c r="B171" s="18">
        <v>175000.0</v>
      </c>
      <c r="C171" s="19">
        <f>0.0125*B171</f>
        <v>2187.5</v>
      </c>
      <c r="D171" s="20">
        <v>45688.0</v>
      </c>
      <c r="E171" s="17" t="s">
        <v>11</v>
      </c>
      <c r="F171" s="17" t="s">
        <v>144</v>
      </c>
    </row>
    <row r="172">
      <c r="A172" s="17" t="s">
        <v>223</v>
      </c>
      <c r="B172" s="18">
        <v>100000.0</v>
      </c>
      <c r="C172" s="19">
        <f t="shared" ref="C172:C175" si="37">0.0175*B172</f>
        <v>1750</v>
      </c>
      <c r="D172" s="20">
        <v>45688.0</v>
      </c>
      <c r="E172" s="17" t="s">
        <v>60</v>
      </c>
      <c r="F172" s="17" t="s">
        <v>28</v>
      </c>
      <c r="I172" s="23" t="s">
        <v>30</v>
      </c>
    </row>
    <row r="173">
      <c r="A173" s="17" t="s">
        <v>224</v>
      </c>
      <c r="B173" s="18">
        <v>25000.0</v>
      </c>
      <c r="C173" s="19">
        <f t="shared" si="37"/>
        <v>437.5</v>
      </c>
      <c r="D173" s="20">
        <v>45688.0</v>
      </c>
      <c r="E173" s="17" t="s">
        <v>21</v>
      </c>
      <c r="F173" s="17" t="s">
        <v>28</v>
      </c>
      <c r="H173" s="17" t="s">
        <v>13</v>
      </c>
      <c r="I173" s="23" t="s">
        <v>30</v>
      </c>
    </row>
    <row r="174">
      <c r="A174" s="17" t="s">
        <v>225</v>
      </c>
      <c r="B174" s="18">
        <v>200000.0</v>
      </c>
      <c r="C174" s="19">
        <f t="shared" si="37"/>
        <v>3500</v>
      </c>
      <c r="D174" s="20">
        <v>45688.0</v>
      </c>
      <c r="E174" s="17" t="s">
        <v>15</v>
      </c>
      <c r="F174" s="17" t="s">
        <v>28</v>
      </c>
      <c r="H174" s="17" t="s">
        <v>16</v>
      </c>
      <c r="I174" s="23" t="s">
        <v>30</v>
      </c>
      <c r="K174" s="17">
        <v>800.0</v>
      </c>
    </row>
    <row r="175">
      <c r="A175" s="17" t="s">
        <v>226</v>
      </c>
      <c r="B175" s="18">
        <v>7500.0</v>
      </c>
      <c r="C175" s="19">
        <f t="shared" si="37"/>
        <v>131.25</v>
      </c>
      <c r="D175" s="20">
        <v>45688.0</v>
      </c>
      <c r="E175" s="17" t="s">
        <v>15</v>
      </c>
      <c r="F175" s="17" t="s">
        <v>28</v>
      </c>
      <c r="H175" s="17" t="s">
        <v>54</v>
      </c>
      <c r="I175" s="23" t="s">
        <v>30</v>
      </c>
      <c r="K175" s="17">
        <v>45.0</v>
      </c>
    </row>
    <row r="176">
      <c r="A176" s="17" t="s">
        <v>227</v>
      </c>
      <c r="B176" s="18">
        <v>100000.0</v>
      </c>
      <c r="C176" s="19">
        <f t="shared" ref="C176:C179" si="38">0.0125*B176</f>
        <v>1250</v>
      </c>
      <c r="D176" s="20">
        <v>45673.0</v>
      </c>
      <c r="E176" s="17" t="s">
        <v>75</v>
      </c>
      <c r="F176" s="17" t="s">
        <v>12</v>
      </c>
    </row>
    <row r="177">
      <c r="A177" s="17" t="s">
        <v>228</v>
      </c>
      <c r="B177" s="18">
        <v>125000.0</v>
      </c>
      <c r="C177" s="19">
        <f t="shared" si="38"/>
        <v>1562.5</v>
      </c>
      <c r="D177" s="20">
        <v>45575.0</v>
      </c>
      <c r="E177" s="17" t="s">
        <v>75</v>
      </c>
      <c r="F177" s="17" t="s">
        <v>12</v>
      </c>
      <c r="H177" s="31" t="s">
        <v>229</v>
      </c>
    </row>
    <row r="178">
      <c r="A178" s="17" t="s">
        <v>230</v>
      </c>
      <c r="B178" s="18">
        <v>185000.0</v>
      </c>
      <c r="C178" s="19">
        <f t="shared" si="38"/>
        <v>2312.5</v>
      </c>
      <c r="D178" s="20">
        <v>45680.0</v>
      </c>
      <c r="E178" s="17" t="s">
        <v>231</v>
      </c>
      <c r="F178" s="17" t="s">
        <v>12</v>
      </c>
      <c r="H178" s="17" t="s">
        <v>22</v>
      </c>
    </row>
    <row r="179">
      <c r="A179" s="17" t="s">
        <v>232</v>
      </c>
      <c r="B179" s="18">
        <v>110000.0</v>
      </c>
      <c r="C179" s="19">
        <f t="shared" si="38"/>
        <v>1375</v>
      </c>
      <c r="D179" s="20">
        <v>45686.0</v>
      </c>
      <c r="E179" s="17" t="s">
        <v>11</v>
      </c>
      <c r="F179" s="17" t="s">
        <v>12</v>
      </c>
    </row>
    <row r="180">
      <c r="A180" s="17" t="s">
        <v>233</v>
      </c>
      <c r="B180" s="18">
        <v>500000.0</v>
      </c>
      <c r="C180" s="19">
        <f>0.0175*B180</f>
        <v>8750</v>
      </c>
      <c r="D180" s="20">
        <v>45688.0</v>
      </c>
      <c r="E180" s="17" t="s">
        <v>24</v>
      </c>
      <c r="F180" s="17" t="s">
        <v>28</v>
      </c>
      <c r="H180" s="17" t="s">
        <v>58</v>
      </c>
      <c r="I180" s="23" t="s">
        <v>30</v>
      </c>
    </row>
    <row r="181">
      <c r="A181" s="12">
        <v>45689.0</v>
      </c>
      <c r="B181" s="13">
        <f t="shared" ref="B181:C181" si="39">SUM(B182:B320)</f>
        <v>30698000</v>
      </c>
      <c r="C181" s="13">
        <f t="shared" si="39"/>
        <v>468875</v>
      </c>
      <c r="D181" s="14"/>
      <c r="E181" s="15"/>
      <c r="F181" s="15"/>
      <c r="G181" s="15"/>
      <c r="H181" s="16"/>
      <c r="I181" s="16"/>
      <c r="J181" s="16"/>
      <c r="K181" s="16"/>
      <c r="L181" s="16"/>
    </row>
    <row r="182">
      <c r="A182" s="17" t="s">
        <v>234</v>
      </c>
      <c r="B182" s="18">
        <v>150000.0</v>
      </c>
      <c r="C182" s="19">
        <f t="shared" ref="C182:C183" si="40">0.0175*B182</f>
        <v>2625</v>
      </c>
      <c r="D182" s="20">
        <v>45691.0</v>
      </c>
      <c r="E182" s="17" t="s">
        <v>11</v>
      </c>
      <c r="F182" s="17" t="s">
        <v>28</v>
      </c>
      <c r="I182" s="23" t="s">
        <v>30</v>
      </c>
      <c r="N182" s="21" t="s">
        <v>13</v>
      </c>
    </row>
    <row r="183">
      <c r="A183" s="17" t="s">
        <v>235</v>
      </c>
      <c r="B183" s="18">
        <v>150000.0</v>
      </c>
      <c r="C183" s="19">
        <f t="shared" si="40"/>
        <v>2625</v>
      </c>
      <c r="D183" s="20">
        <v>45691.0</v>
      </c>
      <c r="E183" s="17" t="s">
        <v>60</v>
      </c>
      <c r="F183" s="17" t="s">
        <v>28</v>
      </c>
      <c r="I183" s="23" t="s">
        <v>30</v>
      </c>
      <c r="N183" s="17" t="s">
        <v>17</v>
      </c>
      <c r="O183" s="22">
        <v>11538.46</v>
      </c>
    </row>
    <row r="184">
      <c r="A184" s="17" t="s">
        <v>236</v>
      </c>
      <c r="B184" s="18">
        <v>95000.0</v>
      </c>
      <c r="C184" s="19">
        <f t="shared" ref="C184:C187" si="41">0.0125*B184</f>
        <v>1187.5</v>
      </c>
      <c r="D184" s="20">
        <v>45691.0</v>
      </c>
      <c r="E184" s="17" t="s">
        <v>15</v>
      </c>
      <c r="F184" s="17" t="s">
        <v>12</v>
      </c>
      <c r="H184" s="17" t="s">
        <v>54</v>
      </c>
      <c r="K184" s="17">
        <v>570.0</v>
      </c>
      <c r="N184" s="17" t="s">
        <v>19</v>
      </c>
      <c r="O184" s="22">
        <f>P184+Q184</f>
        <v>23312.5</v>
      </c>
      <c r="P184" s="17">
        <v>5337.5</v>
      </c>
      <c r="Q184" s="17">
        <v>17975.0</v>
      </c>
    </row>
    <row r="185">
      <c r="A185" s="17" t="s">
        <v>237</v>
      </c>
      <c r="B185" s="18">
        <v>600000.0</v>
      </c>
      <c r="C185" s="19">
        <f t="shared" si="41"/>
        <v>7500</v>
      </c>
      <c r="D185" s="20">
        <v>45692.0</v>
      </c>
      <c r="E185" s="17" t="s">
        <v>24</v>
      </c>
      <c r="F185" s="17" t="s">
        <v>12</v>
      </c>
      <c r="H185" s="17" t="s">
        <v>48</v>
      </c>
      <c r="N185" s="17" t="s">
        <v>15</v>
      </c>
      <c r="O185" s="22">
        <v>18206.0</v>
      </c>
    </row>
    <row r="186">
      <c r="A186" s="17" t="s">
        <v>238</v>
      </c>
      <c r="B186" s="18">
        <v>250000.0</v>
      </c>
      <c r="C186" s="19">
        <f t="shared" si="41"/>
        <v>3125</v>
      </c>
      <c r="D186" s="20">
        <v>45692.0</v>
      </c>
      <c r="E186" s="17" t="s">
        <v>11</v>
      </c>
      <c r="F186" s="17" t="s">
        <v>12</v>
      </c>
      <c r="N186" s="17" t="s">
        <v>26</v>
      </c>
      <c r="O186" s="22">
        <v>43150.0</v>
      </c>
    </row>
    <row r="187">
      <c r="A187" s="17" t="s">
        <v>239</v>
      </c>
      <c r="B187" s="18">
        <v>930000.0</v>
      </c>
      <c r="C187" s="19">
        <f t="shared" si="41"/>
        <v>11625</v>
      </c>
      <c r="D187" s="20">
        <v>45692.0</v>
      </c>
      <c r="E187" s="17" t="s">
        <v>240</v>
      </c>
      <c r="F187" s="17" t="s">
        <v>12</v>
      </c>
      <c r="N187" s="17" t="s">
        <v>31</v>
      </c>
      <c r="O187" s="24">
        <v>11405.0</v>
      </c>
    </row>
    <row r="188">
      <c r="A188" s="17" t="s">
        <v>241</v>
      </c>
      <c r="B188" s="18">
        <v>200000.0</v>
      </c>
      <c r="C188" s="19">
        <f t="shared" ref="C188:C190" si="42">0.0175*B188</f>
        <v>3500</v>
      </c>
      <c r="D188" s="20">
        <v>45692.0</v>
      </c>
      <c r="E188" s="17" t="s">
        <v>11</v>
      </c>
      <c r="F188" s="17" t="s">
        <v>12</v>
      </c>
      <c r="N188" s="17" t="s">
        <v>242</v>
      </c>
      <c r="O188" s="24">
        <v>845.0</v>
      </c>
    </row>
    <row r="189">
      <c r="A189" s="17" t="s">
        <v>27</v>
      </c>
      <c r="B189" s="18">
        <v>10000.0</v>
      </c>
      <c r="C189" s="19">
        <f t="shared" si="42"/>
        <v>175</v>
      </c>
      <c r="D189" s="20">
        <v>45692.0</v>
      </c>
      <c r="E189" s="17" t="s">
        <v>15</v>
      </c>
      <c r="F189" s="17" t="s">
        <v>67</v>
      </c>
      <c r="H189" s="17" t="s">
        <v>29</v>
      </c>
      <c r="K189" s="17">
        <v>45.0</v>
      </c>
    </row>
    <row r="190">
      <c r="A190" s="17" t="s">
        <v>243</v>
      </c>
      <c r="B190" s="18">
        <v>70000.0</v>
      </c>
      <c r="C190" s="19">
        <f t="shared" si="42"/>
        <v>1225</v>
      </c>
      <c r="D190" s="20">
        <v>45692.0</v>
      </c>
      <c r="E190" s="17" t="s">
        <v>15</v>
      </c>
      <c r="F190" s="17" t="s">
        <v>28</v>
      </c>
      <c r="H190" s="17" t="s">
        <v>244</v>
      </c>
      <c r="K190" s="17">
        <v>385.0</v>
      </c>
      <c r="N190" s="21" t="s">
        <v>245</v>
      </c>
    </row>
    <row r="191">
      <c r="A191" s="17" t="s">
        <v>246</v>
      </c>
      <c r="B191" s="18">
        <v>33500.0</v>
      </c>
      <c r="C191" s="19">
        <f t="shared" ref="C191:C194" si="43">0.0125*B191</f>
        <v>418.75</v>
      </c>
      <c r="D191" s="20">
        <v>45692.0</v>
      </c>
      <c r="E191" s="17" t="s">
        <v>15</v>
      </c>
      <c r="F191" s="17" t="s">
        <v>12</v>
      </c>
      <c r="H191" s="17" t="s">
        <v>54</v>
      </c>
      <c r="K191" s="17">
        <v>201.0</v>
      </c>
      <c r="N191" s="17" t="s">
        <v>17</v>
      </c>
      <c r="O191" s="17">
        <v>11538.46</v>
      </c>
    </row>
    <row r="192">
      <c r="A192" s="17" t="s">
        <v>247</v>
      </c>
      <c r="B192" s="18">
        <v>30000.0</v>
      </c>
      <c r="C192" s="19">
        <f t="shared" si="43"/>
        <v>375</v>
      </c>
      <c r="D192" s="20">
        <v>45692.0</v>
      </c>
      <c r="E192" s="17" t="s">
        <v>24</v>
      </c>
      <c r="F192" s="17" t="s">
        <v>12</v>
      </c>
      <c r="H192" s="17" t="s">
        <v>25</v>
      </c>
      <c r="N192" s="17" t="s">
        <v>15</v>
      </c>
      <c r="O192" s="17">
        <v>31588.0</v>
      </c>
    </row>
    <row r="193">
      <c r="A193" s="17" t="s">
        <v>248</v>
      </c>
      <c r="B193" s="32">
        <v>70000.0</v>
      </c>
      <c r="C193" s="19">
        <f t="shared" si="43"/>
        <v>875</v>
      </c>
      <c r="D193" s="20">
        <v>45692.0</v>
      </c>
      <c r="E193" s="17" t="s">
        <v>15</v>
      </c>
      <c r="F193" s="17" t="s">
        <v>12</v>
      </c>
      <c r="H193" s="17" t="s">
        <v>51</v>
      </c>
      <c r="K193" s="17">
        <v>350.0</v>
      </c>
      <c r="N193" s="17" t="s">
        <v>242</v>
      </c>
      <c r="O193" s="17">
        <v>1690.0</v>
      </c>
    </row>
    <row r="194">
      <c r="A194" s="17" t="s">
        <v>249</v>
      </c>
      <c r="B194" s="32">
        <v>13000.0</v>
      </c>
      <c r="C194" s="19">
        <f t="shared" si="43"/>
        <v>162.5</v>
      </c>
      <c r="D194" s="20">
        <v>45692.0</v>
      </c>
      <c r="E194" s="17" t="s">
        <v>15</v>
      </c>
      <c r="F194" s="17" t="s">
        <v>12</v>
      </c>
      <c r="H194" s="17" t="s">
        <v>54</v>
      </c>
      <c r="K194" s="17">
        <v>78.0</v>
      </c>
    </row>
    <row r="195">
      <c r="A195" s="17" t="s">
        <v>250</v>
      </c>
      <c r="B195" s="18">
        <v>25000.0</v>
      </c>
      <c r="C195" s="19">
        <f t="shared" ref="C195:C198" si="44">0.0175*B195</f>
        <v>437.5</v>
      </c>
      <c r="D195" s="20">
        <v>45692.0</v>
      </c>
      <c r="E195" s="17" t="s">
        <v>147</v>
      </c>
      <c r="F195" s="17" t="s">
        <v>67</v>
      </c>
      <c r="I195" s="23" t="s">
        <v>30</v>
      </c>
    </row>
    <row r="196">
      <c r="A196" s="17" t="s">
        <v>251</v>
      </c>
      <c r="B196" s="18">
        <v>400000.0</v>
      </c>
      <c r="C196" s="19">
        <f t="shared" si="44"/>
        <v>7000</v>
      </c>
      <c r="D196" s="20">
        <v>45692.0</v>
      </c>
      <c r="E196" s="17" t="s">
        <v>15</v>
      </c>
      <c r="F196" s="17" t="s">
        <v>28</v>
      </c>
      <c r="H196" s="17" t="s">
        <v>98</v>
      </c>
      <c r="I196" s="23" t="s">
        <v>30</v>
      </c>
      <c r="K196" s="17">
        <v>1200.0</v>
      </c>
    </row>
    <row r="197">
      <c r="A197" s="17" t="s">
        <v>252</v>
      </c>
      <c r="B197" s="18">
        <v>35000.0</v>
      </c>
      <c r="C197" s="19">
        <f t="shared" si="44"/>
        <v>612.5</v>
      </c>
      <c r="D197" s="20">
        <v>45692.0</v>
      </c>
      <c r="E197" s="17" t="s">
        <v>21</v>
      </c>
      <c r="F197" s="17" t="s">
        <v>28</v>
      </c>
      <c r="H197" s="17" t="s">
        <v>13</v>
      </c>
      <c r="I197" s="23" t="s">
        <v>30</v>
      </c>
    </row>
    <row r="198">
      <c r="A198" s="17" t="s">
        <v>253</v>
      </c>
      <c r="B198" s="18">
        <v>75000.0</v>
      </c>
      <c r="C198" s="19">
        <f t="shared" si="44"/>
        <v>1312.5</v>
      </c>
      <c r="D198" s="20">
        <v>45692.0</v>
      </c>
      <c r="E198" s="17" t="s">
        <v>60</v>
      </c>
      <c r="F198" s="17" t="s">
        <v>28</v>
      </c>
      <c r="I198" s="23" t="s">
        <v>30</v>
      </c>
    </row>
    <row r="199">
      <c r="A199" s="17" t="s">
        <v>254</v>
      </c>
      <c r="B199" s="18">
        <v>27500.0</v>
      </c>
      <c r="C199" s="19">
        <f>0.0125*B199</f>
        <v>343.75</v>
      </c>
      <c r="D199" s="20">
        <v>45693.0</v>
      </c>
      <c r="E199" s="17" t="s">
        <v>40</v>
      </c>
      <c r="F199" s="17" t="s">
        <v>12</v>
      </c>
    </row>
    <row r="200">
      <c r="A200" s="17" t="s">
        <v>255</v>
      </c>
      <c r="B200" s="18">
        <v>250000.0</v>
      </c>
      <c r="C200" s="19">
        <f>0.0175*B200</f>
        <v>4375</v>
      </c>
      <c r="D200" s="20">
        <v>45693.0</v>
      </c>
      <c r="E200" s="17" t="s">
        <v>60</v>
      </c>
      <c r="F200" s="17" t="s">
        <v>28</v>
      </c>
      <c r="I200" s="23" t="s">
        <v>30</v>
      </c>
    </row>
    <row r="201">
      <c r="A201" s="17" t="s">
        <v>256</v>
      </c>
      <c r="B201" s="18">
        <v>195000.0</v>
      </c>
      <c r="C201" s="19">
        <f>0.0125*B201</f>
        <v>2437.5</v>
      </c>
      <c r="D201" s="20">
        <v>45693.0</v>
      </c>
      <c r="E201" s="17" t="s">
        <v>15</v>
      </c>
      <c r="F201" s="17" t="s">
        <v>12</v>
      </c>
      <c r="H201" s="17" t="s">
        <v>51</v>
      </c>
      <c r="K201" s="17">
        <v>975.0</v>
      </c>
    </row>
    <row r="202">
      <c r="A202" s="17" t="s">
        <v>257</v>
      </c>
      <c r="B202" s="18">
        <v>350000.0</v>
      </c>
      <c r="C202" s="19">
        <f>0.0175*B202</f>
        <v>6125</v>
      </c>
      <c r="D202" s="20">
        <v>45693.0</v>
      </c>
      <c r="E202" s="17" t="s">
        <v>15</v>
      </c>
      <c r="F202" s="17" t="s">
        <v>28</v>
      </c>
      <c r="H202" s="17" t="s">
        <v>35</v>
      </c>
      <c r="I202" s="23" t="s">
        <v>30</v>
      </c>
      <c r="K202" s="17">
        <v>700.0</v>
      </c>
    </row>
    <row r="203">
      <c r="A203" s="17" t="s">
        <v>258</v>
      </c>
      <c r="B203" s="18">
        <v>350000.0</v>
      </c>
      <c r="C203" s="19">
        <f t="shared" ref="C203:C204" si="45">0.0125*B203</f>
        <v>4375</v>
      </c>
      <c r="D203" s="20">
        <v>45693.0</v>
      </c>
      <c r="E203" s="17" t="s">
        <v>11</v>
      </c>
      <c r="F203" s="17" t="s">
        <v>12</v>
      </c>
    </row>
    <row r="204">
      <c r="A204" s="17" t="s">
        <v>259</v>
      </c>
      <c r="B204" s="18">
        <v>265000.0</v>
      </c>
      <c r="C204" s="19">
        <f t="shared" si="45"/>
        <v>3312.5</v>
      </c>
      <c r="D204" s="20">
        <v>45693.0</v>
      </c>
      <c r="E204" s="17" t="s">
        <v>11</v>
      </c>
      <c r="F204" s="17" t="s">
        <v>12</v>
      </c>
    </row>
    <row r="205">
      <c r="A205" s="17" t="s">
        <v>260</v>
      </c>
      <c r="B205" s="18">
        <v>75000.0</v>
      </c>
      <c r="C205" s="19">
        <f t="shared" ref="C205:C207" si="46">0.0175*B205</f>
        <v>1312.5</v>
      </c>
      <c r="D205" s="20">
        <v>45693.0</v>
      </c>
      <c r="E205" s="17" t="s">
        <v>15</v>
      </c>
      <c r="F205" s="17" t="s">
        <v>28</v>
      </c>
      <c r="H205" s="17" t="s">
        <v>54</v>
      </c>
      <c r="I205" s="23" t="s">
        <v>30</v>
      </c>
      <c r="K205" s="17">
        <v>450.0</v>
      </c>
    </row>
    <row r="206">
      <c r="A206" s="17" t="s">
        <v>261</v>
      </c>
      <c r="B206" s="18">
        <v>150000.0</v>
      </c>
      <c r="C206" s="19">
        <f t="shared" si="46"/>
        <v>2625</v>
      </c>
      <c r="D206" s="20">
        <v>45693.0</v>
      </c>
      <c r="E206" s="17" t="s">
        <v>11</v>
      </c>
      <c r="F206" s="17" t="s">
        <v>28</v>
      </c>
      <c r="I206" s="23" t="s">
        <v>30</v>
      </c>
    </row>
    <row r="207">
      <c r="A207" s="17" t="s">
        <v>262</v>
      </c>
      <c r="B207" s="18">
        <v>100000.0</v>
      </c>
      <c r="C207" s="19">
        <f t="shared" si="46"/>
        <v>1750</v>
      </c>
      <c r="D207" s="20">
        <v>45693.0</v>
      </c>
      <c r="E207" s="17" t="s">
        <v>11</v>
      </c>
      <c r="F207" s="17" t="s">
        <v>28</v>
      </c>
      <c r="I207" s="23" t="s">
        <v>30</v>
      </c>
    </row>
    <row r="208">
      <c r="A208" s="17" t="s">
        <v>55</v>
      </c>
      <c r="B208" s="18">
        <v>85000.0</v>
      </c>
      <c r="C208" s="19">
        <f>0.0125*B208</f>
        <v>1062.5</v>
      </c>
      <c r="D208" s="20">
        <v>45693.0</v>
      </c>
      <c r="E208" s="17" t="s">
        <v>40</v>
      </c>
      <c r="F208" s="17" t="s">
        <v>12</v>
      </c>
      <c r="H208" s="17" t="s">
        <v>54</v>
      </c>
      <c r="K208" s="17">
        <v>510.0</v>
      </c>
    </row>
    <row r="209">
      <c r="A209" s="17" t="s">
        <v>263</v>
      </c>
      <c r="B209" s="18">
        <v>15000.0</v>
      </c>
      <c r="C209" s="19">
        <f>0.0175*B209</f>
        <v>262.5</v>
      </c>
      <c r="D209" s="20">
        <v>45693.0</v>
      </c>
      <c r="E209" s="17" t="s">
        <v>11</v>
      </c>
      <c r="F209" s="17" t="s">
        <v>28</v>
      </c>
    </row>
    <row r="210">
      <c r="A210" s="17" t="s">
        <v>264</v>
      </c>
      <c r="B210" s="18">
        <v>425000.0</v>
      </c>
      <c r="C210" s="19">
        <f>0.0125*B210</f>
        <v>5312.5</v>
      </c>
      <c r="D210" s="20">
        <v>45694.0</v>
      </c>
      <c r="E210" s="17" t="s">
        <v>24</v>
      </c>
      <c r="F210" s="17" t="s">
        <v>12</v>
      </c>
      <c r="H210" s="17" t="s">
        <v>48</v>
      </c>
    </row>
    <row r="211">
      <c r="A211" s="17" t="s">
        <v>265</v>
      </c>
      <c r="B211" s="18">
        <v>250000.0</v>
      </c>
      <c r="C211" s="19">
        <f t="shared" ref="C211:C214" si="47">0.0175*B211</f>
        <v>4375</v>
      </c>
      <c r="D211" s="20">
        <v>45694.0</v>
      </c>
      <c r="E211" s="17" t="s">
        <v>15</v>
      </c>
      <c r="F211" s="17" t="s">
        <v>28</v>
      </c>
      <c r="H211" s="17" t="s">
        <v>172</v>
      </c>
      <c r="I211" s="23" t="s">
        <v>30</v>
      </c>
      <c r="K211" s="17">
        <v>375.0</v>
      </c>
    </row>
    <row r="212">
      <c r="A212" s="17" t="s">
        <v>266</v>
      </c>
      <c r="B212" s="18">
        <v>110000.0</v>
      </c>
      <c r="C212" s="19">
        <f t="shared" si="47"/>
        <v>1925</v>
      </c>
      <c r="D212" s="20">
        <v>45694.0</v>
      </c>
      <c r="E212" s="17" t="s">
        <v>118</v>
      </c>
      <c r="F212" s="17" t="s">
        <v>28</v>
      </c>
      <c r="H212" s="17" t="s">
        <v>13</v>
      </c>
      <c r="I212" s="23" t="s">
        <v>30</v>
      </c>
    </row>
    <row r="213">
      <c r="A213" s="17" t="s">
        <v>267</v>
      </c>
      <c r="B213" s="18">
        <v>400000.0</v>
      </c>
      <c r="C213" s="19">
        <f t="shared" si="47"/>
        <v>7000</v>
      </c>
      <c r="D213" s="20">
        <v>45694.0</v>
      </c>
      <c r="E213" s="17" t="s">
        <v>15</v>
      </c>
      <c r="F213" s="17" t="s">
        <v>28</v>
      </c>
      <c r="H213" s="17" t="s">
        <v>149</v>
      </c>
      <c r="I213" s="23" t="s">
        <v>30</v>
      </c>
      <c r="K213" s="17">
        <v>1000.0</v>
      </c>
    </row>
    <row r="214">
      <c r="A214" s="17" t="s">
        <v>268</v>
      </c>
      <c r="B214" s="18">
        <v>150000.0</v>
      </c>
      <c r="C214" s="19">
        <f t="shared" si="47"/>
        <v>2625</v>
      </c>
      <c r="D214" s="20">
        <v>45695.0</v>
      </c>
      <c r="E214" s="17" t="s">
        <v>60</v>
      </c>
      <c r="F214" s="17" t="s">
        <v>28</v>
      </c>
      <c r="I214" s="23" t="s">
        <v>30</v>
      </c>
    </row>
    <row r="215">
      <c r="A215" s="30" t="s">
        <v>269</v>
      </c>
      <c r="B215" s="28">
        <v>90000.0</v>
      </c>
      <c r="C215" s="28">
        <f t="shared" ref="C215:C216" si="48">0.0125*B215</f>
        <v>1125</v>
      </c>
      <c r="D215" s="20">
        <v>45695.0</v>
      </c>
      <c r="E215" s="27" t="s">
        <v>11</v>
      </c>
      <c r="F215" s="17" t="s">
        <v>12</v>
      </c>
    </row>
    <row r="216">
      <c r="A216" s="17" t="s">
        <v>270</v>
      </c>
      <c r="B216" s="18">
        <v>40000.0</v>
      </c>
      <c r="C216" s="19">
        <f t="shared" si="48"/>
        <v>500</v>
      </c>
      <c r="D216" s="20">
        <v>45695.0</v>
      </c>
      <c r="E216" s="17" t="s">
        <v>24</v>
      </c>
      <c r="F216" s="17" t="s">
        <v>12</v>
      </c>
      <c r="H216" s="17" t="s">
        <v>48</v>
      </c>
    </row>
    <row r="217">
      <c r="A217" s="17" t="s">
        <v>271</v>
      </c>
      <c r="B217" s="18">
        <v>250000.0</v>
      </c>
      <c r="C217" s="19">
        <f t="shared" ref="C217:C219" si="49">0.0175*B217</f>
        <v>4375</v>
      </c>
      <c r="D217" s="20">
        <v>45695.0</v>
      </c>
      <c r="E217" s="17" t="s">
        <v>15</v>
      </c>
      <c r="F217" s="17" t="s">
        <v>28</v>
      </c>
      <c r="H217" s="17" t="s">
        <v>54</v>
      </c>
      <c r="K217" s="17">
        <v>1500.0</v>
      </c>
    </row>
    <row r="218">
      <c r="A218" s="17" t="s">
        <v>272</v>
      </c>
      <c r="B218" s="18">
        <v>30000.0</v>
      </c>
      <c r="C218" s="19">
        <f t="shared" si="49"/>
        <v>525</v>
      </c>
      <c r="D218" s="20">
        <v>45695.0</v>
      </c>
      <c r="E218" s="27" t="s">
        <v>11</v>
      </c>
      <c r="F218" s="17" t="s">
        <v>28</v>
      </c>
      <c r="I218" s="23" t="s">
        <v>30</v>
      </c>
    </row>
    <row r="219">
      <c r="A219" s="17" t="s">
        <v>273</v>
      </c>
      <c r="B219" s="18">
        <v>300000.0</v>
      </c>
      <c r="C219" s="19">
        <f t="shared" si="49"/>
        <v>5250</v>
      </c>
      <c r="D219" s="20">
        <v>45695.0</v>
      </c>
      <c r="E219" s="27" t="s">
        <v>11</v>
      </c>
      <c r="F219" s="17" t="s">
        <v>67</v>
      </c>
      <c r="I219" s="23" t="s">
        <v>30</v>
      </c>
    </row>
    <row r="220">
      <c r="A220" s="17" t="s">
        <v>274</v>
      </c>
      <c r="B220" s="18">
        <v>60000.0</v>
      </c>
      <c r="C220" s="19">
        <f t="shared" ref="C220:C221" si="50">0.0125*B220</f>
        <v>750</v>
      </c>
      <c r="D220" s="20">
        <v>45695.0</v>
      </c>
      <c r="E220" s="27" t="s">
        <v>11</v>
      </c>
      <c r="F220" s="17" t="s">
        <v>144</v>
      </c>
    </row>
    <row r="221">
      <c r="A221" s="17" t="s">
        <v>275</v>
      </c>
      <c r="B221" s="18">
        <v>8000.0</v>
      </c>
      <c r="C221" s="19">
        <f t="shared" si="50"/>
        <v>100</v>
      </c>
      <c r="D221" s="20">
        <v>45698.0</v>
      </c>
      <c r="E221" s="17" t="s">
        <v>15</v>
      </c>
      <c r="F221" s="17" t="s">
        <v>144</v>
      </c>
      <c r="H221" s="17" t="s">
        <v>54</v>
      </c>
      <c r="K221" s="17">
        <v>48.0</v>
      </c>
    </row>
    <row r="222">
      <c r="A222" s="17" t="s">
        <v>276</v>
      </c>
      <c r="B222" s="18">
        <v>130000.0</v>
      </c>
      <c r="C222" s="19">
        <f>0.0175*B222</f>
        <v>2275</v>
      </c>
      <c r="D222" s="20">
        <v>45698.0</v>
      </c>
      <c r="E222" s="17" t="s">
        <v>118</v>
      </c>
      <c r="F222" s="17" t="s">
        <v>28</v>
      </c>
      <c r="H222" s="17" t="s">
        <v>13</v>
      </c>
      <c r="I222" s="23" t="s">
        <v>30</v>
      </c>
    </row>
    <row r="223">
      <c r="A223" s="17" t="s">
        <v>277</v>
      </c>
      <c r="B223" s="18">
        <v>700000.0</v>
      </c>
      <c r="C223" s="19">
        <f t="shared" ref="C223:C225" si="51">0.0125*B223</f>
        <v>8750</v>
      </c>
      <c r="D223" s="20">
        <v>45698.0</v>
      </c>
      <c r="E223" s="17" t="s">
        <v>15</v>
      </c>
      <c r="F223" s="17" t="s">
        <v>12</v>
      </c>
      <c r="H223" s="17" t="s">
        <v>98</v>
      </c>
      <c r="K223" s="17">
        <v>2100.0</v>
      </c>
    </row>
    <row r="224">
      <c r="A224" s="17" t="s">
        <v>86</v>
      </c>
      <c r="B224" s="18">
        <v>200000.0</v>
      </c>
      <c r="C224" s="19">
        <f t="shared" si="51"/>
        <v>2500</v>
      </c>
      <c r="D224" s="20">
        <v>45698.0</v>
      </c>
      <c r="E224" s="17" t="s">
        <v>11</v>
      </c>
      <c r="F224" s="17" t="s">
        <v>12</v>
      </c>
    </row>
    <row r="225">
      <c r="A225" s="17" t="s">
        <v>137</v>
      </c>
      <c r="B225" s="18">
        <v>60000.0</v>
      </c>
      <c r="C225" s="19">
        <f t="shared" si="51"/>
        <v>750</v>
      </c>
      <c r="D225" s="20">
        <v>45698.0</v>
      </c>
      <c r="E225" s="17" t="s">
        <v>15</v>
      </c>
      <c r="F225" s="17" t="s">
        <v>144</v>
      </c>
      <c r="H225" s="17" t="s">
        <v>54</v>
      </c>
      <c r="K225" s="17">
        <v>360.0</v>
      </c>
    </row>
    <row r="226">
      <c r="A226" s="17" t="s">
        <v>278</v>
      </c>
      <c r="B226" s="18">
        <v>1000000.0</v>
      </c>
      <c r="C226" s="19">
        <f>0.0175*B226</f>
        <v>17500</v>
      </c>
      <c r="D226" s="20">
        <v>45699.0</v>
      </c>
      <c r="E226" s="17" t="s">
        <v>279</v>
      </c>
      <c r="F226" s="17" t="s">
        <v>28</v>
      </c>
      <c r="H226" s="17" t="s">
        <v>13</v>
      </c>
      <c r="I226" s="23" t="s">
        <v>30</v>
      </c>
    </row>
    <row r="227">
      <c r="A227" s="17" t="s">
        <v>280</v>
      </c>
      <c r="B227" s="18">
        <v>105000.0</v>
      </c>
      <c r="C227" s="19">
        <f>0.0125*B227</f>
        <v>1312.5</v>
      </c>
      <c r="D227" s="20">
        <v>45699.0</v>
      </c>
      <c r="E227" s="17" t="s">
        <v>281</v>
      </c>
      <c r="F227" s="17" t="s">
        <v>12</v>
      </c>
      <c r="H227" s="17" t="s">
        <v>282</v>
      </c>
      <c r="K227" s="17">
        <v>105.0</v>
      </c>
    </row>
    <row r="228">
      <c r="A228" s="17" t="s">
        <v>283</v>
      </c>
      <c r="B228" s="18">
        <v>900000.0</v>
      </c>
      <c r="C228" s="19">
        <f t="shared" ref="C228:C231" si="52">0.0175*B228</f>
        <v>15750</v>
      </c>
      <c r="D228" s="20">
        <v>45699.0</v>
      </c>
      <c r="E228" s="17" t="s">
        <v>15</v>
      </c>
      <c r="F228" s="17" t="s">
        <v>28</v>
      </c>
      <c r="H228" s="17" t="s">
        <v>35</v>
      </c>
      <c r="I228" s="23" t="s">
        <v>30</v>
      </c>
      <c r="K228" s="17">
        <v>1800.0</v>
      </c>
    </row>
    <row r="229">
      <c r="A229" s="17" t="s">
        <v>284</v>
      </c>
      <c r="B229" s="18">
        <v>400000.0</v>
      </c>
      <c r="C229" s="19">
        <f t="shared" si="52"/>
        <v>7000</v>
      </c>
      <c r="D229" s="20">
        <v>45699.0</v>
      </c>
      <c r="E229" s="17" t="s">
        <v>118</v>
      </c>
      <c r="F229" s="17" t="s">
        <v>28</v>
      </c>
      <c r="H229" s="17" t="s">
        <v>13</v>
      </c>
      <c r="I229" s="23" t="s">
        <v>30</v>
      </c>
    </row>
    <row r="230">
      <c r="A230" s="17" t="s">
        <v>285</v>
      </c>
      <c r="B230" s="18">
        <v>75000.0</v>
      </c>
      <c r="C230" s="19">
        <f t="shared" si="52"/>
        <v>1312.5</v>
      </c>
      <c r="D230" s="20">
        <v>45699.0</v>
      </c>
      <c r="E230" s="17" t="s">
        <v>118</v>
      </c>
      <c r="F230" s="17" t="s">
        <v>28</v>
      </c>
      <c r="H230" s="17" t="s">
        <v>13</v>
      </c>
      <c r="I230" s="23" t="s">
        <v>30</v>
      </c>
    </row>
    <row r="231">
      <c r="A231" s="17" t="s">
        <v>286</v>
      </c>
      <c r="B231" s="18">
        <v>30000.0</v>
      </c>
      <c r="C231" s="19">
        <f t="shared" si="52"/>
        <v>525</v>
      </c>
      <c r="D231" s="20">
        <v>45699.0</v>
      </c>
      <c r="E231" s="17" t="s">
        <v>11</v>
      </c>
      <c r="F231" s="17" t="s">
        <v>28</v>
      </c>
      <c r="I231" s="23" t="s">
        <v>30</v>
      </c>
    </row>
    <row r="232">
      <c r="A232" s="17" t="s">
        <v>287</v>
      </c>
      <c r="B232" s="18">
        <v>400000.0</v>
      </c>
      <c r="C232" s="19">
        <f>0.0125*B232</f>
        <v>5000</v>
      </c>
      <c r="D232" s="20">
        <v>45700.0</v>
      </c>
      <c r="E232" s="17" t="s">
        <v>11</v>
      </c>
      <c r="F232" s="17" t="s">
        <v>12</v>
      </c>
    </row>
    <row r="233">
      <c r="A233" s="17" t="s">
        <v>288</v>
      </c>
      <c r="B233" s="18">
        <v>1000000.0</v>
      </c>
      <c r="C233" s="19">
        <f t="shared" ref="C233:C240" si="53">0.0175*B233</f>
        <v>17500</v>
      </c>
      <c r="D233" s="20">
        <v>45700.0</v>
      </c>
      <c r="E233" s="17" t="s">
        <v>289</v>
      </c>
      <c r="F233" s="17" t="s">
        <v>28</v>
      </c>
      <c r="H233" s="17" t="s">
        <v>58</v>
      </c>
      <c r="I233" s="23" t="s">
        <v>30</v>
      </c>
    </row>
    <row r="234">
      <c r="A234" s="17" t="s">
        <v>290</v>
      </c>
      <c r="B234" s="18">
        <v>100000.0</v>
      </c>
      <c r="C234" s="19">
        <f t="shared" si="53"/>
        <v>1750</v>
      </c>
      <c r="D234" s="20">
        <v>45700.0</v>
      </c>
      <c r="E234" s="17" t="s">
        <v>15</v>
      </c>
      <c r="F234" s="17" t="s">
        <v>28</v>
      </c>
      <c r="H234" s="17" t="s">
        <v>16</v>
      </c>
      <c r="I234" s="23" t="s">
        <v>30</v>
      </c>
      <c r="K234" s="17">
        <v>400.0</v>
      </c>
    </row>
    <row r="235">
      <c r="A235" s="17" t="s">
        <v>291</v>
      </c>
      <c r="B235" s="18">
        <v>115000.0</v>
      </c>
      <c r="C235" s="19">
        <f t="shared" si="53"/>
        <v>2012.5</v>
      </c>
      <c r="D235" s="20">
        <v>45700.0</v>
      </c>
      <c r="E235" s="17" t="s">
        <v>24</v>
      </c>
      <c r="F235" s="17" t="s">
        <v>28</v>
      </c>
      <c r="H235" s="17" t="s">
        <v>58</v>
      </c>
      <c r="I235" s="23" t="s">
        <v>30</v>
      </c>
    </row>
    <row r="236">
      <c r="A236" s="17" t="s">
        <v>292</v>
      </c>
      <c r="B236" s="18">
        <v>360000.0</v>
      </c>
      <c r="C236" s="19">
        <f t="shared" si="53"/>
        <v>6300</v>
      </c>
      <c r="D236" s="20">
        <v>45700.0</v>
      </c>
      <c r="E236" s="17" t="s">
        <v>11</v>
      </c>
      <c r="F236" s="17" t="s">
        <v>28</v>
      </c>
      <c r="I236" s="23" t="s">
        <v>30</v>
      </c>
    </row>
    <row r="237">
      <c r="A237" s="17" t="s">
        <v>293</v>
      </c>
      <c r="B237" s="18">
        <v>35000.0</v>
      </c>
      <c r="C237" s="19">
        <f t="shared" si="53"/>
        <v>612.5</v>
      </c>
      <c r="D237" s="20">
        <v>45700.0</v>
      </c>
      <c r="E237" s="17" t="s">
        <v>11</v>
      </c>
      <c r="F237" s="17" t="s">
        <v>28</v>
      </c>
      <c r="I237" s="23" t="s">
        <v>30</v>
      </c>
    </row>
    <row r="238">
      <c r="A238" s="17" t="s">
        <v>294</v>
      </c>
      <c r="B238" s="18">
        <v>400000.0</v>
      </c>
      <c r="C238" s="19">
        <f t="shared" si="53"/>
        <v>7000</v>
      </c>
      <c r="D238" s="20">
        <v>45701.0</v>
      </c>
      <c r="E238" s="17" t="s">
        <v>295</v>
      </c>
      <c r="F238" s="17" t="s">
        <v>41</v>
      </c>
      <c r="H238" s="17" t="s">
        <v>296</v>
      </c>
    </row>
    <row r="239">
      <c r="A239" s="17" t="s">
        <v>297</v>
      </c>
      <c r="B239" s="18">
        <v>105000.0</v>
      </c>
      <c r="C239" s="19">
        <f t="shared" si="53"/>
        <v>1837.5</v>
      </c>
      <c r="D239" s="20">
        <v>45701.0</v>
      </c>
      <c r="E239" s="17" t="s">
        <v>60</v>
      </c>
      <c r="F239" s="17" t="s">
        <v>41</v>
      </c>
    </row>
    <row r="240">
      <c r="A240" s="17" t="s">
        <v>298</v>
      </c>
      <c r="B240" s="18">
        <v>40000.0</v>
      </c>
      <c r="C240" s="19">
        <f t="shared" si="53"/>
        <v>700</v>
      </c>
      <c r="D240" s="20">
        <v>45701.0</v>
      </c>
      <c r="E240" s="17" t="s">
        <v>15</v>
      </c>
      <c r="F240" s="17" t="s">
        <v>28</v>
      </c>
      <c r="H240" s="17" t="s">
        <v>51</v>
      </c>
      <c r="I240" s="23" t="s">
        <v>30</v>
      </c>
      <c r="K240" s="17">
        <v>200.0</v>
      </c>
    </row>
    <row r="241">
      <c r="A241" s="17" t="s">
        <v>299</v>
      </c>
      <c r="B241" s="18">
        <v>150000.0</v>
      </c>
      <c r="C241" s="19">
        <f t="shared" ref="C241:C242" si="54">0.0125*B241</f>
        <v>1875</v>
      </c>
      <c r="D241" s="20">
        <v>45701.0</v>
      </c>
      <c r="E241" s="17" t="s">
        <v>11</v>
      </c>
      <c r="F241" s="17" t="s">
        <v>12</v>
      </c>
    </row>
    <row r="242">
      <c r="A242" s="17" t="s">
        <v>300</v>
      </c>
      <c r="B242" s="18">
        <v>20000.0</v>
      </c>
      <c r="C242" s="19">
        <f t="shared" si="54"/>
        <v>250</v>
      </c>
      <c r="D242" s="20">
        <v>45701.0</v>
      </c>
      <c r="E242" s="17" t="s">
        <v>11</v>
      </c>
      <c r="F242" s="17" t="s">
        <v>12</v>
      </c>
    </row>
    <row r="243">
      <c r="A243" s="17" t="s">
        <v>301</v>
      </c>
      <c r="B243" s="18">
        <v>200000.0</v>
      </c>
      <c r="C243" s="19">
        <f t="shared" ref="C243:C244" si="55">0.0175*B243</f>
        <v>3500</v>
      </c>
      <c r="D243" s="20">
        <v>45701.0</v>
      </c>
      <c r="E243" s="17" t="s">
        <v>118</v>
      </c>
      <c r="F243" s="17" t="s">
        <v>28</v>
      </c>
      <c r="H243" s="17" t="s">
        <v>13</v>
      </c>
      <c r="I243" s="23" t="s">
        <v>30</v>
      </c>
    </row>
    <row r="244">
      <c r="A244" s="17" t="s">
        <v>302</v>
      </c>
      <c r="B244" s="18">
        <v>1000000.0</v>
      </c>
      <c r="C244" s="19">
        <f t="shared" si="55"/>
        <v>17500</v>
      </c>
      <c r="D244" s="20">
        <v>45701.0</v>
      </c>
      <c r="E244" s="17" t="s">
        <v>24</v>
      </c>
      <c r="F244" s="17" t="s">
        <v>28</v>
      </c>
      <c r="H244" s="17" t="s">
        <v>58</v>
      </c>
      <c r="I244" s="23" t="s">
        <v>30</v>
      </c>
    </row>
    <row r="245">
      <c r="A245" s="17" t="s">
        <v>303</v>
      </c>
      <c r="B245" s="18">
        <v>40000.0</v>
      </c>
      <c r="C245" s="19">
        <f t="shared" ref="C245:C246" si="56">0.0125*B245</f>
        <v>500</v>
      </c>
      <c r="D245" s="20">
        <v>45701.0</v>
      </c>
      <c r="E245" s="17" t="s">
        <v>15</v>
      </c>
      <c r="F245" s="17" t="s">
        <v>28</v>
      </c>
      <c r="H245" s="17" t="s">
        <v>51</v>
      </c>
      <c r="I245" s="23" t="s">
        <v>30</v>
      </c>
      <c r="K245" s="17">
        <v>200.0</v>
      </c>
    </row>
    <row r="246">
      <c r="A246" s="17" t="s">
        <v>304</v>
      </c>
      <c r="B246" s="18">
        <v>475000.0</v>
      </c>
      <c r="C246" s="19">
        <f t="shared" si="56"/>
        <v>5937.5</v>
      </c>
      <c r="D246" s="20">
        <v>45701.0</v>
      </c>
      <c r="E246" s="17" t="s">
        <v>15</v>
      </c>
      <c r="F246" s="17" t="s">
        <v>12</v>
      </c>
      <c r="H246" s="17" t="s">
        <v>98</v>
      </c>
      <c r="K246" s="17">
        <v>1425.0</v>
      </c>
    </row>
    <row r="247">
      <c r="A247" s="17" t="s">
        <v>305</v>
      </c>
      <c r="B247" s="18">
        <v>75000.0</v>
      </c>
      <c r="C247" s="19">
        <f t="shared" ref="C247:C248" si="57">0.0175*B247</f>
        <v>1312.5</v>
      </c>
      <c r="D247" s="20">
        <v>45701.0</v>
      </c>
      <c r="E247" s="17" t="s">
        <v>60</v>
      </c>
      <c r="F247" s="17" t="s">
        <v>28</v>
      </c>
      <c r="I247" s="23" t="s">
        <v>30</v>
      </c>
    </row>
    <row r="248">
      <c r="A248" s="17" t="s">
        <v>306</v>
      </c>
      <c r="B248" s="18">
        <v>50000.0</v>
      </c>
      <c r="C248" s="19">
        <f t="shared" si="57"/>
        <v>875</v>
      </c>
      <c r="D248" s="20">
        <v>45701.0</v>
      </c>
      <c r="E248" s="17" t="s">
        <v>92</v>
      </c>
      <c r="F248" s="17" t="s">
        <v>28</v>
      </c>
      <c r="I248" s="23" t="s">
        <v>30</v>
      </c>
    </row>
    <row r="249">
      <c r="A249" s="17" t="s">
        <v>307</v>
      </c>
      <c r="B249" s="18">
        <v>420000.0</v>
      </c>
      <c r="C249" s="19">
        <f>0.0125*B249</f>
        <v>5250</v>
      </c>
      <c r="D249" s="20">
        <v>45701.0</v>
      </c>
      <c r="E249" s="17" t="s">
        <v>60</v>
      </c>
      <c r="F249" s="17" t="s">
        <v>12</v>
      </c>
    </row>
    <row r="250">
      <c r="A250" s="17" t="s">
        <v>308</v>
      </c>
      <c r="B250" s="18">
        <v>400000.0</v>
      </c>
      <c r="C250" s="19">
        <f t="shared" ref="C250:C252" si="58">0.0175*B250</f>
        <v>7000</v>
      </c>
      <c r="D250" s="20">
        <v>45701.0</v>
      </c>
      <c r="E250" s="17" t="s">
        <v>15</v>
      </c>
      <c r="F250" s="17" t="s">
        <v>41</v>
      </c>
      <c r="H250" s="17" t="s">
        <v>172</v>
      </c>
      <c r="K250" s="17">
        <v>600.0</v>
      </c>
    </row>
    <row r="251">
      <c r="A251" s="17" t="s">
        <v>309</v>
      </c>
      <c r="B251" s="18">
        <v>20000.0</v>
      </c>
      <c r="C251" s="19">
        <f t="shared" si="58"/>
        <v>350</v>
      </c>
      <c r="D251" s="20">
        <v>45701.0</v>
      </c>
      <c r="E251" s="17" t="s">
        <v>60</v>
      </c>
      <c r="F251" s="17" t="s">
        <v>28</v>
      </c>
      <c r="I251" s="23" t="s">
        <v>30</v>
      </c>
    </row>
    <row r="252">
      <c r="A252" s="17" t="s">
        <v>310</v>
      </c>
      <c r="B252" s="18">
        <v>500000.0</v>
      </c>
      <c r="C252" s="19">
        <f t="shared" si="58"/>
        <v>8750</v>
      </c>
      <c r="D252" s="20">
        <v>45701.0</v>
      </c>
      <c r="E252" s="17" t="s">
        <v>11</v>
      </c>
      <c r="F252" s="17" t="s">
        <v>28</v>
      </c>
      <c r="I252" s="23" t="s">
        <v>30</v>
      </c>
    </row>
    <row r="253">
      <c r="A253" s="17" t="s">
        <v>227</v>
      </c>
      <c r="B253" s="18">
        <v>75000.0</v>
      </c>
      <c r="C253" s="19">
        <f t="shared" ref="C253:C254" si="59">0.0125*B253</f>
        <v>937.5</v>
      </c>
      <c r="D253" s="20">
        <v>45701.0</v>
      </c>
      <c r="E253" s="17" t="s">
        <v>75</v>
      </c>
      <c r="F253" s="17" t="s">
        <v>12</v>
      </c>
    </row>
    <row r="254">
      <c r="A254" s="17" t="s">
        <v>311</v>
      </c>
      <c r="B254" s="18">
        <v>200000.0</v>
      </c>
      <c r="C254" s="19">
        <f t="shared" si="59"/>
        <v>2500</v>
      </c>
      <c r="D254" s="20">
        <v>45701.0</v>
      </c>
      <c r="E254" s="17" t="s">
        <v>75</v>
      </c>
      <c r="F254" s="17" t="s">
        <v>12</v>
      </c>
    </row>
    <row r="255">
      <c r="A255" s="17" t="s">
        <v>312</v>
      </c>
      <c r="B255" s="18">
        <v>120000.0</v>
      </c>
      <c r="C255" s="19">
        <f>0.0175*B255</f>
        <v>2100</v>
      </c>
      <c r="D255" s="20">
        <v>45454.0</v>
      </c>
      <c r="E255" s="17" t="s">
        <v>75</v>
      </c>
      <c r="F255" s="17" t="s">
        <v>28</v>
      </c>
      <c r="H255" s="21" t="s">
        <v>313</v>
      </c>
      <c r="I255" s="23" t="s">
        <v>30</v>
      </c>
    </row>
    <row r="256">
      <c r="A256" s="17" t="s">
        <v>314</v>
      </c>
      <c r="B256" s="18">
        <v>42500.0</v>
      </c>
      <c r="C256" s="19">
        <f t="shared" ref="C256:C257" si="60">0.0125*B256</f>
        <v>531.25</v>
      </c>
      <c r="D256" s="20">
        <v>45414.0</v>
      </c>
      <c r="E256" s="17" t="s">
        <v>60</v>
      </c>
      <c r="F256" s="17" t="s">
        <v>12</v>
      </c>
      <c r="H256" s="21" t="s">
        <v>315</v>
      </c>
    </row>
    <row r="257">
      <c r="A257" s="17" t="s">
        <v>314</v>
      </c>
      <c r="B257" s="18">
        <v>50000.0</v>
      </c>
      <c r="C257" s="19">
        <f t="shared" si="60"/>
        <v>625</v>
      </c>
      <c r="D257" s="20">
        <v>45706.0</v>
      </c>
      <c r="E257" s="17" t="s">
        <v>60</v>
      </c>
      <c r="F257" s="17" t="s">
        <v>12</v>
      </c>
    </row>
    <row r="258">
      <c r="A258" s="17" t="s">
        <v>316</v>
      </c>
      <c r="B258" s="18">
        <v>200000.0</v>
      </c>
      <c r="C258" s="19">
        <f>0.0175*B258</f>
        <v>3500</v>
      </c>
      <c r="D258" s="20">
        <v>45706.0</v>
      </c>
      <c r="E258" s="17" t="s">
        <v>73</v>
      </c>
      <c r="F258" s="17" t="s">
        <v>28</v>
      </c>
      <c r="I258" s="23" t="s">
        <v>30</v>
      </c>
    </row>
    <row r="259">
      <c r="A259" s="17" t="s">
        <v>317</v>
      </c>
      <c r="B259" s="18">
        <v>75000.0</v>
      </c>
      <c r="C259" s="19">
        <f t="shared" ref="C259:C260" si="61">0.0125*B259</f>
        <v>937.5</v>
      </c>
      <c r="D259" s="20">
        <v>45706.0</v>
      </c>
      <c r="E259" s="17" t="s">
        <v>11</v>
      </c>
      <c r="F259" s="17" t="s">
        <v>12</v>
      </c>
    </row>
    <row r="260">
      <c r="A260" s="17" t="s">
        <v>318</v>
      </c>
      <c r="B260" s="18">
        <v>50000.0</v>
      </c>
      <c r="C260" s="19">
        <f t="shared" si="61"/>
        <v>625</v>
      </c>
      <c r="D260" s="20">
        <v>45706.0</v>
      </c>
      <c r="E260" s="17" t="s">
        <v>11</v>
      </c>
      <c r="F260" s="17" t="s">
        <v>12</v>
      </c>
    </row>
    <row r="261">
      <c r="A261" s="17" t="s">
        <v>319</v>
      </c>
      <c r="B261" s="18">
        <v>75000.0</v>
      </c>
      <c r="C261" s="19">
        <f t="shared" ref="C261:C269" si="62">0.0175*B261</f>
        <v>1312.5</v>
      </c>
      <c r="D261" s="20">
        <v>45706.0</v>
      </c>
      <c r="E261" s="17" t="s">
        <v>21</v>
      </c>
      <c r="F261" s="17" t="s">
        <v>67</v>
      </c>
      <c r="H261" s="17" t="s">
        <v>13</v>
      </c>
    </row>
    <row r="262">
      <c r="A262" s="17" t="s">
        <v>320</v>
      </c>
      <c r="B262" s="18">
        <v>200000.0</v>
      </c>
      <c r="C262" s="19">
        <f t="shared" si="62"/>
        <v>3500</v>
      </c>
      <c r="D262" s="20">
        <v>45706.0</v>
      </c>
      <c r="E262" s="17" t="s">
        <v>11</v>
      </c>
      <c r="F262" s="17" t="s">
        <v>28</v>
      </c>
    </row>
    <row r="263">
      <c r="A263" s="17" t="s">
        <v>321</v>
      </c>
      <c r="B263" s="18">
        <v>65000.0</v>
      </c>
      <c r="C263" s="19">
        <f t="shared" si="62"/>
        <v>1137.5</v>
      </c>
      <c r="D263" s="20">
        <v>45706.0</v>
      </c>
      <c r="E263" s="17" t="s">
        <v>11</v>
      </c>
      <c r="F263" s="17" t="s">
        <v>28</v>
      </c>
      <c r="I263" s="23" t="s">
        <v>30</v>
      </c>
    </row>
    <row r="264">
      <c r="A264" s="17" t="s">
        <v>322</v>
      </c>
      <c r="B264" s="18">
        <v>275000.0</v>
      </c>
      <c r="C264" s="19">
        <f t="shared" si="62"/>
        <v>4812.5</v>
      </c>
      <c r="D264" s="20">
        <v>45706.0</v>
      </c>
      <c r="E264" s="17" t="s">
        <v>60</v>
      </c>
      <c r="F264" s="17" t="s">
        <v>41</v>
      </c>
      <c r="I264" s="23" t="s">
        <v>30</v>
      </c>
    </row>
    <row r="265">
      <c r="A265" s="17" t="s">
        <v>323</v>
      </c>
      <c r="B265" s="18">
        <v>100000.0</v>
      </c>
      <c r="C265" s="19">
        <f t="shared" si="62"/>
        <v>1750</v>
      </c>
      <c r="D265" s="20">
        <v>45706.0</v>
      </c>
      <c r="E265" s="17" t="s">
        <v>60</v>
      </c>
      <c r="F265" s="17" t="s">
        <v>28</v>
      </c>
      <c r="I265" s="23" t="s">
        <v>30</v>
      </c>
    </row>
    <row r="266">
      <c r="A266" s="17" t="s">
        <v>324</v>
      </c>
      <c r="B266" s="18">
        <v>75000.0</v>
      </c>
      <c r="C266" s="19">
        <f t="shared" si="62"/>
        <v>1312.5</v>
      </c>
      <c r="D266" s="20">
        <v>45706.0</v>
      </c>
      <c r="E266" s="17" t="s">
        <v>15</v>
      </c>
      <c r="F266" s="17" t="s">
        <v>144</v>
      </c>
      <c r="H266" s="17" t="s">
        <v>35</v>
      </c>
      <c r="I266" s="23" t="s">
        <v>30</v>
      </c>
      <c r="K266" s="17">
        <v>150.0</v>
      </c>
    </row>
    <row r="267">
      <c r="A267" s="17" t="s">
        <v>325</v>
      </c>
      <c r="B267" s="18">
        <v>50000.0</v>
      </c>
      <c r="C267" s="19">
        <f t="shared" si="62"/>
        <v>875</v>
      </c>
      <c r="D267" s="20">
        <v>45706.0</v>
      </c>
      <c r="E267" s="17" t="s">
        <v>11</v>
      </c>
      <c r="F267" s="17" t="s">
        <v>41</v>
      </c>
    </row>
    <row r="268">
      <c r="A268" s="17" t="s">
        <v>326</v>
      </c>
      <c r="B268" s="18">
        <v>200000.0</v>
      </c>
      <c r="C268" s="19">
        <f t="shared" si="62"/>
        <v>3500</v>
      </c>
      <c r="D268" s="20">
        <v>45706.0</v>
      </c>
      <c r="E268" s="17" t="s">
        <v>60</v>
      </c>
      <c r="F268" s="17" t="s">
        <v>28</v>
      </c>
      <c r="I268" s="23" t="s">
        <v>30</v>
      </c>
    </row>
    <row r="269">
      <c r="A269" s="17" t="s">
        <v>327</v>
      </c>
      <c r="B269" s="18">
        <v>12000.0</v>
      </c>
      <c r="C269" s="19">
        <f t="shared" si="62"/>
        <v>210</v>
      </c>
      <c r="D269" s="20">
        <v>45706.0</v>
      </c>
      <c r="E269" s="17" t="s">
        <v>15</v>
      </c>
      <c r="F269" s="17" t="s">
        <v>28</v>
      </c>
      <c r="H269" s="17" t="s">
        <v>54</v>
      </c>
      <c r="K269" s="17">
        <v>72.0</v>
      </c>
    </row>
    <row r="270">
      <c r="A270" s="17" t="s">
        <v>86</v>
      </c>
      <c r="B270" s="18">
        <v>150000.0</v>
      </c>
      <c r="C270" s="19">
        <f>0.0125*B270</f>
        <v>1875</v>
      </c>
      <c r="D270" s="20">
        <v>45707.0</v>
      </c>
      <c r="E270" s="17" t="s">
        <v>11</v>
      </c>
      <c r="F270" s="17" t="s">
        <v>12</v>
      </c>
    </row>
    <row r="271">
      <c r="A271" s="17" t="s">
        <v>328</v>
      </c>
      <c r="B271" s="18">
        <v>90000.0</v>
      </c>
      <c r="C271" s="19">
        <f t="shared" ref="C271:C272" si="63">0.0175*B271</f>
        <v>1575</v>
      </c>
      <c r="D271" s="20">
        <v>45707.0</v>
      </c>
      <c r="E271" s="17" t="s">
        <v>24</v>
      </c>
      <c r="F271" s="17" t="s">
        <v>28</v>
      </c>
      <c r="H271" s="17" t="s">
        <v>58</v>
      </c>
      <c r="I271" s="23" t="s">
        <v>30</v>
      </c>
    </row>
    <row r="272">
      <c r="A272" s="17" t="s">
        <v>329</v>
      </c>
      <c r="B272" s="18">
        <v>15000.0</v>
      </c>
      <c r="C272" s="19">
        <f t="shared" si="63"/>
        <v>262.5</v>
      </c>
      <c r="D272" s="20">
        <v>45707.0</v>
      </c>
      <c r="E272" s="17" t="s">
        <v>15</v>
      </c>
      <c r="F272" s="17" t="s">
        <v>28</v>
      </c>
      <c r="H272" s="17" t="s">
        <v>51</v>
      </c>
      <c r="I272" s="23" t="s">
        <v>30</v>
      </c>
      <c r="K272" s="17">
        <v>75.0</v>
      </c>
    </row>
    <row r="273">
      <c r="A273" s="17" t="s">
        <v>330</v>
      </c>
      <c r="B273" s="18">
        <v>750000.0</v>
      </c>
      <c r="C273" s="19">
        <f>0.0125*B273</f>
        <v>9375</v>
      </c>
      <c r="D273" s="20">
        <v>45707.0</v>
      </c>
      <c r="E273" s="17" t="s">
        <v>21</v>
      </c>
      <c r="F273" s="17" t="s">
        <v>12</v>
      </c>
      <c r="H273" s="17" t="s">
        <v>22</v>
      </c>
    </row>
    <row r="274">
      <c r="A274" s="17" t="s">
        <v>331</v>
      </c>
      <c r="B274" s="18">
        <v>250000.0</v>
      </c>
      <c r="C274" s="19">
        <f>0.0175*B274</f>
        <v>4375</v>
      </c>
      <c r="D274" s="20">
        <v>45707.0</v>
      </c>
      <c r="E274" s="17" t="s">
        <v>180</v>
      </c>
      <c r="F274" s="17" t="s">
        <v>28</v>
      </c>
      <c r="H274" s="17" t="s">
        <v>13</v>
      </c>
      <c r="I274" s="23" t="s">
        <v>30</v>
      </c>
    </row>
    <row r="275">
      <c r="A275" s="17" t="s">
        <v>332</v>
      </c>
      <c r="B275" s="18">
        <v>80000.0</v>
      </c>
      <c r="C275" s="19">
        <f t="shared" ref="C275:C276" si="64">0.0125*B275</f>
        <v>1000</v>
      </c>
      <c r="D275" s="20">
        <v>45707.0</v>
      </c>
      <c r="E275" s="17" t="s">
        <v>15</v>
      </c>
      <c r="F275" s="17" t="s">
        <v>12</v>
      </c>
      <c r="H275" s="17" t="s">
        <v>16</v>
      </c>
      <c r="K275" s="17">
        <v>320.0</v>
      </c>
    </row>
    <row r="276">
      <c r="A276" s="17" t="s">
        <v>90</v>
      </c>
      <c r="B276" s="18">
        <v>100000.0</v>
      </c>
      <c r="C276" s="19">
        <f t="shared" si="64"/>
        <v>1250</v>
      </c>
      <c r="D276" s="20">
        <v>45707.0</v>
      </c>
      <c r="E276" s="17" t="s">
        <v>73</v>
      </c>
      <c r="F276" s="17" t="s">
        <v>144</v>
      </c>
    </row>
    <row r="277">
      <c r="A277" s="17" t="s">
        <v>333</v>
      </c>
      <c r="B277" s="18">
        <v>350000.0</v>
      </c>
      <c r="C277" s="19">
        <f t="shared" ref="C277:C280" si="65">0.0175*B277</f>
        <v>6125</v>
      </c>
      <c r="D277" s="20">
        <v>45707.0</v>
      </c>
      <c r="E277" s="17" t="s">
        <v>24</v>
      </c>
      <c r="F277" s="17" t="s">
        <v>28</v>
      </c>
      <c r="H277" s="17" t="s">
        <v>58</v>
      </c>
      <c r="I277" s="23" t="s">
        <v>30</v>
      </c>
    </row>
    <row r="278">
      <c r="A278" s="17" t="s">
        <v>334</v>
      </c>
      <c r="B278" s="18">
        <v>40000.0</v>
      </c>
      <c r="C278" s="19">
        <f t="shared" si="65"/>
        <v>700</v>
      </c>
      <c r="D278" s="20">
        <v>45708.0</v>
      </c>
      <c r="E278" s="17" t="s">
        <v>180</v>
      </c>
      <c r="F278" s="17" t="s">
        <v>28</v>
      </c>
      <c r="H278" s="17" t="s">
        <v>13</v>
      </c>
      <c r="I278" s="23" t="s">
        <v>30</v>
      </c>
    </row>
    <row r="279">
      <c r="A279" s="17" t="s">
        <v>335</v>
      </c>
      <c r="B279" s="18">
        <v>1000000.0</v>
      </c>
      <c r="C279" s="19">
        <f t="shared" si="65"/>
        <v>17500</v>
      </c>
      <c r="D279" s="20">
        <v>45708.0</v>
      </c>
      <c r="E279" s="17" t="s">
        <v>24</v>
      </c>
      <c r="F279" s="17" t="s">
        <v>28</v>
      </c>
      <c r="H279" s="17" t="s">
        <v>58</v>
      </c>
      <c r="I279" s="23" t="s">
        <v>30</v>
      </c>
    </row>
    <row r="280">
      <c r="A280" s="17" t="s">
        <v>336</v>
      </c>
      <c r="B280" s="18">
        <v>20000.0</v>
      </c>
      <c r="C280" s="19">
        <f t="shared" si="65"/>
        <v>350</v>
      </c>
      <c r="D280" s="20">
        <v>45709.0</v>
      </c>
      <c r="E280" s="17" t="s">
        <v>15</v>
      </c>
      <c r="F280" s="17" t="s">
        <v>28</v>
      </c>
      <c r="H280" s="17" t="s">
        <v>98</v>
      </c>
      <c r="I280" s="23" t="s">
        <v>30</v>
      </c>
      <c r="K280" s="17">
        <v>60.0</v>
      </c>
    </row>
    <row r="281">
      <c r="A281" s="17" t="s">
        <v>337</v>
      </c>
      <c r="B281" s="18">
        <v>250000.0</v>
      </c>
      <c r="C281" s="19">
        <f>0.0125*B281</f>
        <v>3125</v>
      </c>
      <c r="D281" s="20">
        <v>45709.0</v>
      </c>
      <c r="E281" s="17" t="s">
        <v>24</v>
      </c>
      <c r="F281" s="17" t="s">
        <v>12</v>
      </c>
      <c r="H281" s="17" t="s">
        <v>48</v>
      </c>
    </row>
    <row r="282">
      <c r="A282" s="17" t="s">
        <v>338</v>
      </c>
      <c r="B282" s="18">
        <v>40000.0</v>
      </c>
      <c r="C282" s="19">
        <f>0.0175*B282</f>
        <v>700</v>
      </c>
      <c r="D282" s="20">
        <v>45709.0</v>
      </c>
      <c r="E282" s="17" t="s">
        <v>24</v>
      </c>
      <c r="F282" s="17" t="s">
        <v>28</v>
      </c>
      <c r="I282" s="23" t="s">
        <v>30</v>
      </c>
    </row>
    <row r="283">
      <c r="A283" s="17" t="s">
        <v>339</v>
      </c>
      <c r="B283" s="18">
        <v>175000.0</v>
      </c>
      <c r="C283" s="19">
        <f>0.0125*B283</f>
        <v>2187.5</v>
      </c>
      <c r="D283" s="20">
        <v>45709.0</v>
      </c>
      <c r="E283" s="17" t="s">
        <v>69</v>
      </c>
      <c r="F283" s="17" t="s">
        <v>12</v>
      </c>
      <c r="H283" s="17" t="s">
        <v>22</v>
      </c>
    </row>
    <row r="284">
      <c r="A284" s="17" t="s">
        <v>340</v>
      </c>
      <c r="B284" s="18">
        <v>1000000.0</v>
      </c>
      <c r="C284" s="19">
        <f t="shared" ref="C284:C285" si="66">0.0175*B284</f>
        <v>17500</v>
      </c>
      <c r="D284" s="20">
        <v>45709.0</v>
      </c>
      <c r="E284" s="17" t="s">
        <v>118</v>
      </c>
      <c r="F284" s="17" t="s">
        <v>28</v>
      </c>
      <c r="H284" s="17" t="s">
        <v>13</v>
      </c>
      <c r="I284" s="23" t="s">
        <v>30</v>
      </c>
    </row>
    <row r="285">
      <c r="A285" s="17" t="s">
        <v>341</v>
      </c>
      <c r="B285" s="18">
        <v>25000.0</v>
      </c>
      <c r="C285" s="19">
        <f t="shared" si="66"/>
        <v>437.5</v>
      </c>
      <c r="D285" s="20">
        <v>45709.0</v>
      </c>
      <c r="E285" s="17" t="s">
        <v>15</v>
      </c>
      <c r="F285" s="17" t="s">
        <v>28</v>
      </c>
      <c r="H285" s="17" t="s">
        <v>51</v>
      </c>
      <c r="I285" s="23" t="s">
        <v>30</v>
      </c>
      <c r="K285" s="17">
        <v>125.0</v>
      </c>
    </row>
    <row r="286">
      <c r="A286" s="17" t="s">
        <v>342</v>
      </c>
      <c r="B286" s="18">
        <v>700000.0</v>
      </c>
      <c r="C286" s="19">
        <f>0.0125*B286</f>
        <v>8750</v>
      </c>
      <c r="D286" s="20">
        <v>45709.0</v>
      </c>
      <c r="E286" s="17" t="s">
        <v>24</v>
      </c>
      <c r="F286" s="17" t="s">
        <v>12</v>
      </c>
      <c r="H286" s="17" t="s">
        <v>48</v>
      </c>
    </row>
    <row r="287">
      <c r="A287" s="17" t="s">
        <v>343</v>
      </c>
      <c r="B287" s="18">
        <v>200000.0</v>
      </c>
      <c r="C287" s="19">
        <f>0.0175*B287</f>
        <v>3500</v>
      </c>
      <c r="D287" s="20">
        <v>45712.0</v>
      </c>
      <c r="E287" s="17" t="s">
        <v>118</v>
      </c>
      <c r="F287" s="17" t="s">
        <v>144</v>
      </c>
      <c r="H287" s="17" t="s">
        <v>22</v>
      </c>
    </row>
    <row r="288">
      <c r="A288" s="17" t="s">
        <v>344</v>
      </c>
      <c r="B288" s="18">
        <v>152000.0</v>
      </c>
      <c r="C288" s="19">
        <f t="shared" ref="C288:C289" si="67">0.0125*B288</f>
        <v>1900</v>
      </c>
      <c r="D288" s="20">
        <v>45712.0</v>
      </c>
      <c r="E288" s="17" t="s">
        <v>345</v>
      </c>
      <c r="F288" s="17" t="s">
        <v>12</v>
      </c>
      <c r="H288" s="17" t="s">
        <v>22</v>
      </c>
    </row>
    <row r="289">
      <c r="A289" s="17" t="s">
        <v>346</v>
      </c>
      <c r="B289" s="18">
        <v>208000.0</v>
      </c>
      <c r="C289" s="19">
        <f t="shared" si="67"/>
        <v>2600</v>
      </c>
      <c r="D289" s="20">
        <v>45712.0</v>
      </c>
      <c r="E289" s="17" t="s">
        <v>15</v>
      </c>
      <c r="F289" s="17" t="s">
        <v>12</v>
      </c>
      <c r="H289" s="17" t="s">
        <v>149</v>
      </c>
      <c r="K289" s="17">
        <v>520.0</v>
      </c>
    </row>
    <row r="290">
      <c r="A290" s="17" t="s">
        <v>273</v>
      </c>
      <c r="B290" s="18">
        <v>100000.0</v>
      </c>
      <c r="C290" s="19">
        <f>0.0175*B290</f>
        <v>1750</v>
      </c>
      <c r="D290" s="20">
        <v>45712.0</v>
      </c>
      <c r="E290" s="17" t="s">
        <v>11</v>
      </c>
      <c r="F290" s="17" t="s">
        <v>347</v>
      </c>
      <c r="I290" s="23" t="s">
        <v>30</v>
      </c>
    </row>
    <row r="291">
      <c r="A291" s="17" t="s">
        <v>348</v>
      </c>
      <c r="B291" s="18">
        <v>175000.0</v>
      </c>
      <c r="C291" s="19">
        <f>0.0125*B291</f>
        <v>2187.5</v>
      </c>
      <c r="D291" s="20">
        <v>45712.0</v>
      </c>
      <c r="E291" s="17" t="s">
        <v>60</v>
      </c>
      <c r="F291" s="17" t="s">
        <v>12</v>
      </c>
    </row>
    <row r="292">
      <c r="A292" s="17" t="s">
        <v>349</v>
      </c>
      <c r="B292" s="18">
        <v>200000.0</v>
      </c>
      <c r="C292" s="19">
        <f>0.0175*B292</f>
        <v>3500</v>
      </c>
      <c r="D292" s="20">
        <v>45712.0</v>
      </c>
      <c r="E292" s="17" t="s">
        <v>345</v>
      </c>
      <c r="F292" s="17" t="s">
        <v>28</v>
      </c>
      <c r="H292" s="17" t="s">
        <v>13</v>
      </c>
      <c r="I292" s="23" t="s">
        <v>30</v>
      </c>
    </row>
    <row r="293">
      <c r="A293" s="17" t="s">
        <v>350</v>
      </c>
      <c r="B293" s="18">
        <v>35000.0</v>
      </c>
      <c r="C293" s="19">
        <f>0.0125*B293</f>
        <v>437.5</v>
      </c>
      <c r="D293" s="20">
        <v>45712.0</v>
      </c>
      <c r="E293" s="17" t="s">
        <v>15</v>
      </c>
      <c r="F293" s="17" t="s">
        <v>12</v>
      </c>
      <c r="H293" s="17" t="s">
        <v>54</v>
      </c>
      <c r="K293" s="17">
        <v>210.0</v>
      </c>
    </row>
    <row r="294">
      <c r="A294" s="17" t="s">
        <v>351</v>
      </c>
      <c r="B294" s="18">
        <v>50000.0</v>
      </c>
      <c r="C294" s="19">
        <f>0.0175*B294</f>
        <v>875</v>
      </c>
      <c r="D294" s="20">
        <v>45712.0</v>
      </c>
      <c r="E294" s="17" t="s">
        <v>15</v>
      </c>
      <c r="F294" s="17" t="s">
        <v>41</v>
      </c>
      <c r="H294" s="17" t="s">
        <v>29</v>
      </c>
      <c r="K294" s="17">
        <v>225.0</v>
      </c>
    </row>
    <row r="295">
      <c r="A295" s="17" t="s">
        <v>352</v>
      </c>
      <c r="B295" s="18">
        <v>350000.0</v>
      </c>
      <c r="C295" s="19">
        <f t="shared" ref="C295:C296" si="68">0.0125*B295</f>
        <v>4375</v>
      </c>
      <c r="D295" s="20">
        <v>45712.0</v>
      </c>
      <c r="E295" s="17" t="s">
        <v>60</v>
      </c>
      <c r="F295" s="17" t="s">
        <v>12</v>
      </c>
    </row>
    <row r="296">
      <c r="A296" s="17" t="s">
        <v>353</v>
      </c>
      <c r="B296" s="18">
        <v>150000.0</v>
      </c>
      <c r="C296" s="19">
        <f t="shared" si="68"/>
        <v>1875</v>
      </c>
      <c r="D296" s="20">
        <v>45712.0</v>
      </c>
      <c r="E296" s="17" t="s">
        <v>11</v>
      </c>
      <c r="F296" s="17" t="s">
        <v>144</v>
      </c>
    </row>
    <row r="297">
      <c r="A297" s="17" t="s">
        <v>354</v>
      </c>
      <c r="B297" s="18">
        <v>75000.0</v>
      </c>
      <c r="C297" s="19">
        <f t="shared" ref="C297:C302" si="69">0.0175*B297</f>
        <v>1312.5</v>
      </c>
      <c r="D297" s="20">
        <v>45712.0</v>
      </c>
      <c r="E297" s="17" t="s">
        <v>15</v>
      </c>
      <c r="F297" s="17" t="s">
        <v>28</v>
      </c>
      <c r="H297" s="17" t="s">
        <v>54</v>
      </c>
      <c r="I297" s="23" t="s">
        <v>30</v>
      </c>
      <c r="K297" s="17">
        <v>450.0</v>
      </c>
    </row>
    <row r="298">
      <c r="A298" s="17" t="s">
        <v>355</v>
      </c>
      <c r="B298" s="18">
        <v>350000.0</v>
      </c>
      <c r="C298" s="19">
        <f t="shared" si="69"/>
        <v>6125</v>
      </c>
      <c r="D298" s="20">
        <v>45713.0</v>
      </c>
      <c r="E298" s="17" t="s">
        <v>75</v>
      </c>
      <c r="F298" s="17" t="s">
        <v>41</v>
      </c>
      <c r="I298" s="23" t="s">
        <v>30</v>
      </c>
    </row>
    <row r="299">
      <c r="A299" s="17" t="s">
        <v>356</v>
      </c>
      <c r="B299" s="18">
        <v>125000.0</v>
      </c>
      <c r="C299" s="19">
        <f t="shared" si="69"/>
        <v>2187.5</v>
      </c>
      <c r="D299" s="20">
        <v>45713.0</v>
      </c>
      <c r="E299" s="17" t="s">
        <v>11</v>
      </c>
      <c r="F299" s="17" t="s">
        <v>28</v>
      </c>
      <c r="I299" s="23" t="s">
        <v>30</v>
      </c>
    </row>
    <row r="300">
      <c r="A300" s="17" t="s">
        <v>357</v>
      </c>
      <c r="B300" s="18">
        <v>140000.0</v>
      </c>
      <c r="C300" s="19">
        <f t="shared" si="69"/>
        <v>2450</v>
      </c>
      <c r="D300" s="20">
        <v>45713.0</v>
      </c>
      <c r="E300" s="17" t="s">
        <v>60</v>
      </c>
      <c r="F300" s="17" t="s">
        <v>28</v>
      </c>
      <c r="I300" s="23" t="s">
        <v>30</v>
      </c>
    </row>
    <row r="301">
      <c r="A301" s="17" t="s">
        <v>358</v>
      </c>
      <c r="B301" s="18">
        <v>40000.0</v>
      </c>
      <c r="C301" s="19">
        <f t="shared" si="69"/>
        <v>700</v>
      </c>
      <c r="D301" s="20">
        <v>45713.0</v>
      </c>
      <c r="E301" s="17" t="s">
        <v>60</v>
      </c>
      <c r="F301" s="17" t="s">
        <v>28</v>
      </c>
      <c r="I301" s="23" t="s">
        <v>30</v>
      </c>
    </row>
    <row r="302">
      <c r="A302" s="17" t="s">
        <v>359</v>
      </c>
      <c r="B302" s="18">
        <v>115000.0</v>
      </c>
      <c r="C302" s="19">
        <f t="shared" si="69"/>
        <v>2012.5</v>
      </c>
      <c r="D302" s="20">
        <v>45713.0</v>
      </c>
      <c r="E302" s="17" t="s">
        <v>60</v>
      </c>
      <c r="F302" s="17" t="s">
        <v>28</v>
      </c>
      <c r="I302" s="23" t="s">
        <v>30</v>
      </c>
    </row>
    <row r="303">
      <c r="A303" s="17" t="s">
        <v>120</v>
      </c>
      <c r="B303" s="18">
        <v>18500.0</v>
      </c>
      <c r="C303" s="19">
        <f t="shared" ref="C303:C306" si="70">0.0125*B303</f>
        <v>231.25</v>
      </c>
      <c r="D303" s="20">
        <v>45714.0</v>
      </c>
      <c r="E303" s="17" t="s">
        <v>15</v>
      </c>
      <c r="F303" s="17" t="s">
        <v>12</v>
      </c>
      <c r="H303" s="17" t="s">
        <v>35</v>
      </c>
      <c r="K303" s="17">
        <v>37.0</v>
      </c>
    </row>
    <row r="304">
      <c r="A304" s="17" t="s">
        <v>360</v>
      </c>
      <c r="B304" s="32">
        <v>1275000.0</v>
      </c>
      <c r="C304" s="33">
        <f t="shared" si="70"/>
        <v>15937.5</v>
      </c>
      <c r="D304" s="20">
        <v>45714.0</v>
      </c>
      <c r="E304" s="17" t="s">
        <v>345</v>
      </c>
      <c r="F304" s="17" t="s">
        <v>12</v>
      </c>
      <c r="H304" s="17" t="s">
        <v>22</v>
      </c>
    </row>
    <row r="305">
      <c r="A305" s="17" t="s">
        <v>361</v>
      </c>
      <c r="B305" s="32">
        <v>525000.0</v>
      </c>
      <c r="C305" s="33">
        <f t="shared" si="70"/>
        <v>6562.5</v>
      </c>
      <c r="D305" s="20">
        <v>45714.0</v>
      </c>
      <c r="E305" s="17" t="s">
        <v>345</v>
      </c>
      <c r="F305" s="17" t="s">
        <v>12</v>
      </c>
      <c r="H305" s="17" t="s">
        <v>22</v>
      </c>
    </row>
    <row r="306">
      <c r="A306" s="17" t="s">
        <v>362</v>
      </c>
      <c r="B306" s="32">
        <v>125000.0</v>
      </c>
      <c r="C306" s="33">
        <f t="shared" si="70"/>
        <v>1562.5</v>
      </c>
      <c r="D306" s="20">
        <v>45714.0</v>
      </c>
      <c r="E306" s="17" t="s">
        <v>11</v>
      </c>
      <c r="F306" s="17" t="s">
        <v>12</v>
      </c>
    </row>
    <row r="307">
      <c r="A307" s="17" t="s">
        <v>363</v>
      </c>
      <c r="B307" s="32">
        <v>68000.0</v>
      </c>
      <c r="C307" s="33">
        <f>0.0175*B307</f>
        <v>1190</v>
      </c>
      <c r="D307" s="20">
        <v>45714.0</v>
      </c>
      <c r="E307" s="17" t="s">
        <v>11</v>
      </c>
      <c r="F307" s="17" t="s">
        <v>28</v>
      </c>
      <c r="I307" s="23" t="s">
        <v>30</v>
      </c>
    </row>
    <row r="308">
      <c r="A308" s="17" t="s">
        <v>364</v>
      </c>
      <c r="B308" s="32">
        <v>550000.0</v>
      </c>
      <c r="C308" s="33">
        <f t="shared" ref="C308:C309" si="71">0.0125*B308</f>
        <v>6875</v>
      </c>
      <c r="D308" s="20">
        <v>45715.0</v>
      </c>
      <c r="E308" s="17" t="s">
        <v>69</v>
      </c>
      <c r="F308" s="17" t="s">
        <v>12</v>
      </c>
      <c r="H308" s="17" t="s">
        <v>22</v>
      </c>
    </row>
    <row r="309">
      <c r="A309" s="17" t="s">
        <v>365</v>
      </c>
      <c r="B309" s="32">
        <v>185000.0</v>
      </c>
      <c r="C309" s="33">
        <f t="shared" si="71"/>
        <v>2312.5</v>
      </c>
      <c r="D309" s="20">
        <v>45715.0</v>
      </c>
      <c r="E309" s="17" t="s">
        <v>40</v>
      </c>
      <c r="F309" s="17" t="s">
        <v>12</v>
      </c>
      <c r="H309" s="17" t="s">
        <v>22</v>
      </c>
    </row>
    <row r="310">
      <c r="A310" s="17" t="s">
        <v>366</v>
      </c>
      <c r="B310" s="32">
        <v>350000.0</v>
      </c>
      <c r="C310" s="33">
        <f t="shared" ref="C310:C313" si="72">0.0175*B310</f>
        <v>6125</v>
      </c>
      <c r="D310" s="20">
        <v>45715.0</v>
      </c>
      <c r="E310" s="17" t="s">
        <v>11</v>
      </c>
      <c r="F310" s="17" t="s">
        <v>28</v>
      </c>
      <c r="I310" s="23" t="s">
        <v>30</v>
      </c>
    </row>
    <row r="311">
      <c r="A311" s="17" t="s">
        <v>367</v>
      </c>
      <c r="B311" s="32">
        <v>100000.0</v>
      </c>
      <c r="C311" s="33">
        <f t="shared" si="72"/>
        <v>1750</v>
      </c>
      <c r="D311" s="20">
        <v>45715.0</v>
      </c>
      <c r="E311" s="17" t="s">
        <v>11</v>
      </c>
      <c r="F311" s="17" t="s">
        <v>28</v>
      </c>
      <c r="I311" s="23" t="s">
        <v>30</v>
      </c>
    </row>
    <row r="312">
      <c r="A312" s="17" t="s">
        <v>368</v>
      </c>
      <c r="B312" s="32">
        <v>60000.0</v>
      </c>
      <c r="C312" s="33">
        <f t="shared" si="72"/>
        <v>1050</v>
      </c>
      <c r="D312" s="20">
        <v>45715.0</v>
      </c>
      <c r="E312" s="17" t="s">
        <v>11</v>
      </c>
      <c r="F312" s="17" t="s">
        <v>28</v>
      </c>
      <c r="I312" s="23" t="s">
        <v>30</v>
      </c>
    </row>
    <row r="313">
      <c r="A313" s="17" t="s">
        <v>319</v>
      </c>
      <c r="B313" s="32">
        <v>150000.0</v>
      </c>
      <c r="C313" s="33">
        <f t="shared" si="72"/>
        <v>2625</v>
      </c>
      <c r="D313" s="20">
        <v>45715.0</v>
      </c>
      <c r="E313" s="17" t="s">
        <v>21</v>
      </c>
      <c r="F313" s="17" t="s">
        <v>347</v>
      </c>
      <c r="H313" s="17" t="s">
        <v>13</v>
      </c>
    </row>
    <row r="314">
      <c r="A314" s="17" t="s">
        <v>14</v>
      </c>
      <c r="B314" s="32">
        <v>10000.0</v>
      </c>
      <c r="C314" s="33">
        <f t="shared" ref="C314:C315" si="73">0.0125*B314</f>
        <v>125</v>
      </c>
      <c r="D314" s="20">
        <v>45716.0</v>
      </c>
      <c r="E314" s="17" t="s">
        <v>15</v>
      </c>
      <c r="F314" s="17" t="s">
        <v>144</v>
      </c>
      <c r="H314" s="17" t="s">
        <v>54</v>
      </c>
      <c r="K314" s="17">
        <v>60.0</v>
      </c>
    </row>
    <row r="315">
      <c r="A315" s="17" t="s">
        <v>369</v>
      </c>
      <c r="B315" s="32">
        <v>90000.0</v>
      </c>
      <c r="C315" s="33">
        <f t="shared" si="73"/>
        <v>1125</v>
      </c>
      <c r="D315" s="20">
        <v>45716.0</v>
      </c>
      <c r="E315" s="17" t="s">
        <v>24</v>
      </c>
      <c r="F315" s="17" t="s">
        <v>12</v>
      </c>
    </row>
    <row r="316">
      <c r="A316" s="17" t="s">
        <v>370</v>
      </c>
      <c r="B316" s="32">
        <v>150000.0</v>
      </c>
      <c r="C316" s="33">
        <f t="shared" ref="C316:C317" si="74">0.0175*B316</f>
        <v>2625</v>
      </c>
      <c r="D316" s="20">
        <v>45716.0</v>
      </c>
      <c r="E316" s="17" t="s">
        <v>69</v>
      </c>
      <c r="F316" s="17" t="s">
        <v>28</v>
      </c>
      <c r="H316" s="17" t="s">
        <v>13</v>
      </c>
      <c r="I316" s="23" t="s">
        <v>30</v>
      </c>
    </row>
    <row r="317">
      <c r="A317" s="17" t="s">
        <v>371</v>
      </c>
      <c r="B317" s="32">
        <v>75000.0</v>
      </c>
      <c r="C317" s="33">
        <f t="shared" si="74"/>
        <v>1312.5</v>
      </c>
      <c r="D317" s="20">
        <v>45716.0</v>
      </c>
      <c r="E317" s="17" t="s">
        <v>345</v>
      </c>
      <c r="F317" s="17" t="s">
        <v>28</v>
      </c>
      <c r="H317" s="17" t="s">
        <v>13</v>
      </c>
      <c r="I317" s="23" t="s">
        <v>30</v>
      </c>
    </row>
    <row r="318">
      <c r="A318" s="17" t="s">
        <v>372</v>
      </c>
      <c r="B318" s="18">
        <v>170000.0</v>
      </c>
      <c r="C318" s="19">
        <f t="shared" ref="C318:C320" si="75">0.0125*B318</f>
        <v>2125</v>
      </c>
      <c r="D318" s="20">
        <v>45716.0</v>
      </c>
      <c r="E318" s="17" t="s">
        <v>11</v>
      </c>
      <c r="F318" s="17" t="s">
        <v>12</v>
      </c>
    </row>
    <row r="319">
      <c r="A319" s="17" t="s">
        <v>373</v>
      </c>
      <c r="B319" s="18">
        <v>750000.0</v>
      </c>
      <c r="C319" s="19">
        <f t="shared" si="75"/>
        <v>9375</v>
      </c>
      <c r="D319" s="20">
        <v>45716.0</v>
      </c>
      <c r="E319" s="17" t="s">
        <v>345</v>
      </c>
      <c r="F319" s="17" t="s">
        <v>12</v>
      </c>
      <c r="H319" s="17" t="s">
        <v>22</v>
      </c>
    </row>
    <row r="320">
      <c r="A320" s="17" t="s">
        <v>374</v>
      </c>
      <c r="B320" s="18">
        <v>65000.0</v>
      </c>
      <c r="C320" s="19">
        <f t="shared" si="75"/>
        <v>812.5</v>
      </c>
      <c r="D320" s="20">
        <v>45716.0</v>
      </c>
      <c r="E320" s="17" t="s">
        <v>15</v>
      </c>
      <c r="F320" s="17" t="s">
        <v>12</v>
      </c>
      <c r="H320" s="17" t="s">
        <v>51</v>
      </c>
      <c r="K320" s="17">
        <v>325.0</v>
      </c>
    </row>
    <row r="321">
      <c r="A321" s="12">
        <v>45717.0</v>
      </c>
      <c r="B321" s="13">
        <f t="shared" ref="B321:C321" si="76">SUM(B322:B456)</f>
        <v>28768500</v>
      </c>
      <c r="C321" s="13">
        <f t="shared" si="76"/>
        <v>444581.25</v>
      </c>
      <c r="D321" s="14"/>
      <c r="E321" s="15"/>
      <c r="F321" s="15"/>
      <c r="G321" s="15"/>
      <c r="H321" s="16"/>
      <c r="I321" s="16"/>
      <c r="J321" s="16"/>
      <c r="K321" s="16"/>
      <c r="L321" s="16"/>
    </row>
    <row r="322">
      <c r="A322" s="17" t="s">
        <v>375</v>
      </c>
      <c r="B322" s="18">
        <v>50000.0</v>
      </c>
      <c r="C322" s="19">
        <f t="shared" ref="C322:C326" si="77">0.0175*B322</f>
        <v>875</v>
      </c>
      <c r="D322" s="20">
        <v>45719.0</v>
      </c>
      <c r="E322" s="17" t="s">
        <v>376</v>
      </c>
      <c r="F322" s="17" t="s">
        <v>28</v>
      </c>
      <c r="H322" s="17" t="s">
        <v>13</v>
      </c>
      <c r="I322" s="23" t="s">
        <v>30</v>
      </c>
    </row>
    <row r="323">
      <c r="A323" s="17" t="s">
        <v>377</v>
      </c>
      <c r="B323" s="18">
        <v>150000.0</v>
      </c>
      <c r="C323" s="19">
        <f t="shared" si="77"/>
        <v>2625</v>
      </c>
      <c r="D323" s="20">
        <v>45719.0</v>
      </c>
      <c r="E323" s="17" t="s">
        <v>69</v>
      </c>
      <c r="F323" s="17" t="s">
        <v>28</v>
      </c>
      <c r="H323" s="17" t="s">
        <v>13</v>
      </c>
      <c r="I323" s="23" t="s">
        <v>30</v>
      </c>
      <c r="N323" s="21" t="s">
        <v>13</v>
      </c>
    </row>
    <row r="324">
      <c r="A324" s="17" t="s">
        <v>378</v>
      </c>
      <c r="B324" s="18">
        <v>75000.0</v>
      </c>
      <c r="C324" s="19">
        <f t="shared" si="77"/>
        <v>1312.5</v>
      </c>
      <c r="D324" s="20">
        <v>45719.0</v>
      </c>
      <c r="E324" s="17" t="s">
        <v>11</v>
      </c>
      <c r="F324" s="17" t="s">
        <v>28</v>
      </c>
      <c r="I324" s="23" t="s">
        <v>30</v>
      </c>
      <c r="N324" s="17" t="s">
        <v>17</v>
      </c>
      <c r="O324" s="22">
        <v>11538.46</v>
      </c>
    </row>
    <row r="325">
      <c r="A325" s="17" t="s">
        <v>379</v>
      </c>
      <c r="B325" s="18">
        <v>50000.0</v>
      </c>
      <c r="C325" s="19">
        <f t="shared" si="77"/>
        <v>875</v>
      </c>
      <c r="D325" s="20">
        <v>45719.0</v>
      </c>
      <c r="E325" s="17" t="s">
        <v>11</v>
      </c>
      <c r="F325" s="17" t="s">
        <v>28</v>
      </c>
      <c r="I325" s="23" t="s">
        <v>30</v>
      </c>
      <c r="N325" s="17" t="s">
        <v>19</v>
      </c>
      <c r="O325" s="22">
        <v>15112.5</v>
      </c>
    </row>
    <row r="326">
      <c r="A326" s="17" t="s">
        <v>380</v>
      </c>
      <c r="B326" s="18">
        <v>35000.0</v>
      </c>
      <c r="C326" s="19">
        <f t="shared" si="77"/>
        <v>612.5</v>
      </c>
      <c r="D326" s="20">
        <v>45720.0</v>
      </c>
      <c r="E326" s="17" t="s">
        <v>40</v>
      </c>
      <c r="F326" s="17" t="s">
        <v>28</v>
      </c>
      <c r="N326" s="17" t="s">
        <v>15</v>
      </c>
      <c r="O326" s="22">
        <v>13934.75</v>
      </c>
    </row>
    <row r="327">
      <c r="A327" s="17" t="s">
        <v>381</v>
      </c>
      <c r="B327" s="18">
        <v>75000.0</v>
      </c>
      <c r="C327" s="19">
        <f>0.0125*B327</f>
        <v>937.5</v>
      </c>
      <c r="D327" s="20">
        <v>45720.0</v>
      </c>
      <c r="E327" s="17" t="s">
        <v>15</v>
      </c>
      <c r="F327" s="17" t="s">
        <v>12</v>
      </c>
      <c r="H327" s="17" t="s">
        <v>51</v>
      </c>
      <c r="K327" s="17">
        <v>375.0</v>
      </c>
      <c r="N327" s="17" t="s">
        <v>26</v>
      </c>
      <c r="O327" s="22">
        <v>20950.0</v>
      </c>
      <c r="P327" s="17">
        <v>12.0</v>
      </c>
    </row>
    <row r="328">
      <c r="A328" s="17" t="s">
        <v>382</v>
      </c>
      <c r="B328" s="18">
        <v>40000.0</v>
      </c>
      <c r="C328" s="19">
        <f t="shared" ref="C328:C329" si="78">0.0175*B328</f>
        <v>700</v>
      </c>
      <c r="D328" s="20">
        <v>45720.0</v>
      </c>
      <c r="E328" s="17" t="s">
        <v>11</v>
      </c>
      <c r="F328" s="17" t="s">
        <v>67</v>
      </c>
      <c r="I328" s="23" t="s">
        <v>30</v>
      </c>
      <c r="N328" s="17" t="s">
        <v>31</v>
      </c>
      <c r="O328" s="24">
        <v>2937.5</v>
      </c>
      <c r="P328" s="17">
        <v>4.0</v>
      </c>
    </row>
    <row r="329">
      <c r="A329" s="17" t="s">
        <v>383</v>
      </c>
      <c r="B329" s="18">
        <v>60000.0</v>
      </c>
      <c r="C329" s="19">
        <f t="shared" si="78"/>
        <v>1050</v>
      </c>
      <c r="D329" s="20">
        <v>45720.0</v>
      </c>
      <c r="E329" s="17" t="s">
        <v>15</v>
      </c>
      <c r="F329" s="17" t="s">
        <v>28</v>
      </c>
      <c r="H329" s="17" t="s">
        <v>98</v>
      </c>
      <c r="K329" s="17">
        <v>180.0</v>
      </c>
      <c r="N329" s="17" t="s">
        <v>242</v>
      </c>
      <c r="O329" s="24">
        <v>1490.55</v>
      </c>
    </row>
    <row r="330">
      <c r="A330" s="17" t="s">
        <v>384</v>
      </c>
      <c r="B330" s="18">
        <v>600000.0</v>
      </c>
      <c r="C330" s="19">
        <f>0.0125*B330</f>
        <v>7500</v>
      </c>
      <c r="D330" s="20">
        <v>45720.0</v>
      </c>
      <c r="E330" s="17" t="s">
        <v>11</v>
      </c>
      <c r="F330" s="17" t="s">
        <v>12</v>
      </c>
    </row>
    <row r="331">
      <c r="A331" s="17" t="s">
        <v>385</v>
      </c>
      <c r="B331" s="18">
        <v>150000.0</v>
      </c>
      <c r="C331" s="19">
        <f t="shared" ref="C331:C334" si="79">0.0175*B331</f>
        <v>2625</v>
      </c>
      <c r="D331" s="20">
        <v>45720.0</v>
      </c>
      <c r="E331" s="17" t="s">
        <v>60</v>
      </c>
      <c r="F331" s="17" t="s">
        <v>28</v>
      </c>
      <c r="I331" s="23" t="s">
        <v>30</v>
      </c>
      <c r="N331" s="21" t="s">
        <v>245</v>
      </c>
    </row>
    <row r="332">
      <c r="A332" s="17" t="s">
        <v>386</v>
      </c>
      <c r="B332" s="18">
        <v>550000.0</v>
      </c>
      <c r="C332" s="19">
        <f t="shared" si="79"/>
        <v>9625</v>
      </c>
      <c r="D332" s="20">
        <v>45720.0</v>
      </c>
      <c r="E332" s="17" t="s">
        <v>24</v>
      </c>
      <c r="F332" s="17" t="s">
        <v>28</v>
      </c>
      <c r="H332" s="17" t="s">
        <v>58</v>
      </c>
      <c r="N332" s="17" t="s">
        <v>17</v>
      </c>
      <c r="O332" s="17">
        <v>11538.46</v>
      </c>
    </row>
    <row r="333">
      <c r="A333" s="17" t="s">
        <v>387</v>
      </c>
      <c r="B333" s="18">
        <v>100000.0</v>
      </c>
      <c r="C333" s="19">
        <f t="shared" si="79"/>
        <v>1750</v>
      </c>
      <c r="D333" s="20">
        <v>45720.0</v>
      </c>
      <c r="E333" s="17" t="s">
        <v>376</v>
      </c>
      <c r="F333" s="17" t="s">
        <v>28</v>
      </c>
      <c r="H333" s="17" t="s">
        <v>13</v>
      </c>
      <c r="I333" s="23" t="s">
        <v>30</v>
      </c>
      <c r="N333" s="17" t="s">
        <v>15</v>
      </c>
      <c r="O333" s="17">
        <v>21954.75</v>
      </c>
    </row>
    <row r="334">
      <c r="A334" s="17" t="s">
        <v>388</v>
      </c>
      <c r="B334" s="18">
        <v>150000.0</v>
      </c>
      <c r="C334" s="19">
        <f t="shared" si="79"/>
        <v>2625</v>
      </c>
      <c r="D334" s="20">
        <v>45720.0</v>
      </c>
      <c r="E334" s="17" t="s">
        <v>21</v>
      </c>
      <c r="F334" s="17" t="s">
        <v>28</v>
      </c>
      <c r="H334" s="17" t="s">
        <v>13</v>
      </c>
      <c r="N334" s="17" t="s">
        <v>242</v>
      </c>
      <c r="O334" s="17">
        <v>2171.1</v>
      </c>
    </row>
    <row r="335">
      <c r="A335" s="17" t="s">
        <v>389</v>
      </c>
      <c r="B335" s="18">
        <v>18500.0</v>
      </c>
      <c r="C335" s="19">
        <f t="shared" ref="C335:C336" si="80">0.0125*B335</f>
        <v>231.25</v>
      </c>
      <c r="D335" s="20">
        <v>45720.0</v>
      </c>
      <c r="E335" s="17" t="s">
        <v>15</v>
      </c>
      <c r="F335" s="17" t="s">
        <v>12</v>
      </c>
      <c r="H335" s="17" t="s">
        <v>390</v>
      </c>
      <c r="K335" s="17">
        <v>9.25</v>
      </c>
    </row>
    <row r="336">
      <c r="A336" s="17" t="s">
        <v>391</v>
      </c>
      <c r="B336" s="18">
        <v>175000.0</v>
      </c>
      <c r="C336" s="19">
        <f t="shared" si="80"/>
        <v>2187.5</v>
      </c>
      <c r="D336" s="20">
        <v>45720.0</v>
      </c>
      <c r="E336" s="17" t="s">
        <v>11</v>
      </c>
      <c r="F336" s="17" t="s">
        <v>12</v>
      </c>
    </row>
    <row r="337">
      <c r="A337" s="17" t="s">
        <v>392</v>
      </c>
      <c r="B337" s="18">
        <v>75000.0</v>
      </c>
      <c r="C337" s="19">
        <f t="shared" ref="C337:C338" si="81">0.0175*B337</f>
        <v>1312.5</v>
      </c>
      <c r="D337" s="20">
        <v>45721.0</v>
      </c>
      <c r="E337" s="17" t="s">
        <v>11</v>
      </c>
      <c r="F337" s="17" t="s">
        <v>28</v>
      </c>
      <c r="I337" s="23" t="s">
        <v>30</v>
      </c>
    </row>
    <row r="338">
      <c r="A338" s="17" t="s">
        <v>393</v>
      </c>
      <c r="B338" s="18">
        <v>50000.0</v>
      </c>
      <c r="C338" s="19">
        <f t="shared" si="81"/>
        <v>875</v>
      </c>
      <c r="D338" s="20">
        <v>45721.0</v>
      </c>
      <c r="E338" s="17" t="s">
        <v>394</v>
      </c>
      <c r="F338" s="17" t="s">
        <v>28</v>
      </c>
      <c r="H338" s="17" t="s">
        <v>35</v>
      </c>
      <c r="I338" s="23" t="s">
        <v>30</v>
      </c>
      <c r="K338" s="17">
        <v>100.0</v>
      </c>
    </row>
    <row r="339">
      <c r="A339" s="17" t="s">
        <v>85</v>
      </c>
      <c r="B339" s="18">
        <v>150000.0</v>
      </c>
      <c r="C339" s="19">
        <f>0.0125*B339</f>
        <v>1875</v>
      </c>
      <c r="D339" s="20">
        <v>45721.0</v>
      </c>
      <c r="E339" s="17" t="s">
        <v>73</v>
      </c>
      <c r="F339" s="17" t="s">
        <v>12</v>
      </c>
    </row>
    <row r="340">
      <c r="A340" s="17" t="s">
        <v>325</v>
      </c>
      <c r="B340" s="18">
        <v>25000.0</v>
      </c>
      <c r="C340" s="19">
        <f t="shared" ref="C340:C341" si="82">0.0175*B340</f>
        <v>437.5</v>
      </c>
      <c r="D340" s="20">
        <v>45721.0</v>
      </c>
      <c r="E340" s="17" t="s">
        <v>11</v>
      </c>
      <c r="F340" s="17" t="s">
        <v>67</v>
      </c>
    </row>
    <row r="341">
      <c r="A341" s="17" t="s">
        <v>395</v>
      </c>
      <c r="B341" s="18">
        <v>150000.0</v>
      </c>
      <c r="C341" s="19">
        <f t="shared" si="82"/>
        <v>2625</v>
      </c>
      <c r="D341" s="20">
        <v>45722.0</v>
      </c>
      <c r="E341" s="17" t="s">
        <v>180</v>
      </c>
      <c r="F341" s="17" t="s">
        <v>28</v>
      </c>
      <c r="H341" s="17" t="s">
        <v>13</v>
      </c>
      <c r="I341" s="23" t="s">
        <v>30</v>
      </c>
    </row>
    <row r="342">
      <c r="A342" s="17" t="s">
        <v>396</v>
      </c>
      <c r="B342" s="18">
        <v>112500.0</v>
      </c>
      <c r="C342" s="19">
        <f>0.0125*B342</f>
        <v>1406.25</v>
      </c>
      <c r="D342" s="20">
        <v>45722.0</v>
      </c>
      <c r="E342" s="17" t="s">
        <v>11</v>
      </c>
      <c r="F342" s="17" t="s">
        <v>12</v>
      </c>
    </row>
    <row r="343">
      <c r="A343" s="17" t="s">
        <v>397</v>
      </c>
      <c r="B343" s="18">
        <v>60000.0</v>
      </c>
      <c r="C343" s="19">
        <f>0.0175*B343</f>
        <v>1050</v>
      </c>
      <c r="D343" s="20">
        <v>45722.0</v>
      </c>
      <c r="E343" s="17" t="s">
        <v>11</v>
      </c>
      <c r="F343" s="17" t="s">
        <v>67</v>
      </c>
    </row>
    <row r="344">
      <c r="A344" s="17" t="s">
        <v>398</v>
      </c>
      <c r="B344" s="18">
        <v>125000.0</v>
      </c>
      <c r="C344" s="19">
        <f t="shared" ref="C344:C345" si="83">0.0125*B344</f>
        <v>1562.5</v>
      </c>
      <c r="D344" s="20">
        <v>45722.0</v>
      </c>
      <c r="E344" s="17" t="s">
        <v>11</v>
      </c>
      <c r="F344" s="17" t="s">
        <v>12</v>
      </c>
    </row>
    <row r="345">
      <c r="A345" s="17" t="s">
        <v>399</v>
      </c>
      <c r="B345" s="18">
        <v>130000.0</v>
      </c>
      <c r="C345" s="19">
        <f t="shared" si="83"/>
        <v>1625</v>
      </c>
      <c r="D345" s="20">
        <v>45722.0</v>
      </c>
      <c r="E345" s="17" t="s">
        <v>15</v>
      </c>
      <c r="F345" s="17" t="s">
        <v>12</v>
      </c>
      <c r="H345" s="17" t="s">
        <v>35</v>
      </c>
      <c r="K345" s="17">
        <v>260.0</v>
      </c>
    </row>
    <row r="346">
      <c r="A346" s="17" t="s">
        <v>400</v>
      </c>
      <c r="B346" s="18">
        <v>150000.0</v>
      </c>
      <c r="C346" s="19">
        <f>0.0175*B346</f>
        <v>2625</v>
      </c>
      <c r="D346" s="20">
        <v>45722.0</v>
      </c>
      <c r="E346" s="17" t="s">
        <v>15</v>
      </c>
      <c r="F346" s="17" t="s">
        <v>28</v>
      </c>
      <c r="H346" s="17" t="s">
        <v>51</v>
      </c>
      <c r="K346" s="17">
        <v>750.0</v>
      </c>
    </row>
    <row r="347">
      <c r="A347" s="17" t="s">
        <v>401</v>
      </c>
      <c r="B347" s="18">
        <v>245000.0</v>
      </c>
      <c r="C347" s="19">
        <f>0.0125*B347</f>
        <v>3062.5</v>
      </c>
      <c r="D347" s="20">
        <v>45722.0</v>
      </c>
      <c r="E347" s="17" t="s">
        <v>60</v>
      </c>
      <c r="F347" s="17" t="s">
        <v>12</v>
      </c>
    </row>
    <row r="348">
      <c r="A348" s="17" t="s">
        <v>402</v>
      </c>
      <c r="B348" s="18">
        <v>300000.0</v>
      </c>
      <c r="C348" s="19">
        <f t="shared" ref="C348:C349" si="84">0.0175*B348</f>
        <v>5250</v>
      </c>
      <c r="D348" s="20">
        <v>45722.0</v>
      </c>
      <c r="E348" s="17" t="s">
        <v>118</v>
      </c>
      <c r="F348" s="17" t="s">
        <v>28</v>
      </c>
      <c r="H348" s="17" t="s">
        <v>13</v>
      </c>
      <c r="I348" s="23" t="s">
        <v>30</v>
      </c>
    </row>
    <row r="349">
      <c r="A349" s="17" t="s">
        <v>403</v>
      </c>
      <c r="B349" s="18">
        <v>10000.0</v>
      </c>
      <c r="C349" s="19">
        <f t="shared" si="84"/>
        <v>175</v>
      </c>
      <c r="D349" s="20">
        <v>45722.0</v>
      </c>
      <c r="E349" s="17" t="s">
        <v>15</v>
      </c>
      <c r="F349" s="17" t="s">
        <v>28</v>
      </c>
      <c r="H349" s="17" t="s">
        <v>54</v>
      </c>
      <c r="K349" s="17">
        <v>60.0</v>
      </c>
    </row>
    <row r="350">
      <c r="A350" s="17" t="s">
        <v>404</v>
      </c>
      <c r="B350" s="18">
        <v>135000.0</v>
      </c>
      <c r="C350" s="19">
        <f t="shared" ref="C350:C352" si="85">0.0125*B350</f>
        <v>1687.5</v>
      </c>
      <c r="D350" s="20">
        <v>45722.0</v>
      </c>
      <c r="E350" s="17" t="s">
        <v>60</v>
      </c>
      <c r="F350" s="17" t="s">
        <v>12</v>
      </c>
    </row>
    <row r="351">
      <c r="A351" s="17" t="s">
        <v>405</v>
      </c>
      <c r="B351" s="18">
        <v>135000.0</v>
      </c>
      <c r="C351" s="19">
        <f t="shared" si="85"/>
        <v>1687.5</v>
      </c>
      <c r="D351" s="20">
        <v>45722.0</v>
      </c>
      <c r="E351" s="17" t="s">
        <v>60</v>
      </c>
      <c r="F351" s="17" t="s">
        <v>12</v>
      </c>
    </row>
    <row r="352">
      <c r="A352" s="17" t="s">
        <v>201</v>
      </c>
      <c r="B352" s="18">
        <v>10000.0</v>
      </c>
      <c r="C352" s="19">
        <f t="shared" si="85"/>
        <v>125</v>
      </c>
      <c r="D352" s="20">
        <v>45723.0</v>
      </c>
      <c r="E352" s="17" t="s">
        <v>11</v>
      </c>
      <c r="F352" s="17" t="s">
        <v>12</v>
      </c>
    </row>
    <row r="353">
      <c r="A353" s="17" t="s">
        <v>406</v>
      </c>
      <c r="B353" s="18">
        <v>10000.0</v>
      </c>
      <c r="C353" s="19">
        <f t="shared" ref="C353:C354" si="86">0.0175*B353</f>
        <v>175</v>
      </c>
      <c r="D353" s="20">
        <v>45723.0</v>
      </c>
      <c r="E353" s="17" t="s">
        <v>11</v>
      </c>
      <c r="F353" s="17" t="s">
        <v>67</v>
      </c>
    </row>
    <row r="354">
      <c r="A354" s="17" t="s">
        <v>407</v>
      </c>
      <c r="B354" s="18">
        <v>45000.0</v>
      </c>
      <c r="C354" s="19">
        <f t="shared" si="86"/>
        <v>787.5</v>
      </c>
      <c r="D354" s="20">
        <v>45723.0</v>
      </c>
      <c r="E354" s="17" t="s">
        <v>11</v>
      </c>
      <c r="F354" s="17" t="s">
        <v>67</v>
      </c>
    </row>
    <row r="355">
      <c r="A355" s="17" t="s">
        <v>408</v>
      </c>
      <c r="B355" s="18">
        <v>125000.0</v>
      </c>
      <c r="C355" s="19">
        <f>0.0125*B355</f>
        <v>1562.5</v>
      </c>
      <c r="D355" s="20">
        <v>45723.0</v>
      </c>
      <c r="E355" s="17" t="s">
        <v>15</v>
      </c>
      <c r="F355" s="17" t="s">
        <v>12</v>
      </c>
      <c r="H355" s="17" t="s">
        <v>54</v>
      </c>
      <c r="K355" s="17">
        <v>750.0</v>
      </c>
    </row>
    <row r="356">
      <c r="A356" s="17" t="s">
        <v>409</v>
      </c>
      <c r="B356" s="18">
        <v>38000.0</v>
      </c>
      <c r="C356" s="19">
        <f>0.0175*B356</f>
        <v>665</v>
      </c>
      <c r="D356" s="20">
        <v>45723.0</v>
      </c>
      <c r="E356" s="17" t="s">
        <v>410</v>
      </c>
      <c r="F356" s="17" t="s">
        <v>67</v>
      </c>
      <c r="H356" s="17" t="s">
        <v>13</v>
      </c>
      <c r="I356" s="23" t="s">
        <v>30</v>
      </c>
    </row>
    <row r="357">
      <c r="A357" s="17" t="s">
        <v>411</v>
      </c>
      <c r="B357" s="18">
        <v>155000.0</v>
      </c>
      <c r="C357" s="19">
        <f>0.0125*B357</f>
        <v>1937.5</v>
      </c>
      <c r="D357" s="20">
        <v>45723.0</v>
      </c>
      <c r="E357" s="17" t="s">
        <v>11</v>
      </c>
      <c r="F357" s="17" t="s">
        <v>12</v>
      </c>
    </row>
    <row r="358">
      <c r="A358" s="17" t="s">
        <v>412</v>
      </c>
      <c r="B358" s="18">
        <v>110000.0</v>
      </c>
      <c r="C358" s="19">
        <f t="shared" ref="C358:C362" si="87">0.0175*B358</f>
        <v>1925</v>
      </c>
      <c r="D358" s="20">
        <v>45723.0</v>
      </c>
      <c r="E358" s="17" t="s">
        <v>11</v>
      </c>
      <c r="F358" s="17" t="s">
        <v>28</v>
      </c>
      <c r="I358" s="23" t="s">
        <v>30</v>
      </c>
    </row>
    <row r="359">
      <c r="A359" s="17" t="s">
        <v>413</v>
      </c>
      <c r="B359" s="18">
        <v>1000000.0</v>
      </c>
      <c r="C359" s="19">
        <f t="shared" si="87"/>
        <v>17500</v>
      </c>
      <c r="D359" s="20">
        <v>45723.0</v>
      </c>
      <c r="E359" s="17" t="s">
        <v>11</v>
      </c>
      <c r="F359" s="17" t="s">
        <v>28</v>
      </c>
      <c r="I359" s="23" t="s">
        <v>30</v>
      </c>
    </row>
    <row r="360">
      <c r="A360" s="17" t="s">
        <v>414</v>
      </c>
      <c r="B360" s="32">
        <v>50000.0</v>
      </c>
      <c r="C360" s="33">
        <f t="shared" si="87"/>
        <v>875</v>
      </c>
      <c r="D360" s="20">
        <v>45723.0</v>
      </c>
      <c r="E360" s="17" t="s">
        <v>11</v>
      </c>
      <c r="F360" s="17" t="s">
        <v>28</v>
      </c>
      <c r="I360" s="23" t="s">
        <v>30</v>
      </c>
    </row>
    <row r="361">
      <c r="A361" s="17" t="s">
        <v>415</v>
      </c>
      <c r="B361" s="32">
        <v>500000.0</v>
      </c>
      <c r="C361" s="33">
        <f t="shared" si="87"/>
        <v>8750</v>
      </c>
      <c r="D361" s="20">
        <v>45723.0</v>
      </c>
      <c r="E361" s="17" t="s">
        <v>15</v>
      </c>
      <c r="F361" s="17" t="s">
        <v>28</v>
      </c>
      <c r="H361" s="17" t="s">
        <v>149</v>
      </c>
      <c r="K361" s="17">
        <v>1250.0</v>
      </c>
    </row>
    <row r="362">
      <c r="A362" s="17" t="s">
        <v>416</v>
      </c>
      <c r="B362" s="32">
        <v>60000.0</v>
      </c>
      <c r="C362" s="33">
        <f t="shared" si="87"/>
        <v>1050</v>
      </c>
      <c r="D362" s="20">
        <v>45726.0</v>
      </c>
      <c r="E362" s="17" t="s">
        <v>60</v>
      </c>
      <c r="F362" s="17" t="s">
        <v>28</v>
      </c>
      <c r="I362" s="23" t="s">
        <v>30</v>
      </c>
    </row>
    <row r="363">
      <c r="A363" s="17" t="s">
        <v>417</v>
      </c>
      <c r="B363" s="32">
        <v>100000.0</v>
      </c>
      <c r="C363" s="33">
        <f>0.0125*B363</f>
        <v>1250</v>
      </c>
      <c r="D363" s="20">
        <v>45726.0</v>
      </c>
      <c r="E363" s="17" t="s">
        <v>135</v>
      </c>
      <c r="F363" s="17" t="s">
        <v>12</v>
      </c>
      <c r="H363" s="17" t="s">
        <v>22</v>
      </c>
    </row>
    <row r="364">
      <c r="A364" s="17" t="s">
        <v>418</v>
      </c>
      <c r="B364" s="32">
        <v>100000.0</v>
      </c>
      <c r="C364" s="33">
        <f>0.0175*B364</f>
        <v>1750</v>
      </c>
      <c r="D364" s="20">
        <v>45726.0</v>
      </c>
      <c r="E364" s="17" t="s">
        <v>11</v>
      </c>
      <c r="F364" s="17" t="s">
        <v>28</v>
      </c>
      <c r="I364" s="23" t="s">
        <v>30</v>
      </c>
    </row>
    <row r="365">
      <c r="A365" s="17" t="s">
        <v>419</v>
      </c>
      <c r="B365" s="32">
        <v>275000.0</v>
      </c>
      <c r="C365" s="33">
        <f t="shared" ref="C365:C367" si="88">0.0125*B365</f>
        <v>3437.5</v>
      </c>
      <c r="D365" s="20">
        <v>45726.0</v>
      </c>
      <c r="E365" s="17" t="s">
        <v>11</v>
      </c>
      <c r="F365" s="17" t="s">
        <v>12</v>
      </c>
    </row>
    <row r="366">
      <c r="A366" s="17" t="s">
        <v>56</v>
      </c>
      <c r="B366" s="32">
        <v>63000.0</v>
      </c>
      <c r="C366" s="33">
        <f t="shared" si="88"/>
        <v>787.5</v>
      </c>
      <c r="D366" s="20">
        <v>45727.0</v>
      </c>
      <c r="E366" s="17" t="s">
        <v>15</v>
      </c>
      <c r="F366" s="17" t="s">
        <v>12</v>
      </c>
      <c r="H366" s="17" t="s">
        <v>54</v>
      </c>
      <c r="K366" s="17">
        <v>378.0</v>
      </c>
    </row>
    <row r="367">
      <c r="A367" s="17" t="s">
        <v>420</v>
      </c>
      <c r="B367" s="32">
        <v>100000.0</v>
      </c>
      <c r="C367" s="33">
        <f t="shared" si="88"/>
        <v>1250</v>
      </c>
      <c r="D367" s="20">
        <v>45727.0</v>
      </c>
      <c r="E367" s="17" t="s">
        <v>24</v>
      </c>
      <c r="F367" s="17" t="s">
        <v>12</v>
      </c>
      <c r="H367" s="17" t="s">
        <v>25</v>
      </c>
    </row>
    <row r="368">
      <c r="A368" s="17" t="s">
        <v>421</v>
      </c>
      <c r="B368" s="32">
        <v>60000.0</v>
      </c>
      <c r="C368" s="33">
        <f>0.0175*B368</f>
        <v>1050</v>
      </c>
      <c r="D368" s="20">
        <v>45727.0</v>
      </c>
      <c r="E368" s="17" t="s">
        <v>15</v>
      </c>
      <c r="F368" s="17" t="s">
        <v>28</v>
      </c>
      <c r="H368" s="17" t="s">
        <v>51</v>
      </c>
      <c r="I368" s="23" t="s">
        <v>30</v>
      </c>
      <c r="K368" s="17">
        <v>300.0</v>
      </c>
    </row>
    <row r="369">
      <c r="A369" s="17" t="s">
        <v>422</v>
      </c>
      <c r="B369" s="32">
        <v>250000.0</v>
      </c>
      <c r="C369" s="33">
        <f>0.0125*B369</f>
        <v>3125</v>
      </c>
      <c r="D369" s="20">
        <v>45727.0</v>
      </c>
      <c r="E369" s="17" t="s">
        <v>75</v>
      </c>
      <c r="F369" s="17" t="s">
        <v>12</v>
      </c>
    </row>
    <row r="370">
      <c r="A370" s="17" t="s">
        <v>423</v>
      </c>
      <c r="B370" s="32">
        <v>100000.0</v>
      </c>
      <c r="C370" s="33">
        <f t="shared" ref="C370:C371" si="89">0.0175*B370</f>
        <v>1750</v>
      </c>
      <c r="D370" s="20">
        <v>45727.0</v>
      </c>
      <c r="E370" s="17" t="s">
        <v>11</v>
      </c>
      <c r="F370" s="17" t="s">
        <v>28</v>
      </c>
      <c r="I370" s="23" t="s">
        <v>30</v>
      </c>
    </row>
    <row r="371">
      <c r="A371" s="17" t="s">
        <v>424</v>
      </c>
      <c r="B371" s="32">
        <v>40000.0</v>
      </c>
      <c r="C371" s="33">
        <f t="shared" si="89"/>
        <v>700</v>
      </c>
      <c r="D371" s="20">
        <v>45727.0</v>
      </c>
      <c r="E371" s="17" t="s">
        <v>11</v>
      </c>
      <c r="F371" s="17" t="s">
        <v>28</v>
      </c>
      <c r="I371" s="23" t="s">
        <v>30</v>
      </c>
    </row>
    <row r="372">
      <c r="A372" s="17" t="s">
        <v>425</v>
      </c>
      <c r="B372" s="32">
        <v>50000.0</v>
      </c>
      <c r="C372" s="33">
        <f>0.0125*B372</f>
        <v>625</v>
      </c>
      <c r="D372" s="20">
        <v>45727.0</v>
      </c>
      <c r="E372" s="17" t="s">
        <v>11</v>
      </c>
      <c r="F372" s="17" t="s">
        <v>12</v>
      </c>
    </row>
    <row r="373">
      <c r="A373" s="17" t="s">
        <v>426</v>
      </c>
      <c r="B373" s="32">
        <v>150000.0</v>
      </c>
      <c r="C373" s="33">
        <f t="shared" ref="C373:C376" si="90">0.0175*B373</f>
        <v>2625</v>
      </c>
      <c r="D373" s="20">
        <v>45727.0</v>
      </c>
      <c r="E373" s="17" t="s">
        <v>15</v>
      </c>
      <c r="F373" s="17" t="s">
        <v>28</v>
      </c>
      <c r="H373" s="17" t="s">
        <v>98</v>
      </c>
      <c r="K373" s="17">
        <v>450.0</v>
      </c>
    </row>
    <row r="374">
      <c r="A374" s="17" t="s">
        <v>427</v>
      </c>
      <c r="B374" s="32">
        <v>100000.0</v>
      </c>
      <c r="C374" s="33">
        <f t="shared" si="90"/>
        <v>1750</v>
      </c>
      <c r="D374" s="20">
        <v>45727.0</v>
      </c>
      <c r="E374" s="17" t="s">
        <v>11</v>
      </c>
      <c r="F374" s="17" t="s">
        <v>28</v>
      </c>
      <c r="I374" s="23" t="s">
        <v>30</v>
      </c>
    </row>
    <row r="375">
      <c r="A375" s="17" t="s">
        <v>428</v>
      </c>
      <c r="B375" s="32">
        <v>400000.0</v>
      </c>
      <c r="C375" s="33">
        <f t="shared" si="90"/>
        <v>7000</v>
      </c>
      <c r="D375" s="20">
        <v>45727.0</v>
      </c>
      <c r="E375" s="17" t="s">
        <v>24</v>
      </c>
      <c r="F375" s="17" t="s">
        <v>28</v>
      </c>
      <c r="H375" s="17" t="s">
        <v>58</v>
      </c>
    </row>
    <row r="376">
      <c r="A376" s="17" t="s">
        <v>283</v>
      </c>
      <c r="B376" s="32">
        <v>500000.0</v>
      </c>
      <c r="C376" s="33">
        <f t="shared" si="90"/>
        <v>8750</v>
      </c>
      <c r="D376" s="20">
        <v>45728.0</v>
      </c>
      <c r="E376" s="17" t="s">
        <v>15</v>
      </c>
      <c r="F376" s="17" t="s">
        <v>28</v>
      </c>
      <c r="H376" s="17" t="s">
        <v>149</v>
      </c>
      <c r="I376" s="23" t="s">
        <v>30</v>
      </c>
      <c r="K376" s="17">
        <v>1250.0</v>
      </c>
    </row>
    <row r="377">
      <c r="A377" s="17" t="s">
        <v>23</v>
      </c>
      <c r="B377" s="32">
        <v>215000.0</v>
      </c>
      <c r="C377" s="33">
        <f>0.0125*B377</f>
        <v>2687.5</v>
      </c>
      <c r="D377" s="20">
        <v>45728.0</v>
      </c>
      <c r="E377" s="17" t="s">
        <v>24</v>
      </c>
      <c r="F377" s="17" t="s">
        <v>12</v>
      </c>
      <c r="H377" s="17" t="s">
        <v>48</v>
      </c>
    </row>
    <row r="378">
      <c r="A378" s="17" t="s">
        <v>429</v>
      </c>
      <c r="B378" s="32">
        <v>50000.0</v>
      </c>
      <c r="C378" s="33">
        <f t="shared" ref="C378:C381" si="91">0.0175*B378</f>
        <v>875</v>
      </c>
      <c r="D378" s="20">
        <v>45728.0</v>
      </c>
      <c r="E378" s="17" t="s">
        <v>15</v>
      </c>
      <c r="F378" s="17" t="s">
        <v>28</v>
      </c>
      <c r="H378" s="17" t="s">
        <v>35</v>
      </c>
      <c r="I378" s="23" t="s">
        <v>30</v>
      </c>
      <c r="K378" s="17">
        <v>100.0</v>
      </c>
    </row>
    <row r="379">
      <c r="A379" s="17" t="s">
        <v>430</v>
      </c>
      <c r="B379" s="32">
        <v>75000.0</v>
      </c>
      <c r="C379" s="33">
        <f t="shared" si="91"/>
        <v>1312.5</v>
      </c>
      <c r="D379" s="20">
        <v>45728.0</v>
      </c>
      <c r="E379" s="17" t="s">
        <v>15</v>
      </c>
      <c r="F379" s="17" t="s">
        <v>28</v>
      </c>
      <c r="H379" s="17" t="s">
        <v>149</v>
      </c>
      <c r="I379" s="23" t="s">
        <v>30</v>
      </c>
      <c r="K379" s="17">
        <v>187.5</v>
      </c>
    </row>
    <row r="380">
      <c r="A380" s="17" t="s">
        <v>431</v>
      </c>
      <c r="B380" s="32">
        <v>75000.0</v>
      </c>
      <c r="C380" s="33">
        <f t="shared" si="91"/>
        <v>1312.5</v>
      </c>
      <c r="D380" s="20">
        <v>45729.0</v>
      </c>
      <c r="E380" s="17" t="s">
        <v>11</v>
      </c>
      <c r="F380" s="17" t="s">
        <v>28</v>
      </c>
      <c r="I380" s="23" t="s">
        <v>30</v>
      </c>
    </row>
    <row r="381">
      <c r="A381" s="17" t="s">
        <v>432</v>
      </c>
      <c r="B381" s="32">
        <v>350000.0</v>
      </c>
      <c r="C381" s="33">
        <f t="shared" si="91"/>
        <v>6125</v>
      </c>
      <c r="D381" s="20">
        <v>45729.0</v>
      </c>
      <c r="E381" s="17" t="s">
        <v>60</v>
      </c>
      <c r="F381" s="17" t="s">
        <v>28</v>
      </c>
      <c r="I381" s="23" t="s">
        <v>30</v>
      </c>
    </row>
    <row r="382">
      <c r="A382" s="17" t="s">
        <v>433</v>
      </c>
      <c r="B382" s="32">
        <v>2500000.0</v>
      </c>
      <c r="C382" s="33">
        <f>0.0125*B382</f>
        <v>31250</v>
      </c>
      <c r="D382" s="20">
        <v>45729.0</v>
      </c>
      <c r="E382" s="17" t="s">
        <v>11</v>
      </c>
      <c r="F382" s="17" t="s">
        <v>12</v>
      </c>
    </row>
    <row r="383">
      <c r="A383" s="17" t="s">
        <v>434</v>
      </c>
      <c r="B383" s="32">
        <v>150000.0</v>
      </c>
      <c r="C383" s="33">
        <f t="shared" ref="C383:C388" si="92">0.0175*B383</f>
        <v>2625</v>
      </c>
      <c r="D383" s="20">
        <v>45729.0</v>
      </c>
      <c r="E383" s="17" t="s">
        <v>60</v>
      </c>
      <c r="F383" s="17" t="s">
        <v>28</v>
      </c>
    </row>
    <row r="384">
      <c r="A384" s="17" t="s">
        <v>435</v>
      </c>
      <c r="B384" s="32">
        <v>100000.0</v>
      </c>
      <c r="C384" s="33">
        <f t="shared" si="92"/>
        <v>1750</v>
      </c>
      <c r="D384" s="20">
        <v>45729.0</v>
      </c>
      <c r="E384" s="17" t="s">
        <v>15</v>
      </c>
      <c r="F384" s="17" t="s">
        <v>28</v>
      </c>
      <c r="H384" s="17" t="s">
        <v>35</v>
      </c>
      <c r="I384" s="23" t="s">
        <v>30</v>
      </c>
      <c r="K384" s="17">
        <v>200.0</v>
      </c>
    </row>
    <row r="385">
      <c r="A385" s="17" t="s">
        <v>366</v>
      </c>
      <c r="B385" s="18">
        <v>150000.0</v>
      </c>
      <c r="C385" s="19">
        <f t="shared" si="92"/>
        <v>2625</v>
      </c>
      <c r="D385" s="20">
        <v>45729.0</v>
      </c>
      <c r="E385" s="17" t="s">
        <v>11</v>
      </c>
      <c r="F385" s="17" t="s">
        <v>67</v>
      </c>
      <c r="I385" s="23" t="s">
        <v>30</v>
      </c>
    </row>
    <row r="386">
      <c r="A386" s="17" t="s">
        <v>436</v>
      </c>
      <c r="B386" s="18">
        <v>250000.0</v>
      </c>
      <c r="C386" s="19">
        <f t="shared" si="92"/>
        <v>4375</v>
      </c>
      <c r="D386" s="20">
        <v>45729.0</v>
      </c>
      <c r="E386" s="17" t="s">
        <v>118</v>
      </c>
      <c r="F386" s="17" t="s">
        <v>28</v>
      </c>
      <c r="H386" s="17" t="s">
        <v>13</v>
      </c>
      <c r="I386" s="23" t="s">
        <v>30</v>
      </c>
    </row>
    <row r="387">
      <c r="A387" s="17" t="s">
        <v>437</v>
      </c>
      <c r="B387" s="18">
        <v>185000.0</v>
      </c>
      <c r="C387" s="19">
        <f t="shared" si="92"/>
        <v>3237.5</v>
      </c>
      <c r="D387" s="20">
        <v>45730.0</v>
      </c>
      <c r="E387" s="17" t="s">
        <v>60</v>
      </c>
      <c r="F387" s="17" t="s">
        <v>28</v>
      </c>
    </row>
    <row r="388">
      <c r="A388" s="17" t="s">
        <v>438</v>
      </c>
      <c r="B388" s="18">
        <v>50000.0</v>
      </c>
      <c r="C388" s="19">
        <f t="shared" si="92"/>
        <v>875</v>
      </c>
      <c r="D388" s="20">
        <v>45730.0</v>
      </c>
      <c r="E388" s="17" t="s">
        <v>11</v>
      </c>
      <c r="F388" s="17" t="s">
        <v>28</v>
      </c>
    </row>
    <row r="389">
      <c r="A389" s="17" t="s">
        <v>439</v>
      </c>
      <c r="B389" s="18">
        <v>170000.0</v>
      </c>
      <c r="C389" s="19">
        <f>0.0125*B389</f>
        <v>2125</v>
      </c>
      <c r="D389" s="20">
        <v>45730.0</v>
      </c>
      <c r="E389" s="17" t="s">
        <v>24</v>
      </c>
      <c r="F389" s="17" t="s">
        <v>12</v>
      </c>
      <c r="H389" s="17" t="s">
        <v>48</v>
      </c>
    </row>
    <row r="390">
      <c r="A390" s="17" t="s">
        <v>440</v>
      </c>
      <c r="B390" s="18">
        <v>700000.0</v>
      </c>
      <c r="C390" s="19">
        <f>0.0175*B390</f>
        <v>12250</v>
      </c>
      <c r="D390" s="20">
        <v>45733.0</v>
      </c>
      <c r="E390" s="17" t="s">
        <v>24</v>
      </c>
      <c r="F390" s="17" t="s">
        <v>28</v>
      </c>
      <c r="H390" s="17" t="s">
        <v>58</v>
      </c>
      <c r="I390" s="23" t="s">
        <v>30</v>
      </c>
    </row>
    <row r="391">
      <c r="A391" s="17" t="s">
        <v>441</v>
      </c>
      <c r="B391" s="18">
        <v>77500.0</v>
      </c>
      <c r="C391" s="19">
        <f t="shared" ref="C391:C392" si="93">0.0125*B391</f>
        <v>968.75</v>
      </c>
      <c r="D391" s="20">
        <v>45733.0</v>
      </c>
      <c r="E391" s="17" t="s">
        <v>15</v>
      </c>
      <c r="F391" s="17" t="s">
        <v>12</v>
      </c>
      <c r="H391" s="17" t="s">
        <v>51</v>
      </c>
      <c r="K391" s="17">
        <v>387.5</v>
      </c>
    </row>
    <row r="392">
      <c r="A392" s="17" t="s">
        <v>442</v>
      </c>
      <c r="B392" s="18">
        <v>80000.0</v>
      </c>
      <c r="C392" s="19">
        <f t="shared" si="93"/>
        <v>1000</v>
      </c>
      <c r="D392" s="20">
        <v>45733.0</v>
      </c>
      <c r="E392" s="17" t="s">
        <v>24</v>
      </c>
      <c r="F392" s="17" t="s">
        <v>12</v>
      </c>
      <c r="H392" s="17" t="s">
        <v>48</v>
      </c>
    </row>
    <row r="393">
      <c r="A393" s="17" t="s">
        <v>443</v>
      </c>
      <c r="B393" s="18">
        <v>100000.0</v>
      </c>
      <c r="C393" s="19">
        <f t="shared" ref="C393:C394" si="94">0.0175*B393</f>
        <v>1750</v>
      </c>
      <c r="D393" s="20">
        <v>45733.0</v>
      </c>
      <c r="E393" s="17" t="s">
        <v>11</v>
      </c>
      <c r="F393" s="17" t="s">
        <v>28</v>
      </c>
      <c r="I393" s="23" t="s">
        <v>30</v>
      </c>
    </row>
    <row r="394">
      <c r="A394" s="17" t="s">
        <v>444</v>
      </c>
      <c r="B394" s="18">
        <v>500000.0</v>
      </c>
      <c r="C394" s="19">
        <f t="shared" si="94"/>
        <v>8750</v>
      </c>
      <c r="D394" s="20">
        <v>45733.0</v>
      </c>
      <c r="E394" s="17" t="s">
        <v>24</v>
      </c>
      <c r="F394" s="17" t="s">
        <v>28</v>
      </c>
      <c r="H394" s="17" t="s">
        <v>58</v>
      </c>
    </row>
    <row r="395">
      <c r="A395" s="17" t="s">
        <v>445</v>
      </c>
      <c r="B395" s="32">
        <v>20000.0</v>
      </c>
      <c r="C395" s="33">
        <f t="shared" ref="C395:C396" si="95">0.0125*B395</f>
        <v>250</v>
      </c>
      <c r="D395" s="20">
        <v>45733.0</v>
      </c>
      <c r="E395" s="17" t="s">
        <v>60</v>
      </c>
      <c r="F395" s="17" t="s">
        <v>12</v>
      </c>
      <c r="H395" s="17" t="s">
        <v>446</v>
      </c>
    </row>
    <row r="396">
      <c r="A396" s="17" t="s">
        <v>447</v>
      </c>
      <c r="B396" s="18">
        <v>350000.0</v>
      </c>
      <c r="C396" s="33">
        <f t="shared" si="95"/>
        <v>4375</v>
      </c>
      <c r="D396" s="20">
        <v>45734.0</v>
      </c>
      <c r="E396" s="17" t="s">
        <v>11</v>
      </c>
      <c r="F396" s="17" t="s">
        <v>12</v>
      </c>
    </row>
    <row r="397">
      <c r="A397" s="17" t="s">
        <v>448</v>
      </c>
      <c r="B397" s="18">
        <v>250000.0</v>
      </c>
      <c r="C397" s="33">
        <f t="shared" ref="C397:C398" si="96">0.0175*B397</f>
        <v>4375</v>
      </c>
      <c r="D397" s="20">
        <v>45734.0</v>
      </c>
      <c r="E397" s="17" t="s">
        <v>60</v>
      </c>
      <c r="F397" s="17" t="s">
        <v>28</v>
      </c>
      <c r="I397" s="23" t="s">
        <v>30</v>
      </c>
    </row>
    <row r="398">
      <c r="A398" s="17" t="s">
        <v>449</v>
      </c>
      <c r="B398" s="18">
        <v>85000.0</v>
      </c>
      <c r="C398" s="33">
        <f t="shared" si="96"/>
        <v>1487.5</v>
      </c>
      <c r="D398" s="20">
        <v>45734.0</v>
      </c>
      <c r="E398" s="17" t="s">
        <v>11</v>
      </c>
      <c r="F398" s="17" t="s">
        <v>28</v>
      </c>
      <c r="I398" s="23" t="s">
        <v>30</v>
      </c>
    </row>
    <row r="399">
      <c r="A399" s="17" t="s">
        <v>450</v>
      </c>
      <c r="B399" s="32">
        <v>725000.0</v>
      </c>
      <c r="C399" s="33">
        <f>0.0125*B399</f>
        <v>9062.5</v>
      </c>
      <c r="D399" s="20">
        <v>45734.0</v>
      </c>
      <c r="E399" s="17" t="s">
        <v>24</v>
      </c>
      <c r="F399" s="17" t="s">
        <v>12</v>
      </c>
      <c r="H399" s="17" t="s">
        <v>48</v>
      </c>
    </row>
    <row r="400">
      <c r="A400" s="17" t="s">
        <v>451</v>
      </c>
      <c r="B400" s="32">
        <v>45000.0</v>
      </c>
      <c r="C400" s="33">
        <f t="shared" ref="C400:C402" si="97">0.0175*B400</f>
        <v>787.5</v>
      </c>
      <c r="D400" s="20">
        <v>45734.0</v>
      </c>
      <c r="E400" s="17" t="s">
        <v>15</v>
      </c>
      <c r="F400" s="17" t="s">
        <v>28</v>
      </c>
      <c r="H400" s="17" t="s">
        <v>149</v>
      </c>
      <c r="I400" s="23" t="s">
        <v>30</v>
      </c>
      <c r="K400" s="17">
        <v>112.5</v>
      </c>
    </row>
    <row r="401">
      <c r="A401" s="17" t="s">
        <v>452</v>
      </c>
      <c r="B401" s="32">
        <v>150000.0</v>
      </c>
      <c r="C401" s="33">
        <f t="shared" si="97"/>
        <v>2625</v>
      </c>
      <c r="D401" s="20">
        <v>45734.0</v>
      </c>
      <c r="E401" s="17" t="s">
        <v>118</v>
      </c>
      <c r="F401" s="17" t="s">
        <v>28</v>
      </c>
      <c r="H401" s="17" t="s">
        <v>13</v>
      </c>
    </row>
    <row r="402">
      <c r="A402" s="17" t="s">
        <v>453</v>
      </c>
      <c r="B402" s="32">
        <v>250000.0</v>
      </c>
      <c r="C402" s="33">
        <f t="shared" si="97"/>
        <v>4375</v>
      </c>
      <c r="D402" s="20">
        <v>45734.0</v>
      </c>
      <c r="E402" s="17" t="s">
        <v>60</v>
      </c>
      <c r="F402" s="17" t="s">
        <v>28</v>
      </c>
      <c r="I402" s="23" t="s">
        <v>30</v>
      </c>
    </row>
    <row r="403">
      <c r="A403" s="17" t="s">
        <v>134</v>
      </c>
      <c r="B403" s="32">
        <v>560000.0</v>
      </c>
      <c r="C403" s="33">
        <f t="shared" ref="C403:C404" si="98">0.0125*B403</f>
        <v>7000</v>
      </c>
      <c r="D403" s="20">
        <v>45735.0</v>
      </c>
      <c r="E403" s="17" t="s">
        <v>135</v>
      </c>
      <c r="F403" s="17" t="s">
        <v>12</v>
      </c>
      <c r="H403" s="17" t="s">
        <v>22</v>
      </c>
    </row>
    <row r="404">
      <c r="A404" s="17" t="s">
        <v>454</v>
      </c>
      <c r="B404" s="32">
        <v>500000.0</v>
      </c>
      <c r="C404" s="33">
        <f t="shared" si="98"/>
        <v>6250</v>
      </c>
      <c r="D404" s="20">
        <v>45735.0</v>
      </c>
      <c r="E404" s="17" t="s">
        <v>11</v>
      </c>
      <c r="F404" s="17" t="s">
        <v>12</v>
      </c>
    </row>
    <row r="405">
      <c r="A405" s="17" t="s">
        <v>455</v>
      </c>
      <c r="B405" s="32">
        <v>40000.0</v>
      </c>
      <c r="C405" s="33">
        <f t="shared" ref="C405:C413" si="99">0.0175*B405</f>
        <v>700</v>
      </c>
      <c r="D405" s="20">
        <v>45735.0</v>
      </c>
      <c r="E405" s="17" t="s">
        <v>11</v>
      </c>
      <c r="F405" s="17" t="s">
        <v>28</v>
      </c>
      <c r="I405" s="23" t="s">
        <v>30</v>
      </c>
    </row>
    <row r="406">
      <c r="A406" s="17" t="s">
        <v>182</v>
      </c>
      <c r="B406" s="32">
        <v>40000.0</v>
      </c>
      <c r="C406" s="33">
        <f t="shared" si="99"/>
        <v>700</v>
      </c>
      <c r="D406" s="20">
        <v>45735.0</v>
      </c>
      <c r="E406" s="17" t="s">
        <v>11</v>
      </c>
      <c r="F406" s="17" t="s">
        <v>67</v>
      </c>
    </row>
    <row r="407">
      <c r="A407" s="17" t="s">
        <v>456</v>
      </c>
      <c r="B407" s="32">
        <v>200000.0</v>
      </c>
      <c r="C407" s="33">
        <f t="shared" si="99"/>
        <v>3500</v>
      </c>
      <c r="D407" s="20">
        <v>45735.0</v>
      </c>
      <c r="E407" s="17" t="s">
        <v>457</v>
      </c>
      <c r="F407" s="17" t="s">
        <v>67</v>
      </c>
      <c r="H407" s="17" t="s">
        <v>98</v>
      </c>
      <c r="I407" s="23" t="s">
        <v>30</v>
      </c>
      <c r="K407" s="17">
        <v>600.0</v>
      </c>
    </row>
    <row r="408">
      <c r="A408" s="17" t="s">
        <v>458</v>
      </c>
      <c r="B408" s="32">
        <v>35000.0</v>
      </c>
      <c r="C408" s="33">
        <f t="shared" si="99"/>
        <v>612.5</v>
      </c>
      <c r="D408" s="20">
        <v>45735.0</v>
      </c>
      <c r="E408" s="17" t="s">
        <v>15</v>
      </c>
      <c r="F408" s="17" t="s">
        <v>28</v>
      </c>
      <c r="H408" s="17" t="s">
        <v>35</v>
      </c>
      <c r="I408" s="23" t="s">
        <v>30</v>
      </c>
      <c r="K408" s="17">
        <v>70.0</v>
      </c>
    </row>
    <row r="409">
      <c r="A409" s="17" t="s">
        <v>459</v>
      </c>
      <c r="B409" s="18">
        <v>150000.0</v>
      </c>
      <c r="C409" s="19">
        <f t="shared" si="99"/>
        <v>2625</v>
      </c>
      <c r="D409" s="20">
        <v>45735.0</v>
      </c>
      <c r="E409" s="17" t="s">
        <v>60</v>
      </c>
      <c r="F409" s="17" t="s">
        <v>28</v>
      </c>
    </row>
    <row r="410">
      <c r="A410" s="17" t="s">
        <v>460</v>
      </c>
      <c r="B410" s="18">
        <v>500000.0</v>
      </c>
      <c r="C410" s="19">
        <f t="shared" si="99"/>
        <v>8750</v>
      </c>
      <c r="D410" s="20">
        <v>45735.0</v>
      </c>
      <c r="E410" s="17" t="s">
        <v>461</v>
      </c>
      <c r="F410" s="17" t="s">
        <v>28</v>
      </c>
      <c r="H410" s="17" t="s">
        <v>13</v>
      </c>
      <c r="I410" s="23" t="s">
        <v>30</v>
      </c>
    </row>
    <row r="411">
      <c r="A411" s="17" t="s">
        <v>462</v>
      </c>
      <c r="B411" s="18">
        <v>15000.0</v>
      </c>
      <c r="C411" s="19">
        <f t="shared" si="99"/>
        <v>262.5</v>
      </c>
      <c r="D411" s="20">
        <v>45736.0</v>
      </c>
      <c r="E411" s="17" t="s">
        <v>15</v>
      </c>
      <c r="F411" s="17" t="s">
        <v>28</v>
      </c>
      <c r="H411" s="17" t="s">
        <v>54</v>
      </c>
      <c r="K411" s="17">
        <v>90.0</v>
      </c>
    </row>
    <row r="412">
      <c r="A412" s="17" t="s">
        <v>463</v>
      </c>
      <c r="B412" s="18">
        <v>50000.0</v>
      </c>
      <c r="C412" s="19">
        <f t="shared" si="99"/>
        <v>875</v>
      </c>
      <c r="D412" s="20">
        <v>45736.0</v>
      </c>
      <c r="E412" s="17" t="s">
        <v>11</v>
      </c>
      <c r="F412" s="17" t="s">
        <v>28</v>
      </c>
      <c r="I412" s="23" t="s">
        <v>30</v>
      </c>
    </row>
    <row r="413">
      <c r="A413" s="17" t="s">
        <v>464</v>
      </c>
      <c r="B413" s="18">
        <v>100000.0</v>
      </c>
      <c r="C413" s="19">
        <f t="shared" si="99"/>
        <v>1750</v>
      </c>
      <c r="D413" s="20">
        <v>45736.0</v>
      </c>
      <c r="E413" s="17" t="s">
        <v>11</v>
      </c>
      <c r="F413" s="17" t="s">
        <v>67</v>
      </c>
    </row>
    <row r="414">
      <c r="A414" s="17" t="s">
        <v>465</v>
      </c>
      <c r="B414" s="18">
        <v>60000.0</v>
      </c>
      <c r="C414" s="19">
        <f>0.0125*B414</f>
        <v>750</v>
      </c>
      <c r="D414" s="20">
        <v>45736.0</v>
      </c>
      <c r="E414" s="17" t="s">
        <v>15</v>
      </c>
      <c r="F414" s="17" t="s">
        <v>12</v>
      </c>
      <c r="H414" s="17" t="s">
        <v>54</v>
      </c>
      <c r="K414" s="17">
        <v>360.0</v>
      </c>
    </row>
    <row r="415">
      <c r="A415" s="17" t="s">
        <v>233</v>
      </c>
      <c r="B415" s="18">
        <v>350000.0</v>
      </c>
      <c r="C415" s="19">
        <f t="shared" ref="C415:C416" si="100">0.0175*B415</f>
        <v>6125</v>
      </c>
      <c r="D415" s="20">
        <v>45736.0</v>
      </c>
      <c r="E415" s="17" t="s">
        <v>24</v>
      </c>
      <c r="F415" s="17" t="s">
        <v>144</v>
      </c>
      <c r="H415" s="17" t="s">
        <v>25</v>
      </c>
    </row>
    <row r="416">
      <c r="A416" s="17" t="s">
        <v>466</v>
      </c>
      <c r="B416" s="18">
        <v>40000.0</v>
      </c>
      <c r="C416" s="19">
        <f t="shared" si="100"/>
        <v>700</v>
      </c>
      <c r="D416" s="20">
        <v>45737.0</v>
      </c>
      <c r="E416" s="17" t="s">
        <v>15</v>
      </c>
      <c r="F416" s="17" t="s">
        <v>28</v>
      </c>
      <c r="H416" s="17" t="s">
        <v>98</v>
      </c>
      <c r="I416" s="23" t="s">
        <v>30</v>
      </c>
      <c r="K416" s="17">
        <v>120.0</v>
      </c>
    </row>
    <row r="417">
      <c r="A417" s="17" t="s">
        <v>467</v>
      </c>
      <c r="B417" s="18">
        <v>45000.0</v>
      </c>
      <c r="C417" s="19">
        <f>0.0125*B417</f>
        <v>562.5</v>
      </c>
      <c r="D417" s="20">
        <v>45737.0</v>
      </c>
      <c r="E417" s="17" t="s">
        <v>24</v>
      </c>
      <c r="F417" s="17" t="s">
        <v>12</v>
      </c>
      <c r="H417" s="17" t="s">
        <v>25</v>
      </c>
    </row>
    <row r="418">
      <c r="A418" s="17" t="s">
        <v>468</v>
      </c>
      <c r="B418" s="18">
        <v>800000.0</v>
      </c>
      <c r="C418" s="19">
        <f t="shared" ref="C418:C420" si="101">0.0175*B418</f>
        <v>14000</v>
      </c>
      <c r="D418" s="20">
        <v>45740.0</v>
      </c>
      <c r="E418" s="17" t="s">
        <v>15</v>
      </c>
      <c r="F418" s="17" t="s">
        <v>28</v>
      </c>
      <c r="H418" s="17" t="s">
        <v>98</v>
      </c>
      <c r="I418" s="23" t="s">
        <v>30</v>
      </c>
      <c r="K418" s="17">
        <v>2400.0</v>
      </c>
    </row>
    <row r="419">
      <c r="A419" s="17" t="s">
        <v>469</v>
      </c>
      <c r="B419" s="18">
        <v>850000.0</v>
      </c>
      <c r="C419" s="19">
        <f t="shared" si="101"/>
        <v>14875</v>
      </c>
      <c r="D419" s="20">
        <v>45740.0</v>
      </c>
      <c r="E419" s="17" t="s">
        <v>60</v>
      </c>
      <c r="F419" s="17" t="s">
        <v>28</v>
      </c>
      <c r="I419" s="23" t="s">
        <v>30</v>
      </c>
    </row>
    <row r="420">
      <c r="A420" s="17" t="s">
        <v>470</v>
      </c>
      <c r="B420" s="18">
        <v>50000.0</v>
      </c>
      <c r="C420" s="19">
        <f t="shared" si="101"/>
        <v>875</v>
      </c>
      <c r="D420" s="20">
        <v>45740.0</v>
      </c>
      <c r="E420" s="17" t="s">
        <v>11</v>
      </c>
      <c r="F420" s="17" t="s">
        <v>28</v>
      </c>
      <c r="I420" s="23" t="s">
        <v>30</v>
      </c>
    </row>
    <row r="421">
      <c r="A421" s="17" t="s">
        <v>471</v>
      </c>
      <c r="B421" s="18">
        <v>125000.0</v>
      </c>
      <c r="C421" s="19">
        <f>0.0125*B421</f>
        <v>1562.5</v>
      </c>
      <c r="D421" s="20">
        <v>45740.0</v>
      </c>
      <c r="E421" s="17" t="s">
        <v>11</v>
      </c>
      <c r="F421" s="17" t="s">
        <v>12</v>
      </c>
    </row>
    <row r="422">
      <c r="A422" s="17" t="s">
        <v>472</v>
      </c>
      <c r="B422" s="18">
        <v>500000.0</v>
      </c>
      <c r="C422" s="19">
        <f>0.0175*B422</f>
        <v>8750</v>
      </c>
      <c r="D422" s="20">
        <v>45740.0</v>
      </c>
      <c r="E422" s="17" t="s">
        <v>11</v>
      </c>
      <c r="F422" s="17" t="s">
        <v>28</v>
      </c>
      <c r="I422" s="23" t="s">
        <v>30</v>
      </c>
    </row>
    <row r="423">
      <c r="A423" s="17" t="s">
        <v>473</v>
      </c>
      <c r="B423" s="18">
        <v>115000.0</v>
      </c>
      <c r="C423" s="19">
        <f t="shared" ref="C423:C425" si="102">0.0125*B423</f>
        <v>1437.5</v>
      </c>
      <c r="D423" s="20">
        <v>45740.0</v>
      </c>
      <c r="E423" s="17" t="s">
        <v>40</v>
      </c>
      <c r="F423" s="17" t="s">
        <v>12</v>
      </c>
      <c r="H423" s="17" t="s">
        <v>35</v>
      </c>
      <c r="K423" s="17">
        <v>230.0</v>
      </c>
    </row>
    <row r="424">
      <c r="A424" s="17" t="s">
        <v>474</v>
      </c>
      <c r="B424" s="18">
        <v>70000.0</v>
      </c>
      <c r="C424" s="19">
        <f t="shared" si="102"/>
        <v>875</v>
      </c>
      <c r="D424" s="20">
        <v>45741.0</v>
      </c>
      <c r="E424" s="17" t="s">
        <v>11</v>
      </c>
      <c r="F424" s="17" t="s">
        <v>12</v>
      </c>
    </row>
    <row r="425">
      <c r="A425" s="17" t="s">
        <v>475</v>
      </c>
      <c r="B425" s="18">
        <v>500000.0</v>
      </c>
      <c r="C425" s="19">
        <f t="shared" si="102"/>
        <v>6250</v>
      </c>
      <c r="D425" s="20">
        <v>45741.0</v>
      </c>
      <c r="E425" s="17" t="s">
        <v>75</v>
      </c>
      <c r="F425" s="17" t="s">
        <v>12</v>
      </c>
    </row>
    <row r="426">
      <c r="A426" s="17" t="s">
        <v>476</v>
      </c>
      <c r="B426" s="18">
        <v>75000.0</v>
      </c>
      <c r="C426" s="19">
        <f t="shared" ref="C426:C429" si="103">0.0175*B426</f>
        <v>1312.5</v>
      </c>
      <c r="D426" s="20">
        <v>45741.0</v>
      </c>
      <c r="E426" s="17" t="s">
        <v>60</v>
      </c>
      <c r="F426" s="17" t="s">
        <v>28</v>
      </c>
      <c r="I426" s="23" t="s">
        <v>30</v>
      </c>
    </row>
    <row r="427">
      <c r="A427" s="17" t="s">
        <v>477</v>
      </c>
      <c r="B427" s="18">
        <v>325000.0</v>
      </c>
      <c r="C427" s="19">
        <f t="shared" si="103"/>
        <v>5687.5</v>
      </c>
      <c r="D427" s="20">
        <v>45741.0</v>
      </c>
      <c r="E427" s="17" t="s">
        <v>60</v>
      </c>
      <c r="F427" s="17" t="s">
        <v>28</v>
      </c>
      <c r="I427" s="23" t="s">
        <v>30</v>
      </c>
    </row>
    <row r="428">
      <c r="A428" s="17" t="s">
        <v>478</v>
      </c>
      <c r="B428" s="18">
        <v>10000.0</v>
      </c>
      <c r="C428" s="19">
        <f t="shared" si="103"/>
        <v>175</v>
      </c>
      <c r="D428" s="20">
        <v>45741.0</v>
      </c>
      <c r="E428" s="17" t="s">
        <v>11</v>
      </c>
      <c r="F428" s="17" t="s">
        <v>28</v>
      </c>
      <c r="I428" s="23" t="s">
        <v>30</v>
      </c>
    </row>
    <row r="429">
      <c r="A429" s="17" t="s">
        <v>479</v>
      </c>
      <c r="B429" s="18">
        <v>60000.0</v>
      </c>
      <c r="C429" s="19">
        <f t="shared" si="103"/>
        <v>1050</v>
      </c>
      <c r="D429" s="20">
        <v>45742.0</v>
      </c>
      <c r="E429" s="17" t="s">
        <v>11</v>
      </c>
      <c r="F429" s="17" t="s">
        <v>28</v>
      </c>
      <c r="I429" s="23" t="s">
        <v>30</v>
      </c>
    </row>
    <row r="430">
      <c r="A430" s="17" t="s">
        <v>373</v>
      </c>
      <c r="B430" s="18">
        <v>270000.0</v>
      </c>
      <c r="C430" s="19">
        <f t="shared" ref="C430:C432" si="104">0.0125*B430</f>
        <v>3375</v>
      </c>
      <c r="D430" s="20">
        <v>45742.0</v>
      </c>
      <c r="E430" s="17" t="s">
        <v>480</v>
      </c>
      <c r="F430" s="17" t="s">
        <v>12</v>
      </c>
      <c r="H430" s="17" t="s">
        <v>22</v>
      </c>
    </row>
    <row r="431">
      <c r="A431" s="17" t="s">
        <v>481</v>
      </c>
      <c r="B431" s="18">
        <v>750000.0</v>
      </c>
      <c r="C431" s="19">
        <f t="shared" si="104"/>
        <v>9375</v>
      </c>
      <c r="D431" s="20">
        <v>45743.0</v>
      </c>
      <c r="E431" s="17" t="s">
        <v>11</v>
      </c>
      <c r="F431" s="17" t="s">
        <v>12</v>
      </c>
    </row>
    <row r="432">
      <c r="A432" s="17" t="s">
        <v>482</v>
      </c>
      <c r="B432" s="18">
        <v>80000.0</v>
      </c>
      <c r="C432" s="19">
        <f t="shared" si="104"/>
        <v>1000</v>
      </c>
      <c r="D432" s="20">
        <v>45743.0</v>
      </c>
      <c r="E432" s="17" t="s">
        <v>73</v>
      </c>
      <c r="F432" s="17" t="s">
        <v>12</v>
      </c>
    </row>
    <row r="433">
      <c r="A433" s="17" t="s">
        <v>483</v>
      </c>
      <c r="B433" s="18">
        <v>1750000.0</v>
      </c>
      <c r="C433" s="19">
        <f t="shared" ref="C433:C435" si="105">0.0175*B433</f>
        <v>30625</v>
      </c>
      <c r="D433" s="20">
        <v>45743.0</v>
      </c>
      <c r="E433" s="17" t="s">
        <v>11</v>
      </c>
      <c r="F433" s="17" t="s">
        <v>41</v>
      </c>
      <c r="I433" s="23" t="s">
        <v>30</v>
      </c>
    </row>
    <row r="434">
      <c r="A434" s="17" t="s">
        <v>484</v>
      </c>
      <c r="B434" s="18">
        <v>225000.0</v>
      </c>
      <c r="C434" s="19">
        <f t="shared" si="105"/>
        <v>3937.5</v>
      </c>
      <c r="D434" s="20">
        <v>45743.0</v>
      </c>
      <c r="E434" s="17" t="s">
        <v>11</v>
      </c>
      <c r="F434" s="17" t="s">
        <v>28</v>
      </c>
      <c r="I434" s="23" t="s">
        <v>30</v>
      </c>
    </row>
    <row r="435">
      <c r="A435" s="17" t="s">
        <v>485</v>
      </c>
      <c r="B435" s="18">
        <v>100000.0</v>
      </c>
      <c r="C435" s="19">
        <f t="shared" si="105"/>
        <v>1750</v>
      </c>
      <c r="D435" s="20">
        <v>45743.0</v>
      </c>
      <c r="E435" s="17" t="s">
        <v>11</v>
      </c>
      <c r="F435" s="17" t="s">
        <v>28</v>
      </c>
      <c r="I435" s="23" t="s">
        <v>30</v>
      </c>
    </row>
    <row r="436">
      <c r="A436" s="17" t="s">
        <v>486</v>
      </c>
      <c r="B436" s="18">
        <v>275000.0</v>
      </c>
      <c r="C436" s="19">
        <f t="shared" ref="C436:C437" si="106">0.0125*B436</f>
        <v>3437.5</v>
      </c>
      <c r="D436" s="20">
        <v>45743.0</v>
      </c>
      <c r="E436" s="17" t="s">
        <v>73</v>
      </c>
      <c r="F436" s="17" t="s">
        <v>12</v>
      </c>
    </row>
    <row r="437">
      <c r="A437" s="17" t="s">
        <v>487</v>
      </c>
      <c r="B437" s="18">
        <v>225000.0</v>
      </c>
      <c r="C437" s="19">
        <f t="shared" si="106"/>
        <v>2812.5</v>
      </c>
      <c r="D437" s="20">
        <v>45743.0</v>
      </c>
      <c r="E437" s="17" t="s">
        <v>15</v>
      </c>
      <c r="F437" s="17" t="s">
        <v>12</v>
      </c>
      <c r="H437" s="17" t="s">
        <v>98</v>
      </c>
      <c r="K437" s="17">
        <v>675.0</v>
      </c>
    </row>
    <row r="438">
      <c r="A438" s="17" t="s">
        <v>488</v>
      </c>
      <c r="B438" s="18">
        <v>175000.0</v>
      </c>
      <c r="C438" s="19">
        <f t="shared" ref="C438:C442" si="107">0.0175*B438</f>
        <v>3062.5</v>
      </c>
      <c r="D438" s="20">
        <v>45743.0</v>
      </c>
      <c r="E438" s="17" t="s">
        <v>11</v>
      </c>
      <c r="F438" s="17" t="s">
        <v>28</v>
      </c>
      <c r="I438" s="23" t="s">
        <v>30</v>
      </c>
    </row>
    <row r="439">
      <c r="A439" s="17" t="s">
        <v>489</v>
      </c>
      <c r="B439" s="18">
        <v>80000.0</v>
      </c>
      <c r="C439" s="19">
        <f t="shared" si="107"/>
        <v>1400</v>
      </c>
      <c r="D439" s="20">
        <v>45743.0</v>
      </c>
      <c r="E439" s="17" t="s">
        <v>11</v>
      </c>
      <c r="F439" s="17" t="s">
        <v>28</v>
      </c>
    </row>
    <row r="440">
      <c r="A440" s="17" t="s">
        <v>490</v>
      </c>
      <c r="B440" s="18">
        <v>100000.0</v>
      </c>
      <c r="C440" s="19">
        <f t="shared" si="107"/>
        <v>1750</v>
      </c>
      <c r="D440" s="20">
        <v>45743.0</v>
      </c>
      <c r="E440" s="17" t="s">
        <v>11</v>
      </c>
      <c r="F440" s="17" t="s">
        <v>41</v>
      </c>
      <c r="I440" s="23" t="s">
        <v>30</v>
      </c>
    </row>
    <row r="441">
      <c r="A441" s="17" t="s">
        <v>491</v>
      </c>
      <c r="B441" s="18">
        <v>107000.0</v>
      </c>
      <c r="C441" s="19">
        <f t="shared" si="107"/>
        <v>1872.5</v>
      </c>
      <c r="D441" s="20">
        <v>45743.0</v>
      </c>
      <c r="E441" s="17" t="s">
        <v>21</v>
      </c>
      <c r="F441" s="17" t="s">
        <v>28</v>
      </c>
      <c r="H441" s="17" t="s">
        <v>13</v>
      </c>
      <c r="I441" s="23" t="s">
        <v>30</v>
      </c>
    </row>
    <row r="442">
      <c r="A442" s="17" t="s">
        <v>492</v>
      </c>
      <c r="B442" s="18">
        <v>750000.0</v>
      </c>
      <c r="C442" s="19">
        <f t="shared" si="107"/>
        <v>13125</v>
      </c>
      <c r="D442" s="20">
        <v>45744.0</v>
      </c>
      <c r="E442" s="17" t="s">
        <v>11</v>
      </c>
      <c r="F442" s="17" t="s">
        <v>41</v>
      </c>
      <c r="I442" s="23" t="s">
        <v>30</v>
      </c>
    </row>
    <row r="443">
      <c r="A443" s="17" t="s">
        <v>493</v>
      </c>
      <c r="B443" s="18">
        <v>50000.0</v>
      </c>
      <c r="C443" s="19">
        <f>0.0125*B443</f>
        <v>625</v>
      </c>
      <c r="D443" s="20">
        <v>45744.0</v>
      </c>
      <c r="E443" s="17" t="s">
        <v>60</v>
      </c>
      <c r="F443" s="17" t="s">
        <v>12</v>
      </c>
    </row>
    <row r="444">
      <c r="A444" s="17" t="s">
        <v>494</v>
      </c>
      <c r="B444" s="18">
        <v>150000.0</v>
      </c>
      <c r="C444" s="19">
        <f>0.0175*B444</f>
        <v>2625</v>
      </c>
      <c r="D444" s="20">
        <v>45744.0</v>
      </c>
      <c r="E444" s="17" t="s">
        <v>69</v>
      </c>
      <c r="F444" s="17" t="s">
        <v>28</v>
      </c>
      <c r="H444" s="17" t="s">
        <v>13</v>
      </c>
    </row>
    <row r="445">
      <c r="A445" s="17" t="s">
        <v>495</v>
      </c>
      <c r="B445" s="18">
        <v>135000.0</v>
      </c>
      <c r="C445" s="19">
        <f>0.0125*B445</f>
        <v>1687.5</v>
      </c>
      <c r="D445" s="20">
        <v>45744.0</v>
      </c>
      <c r="E445" s="17" t="s">
        <v>15</v>
      </c>
      <c r="F445" s="17" t="s">
        <v>12</v>
      </c>
      <c r="H445" s="17" t="s">
        <v>16</v>
      </c>
      <c r="K445" s="17">
        <v>540.0</v>
      </c>
    </row>
    <row r="446">
      <c r="A446" s="17" t="s">
        <v>383</v>
      </c>
      <c r="B446" s="18">
        <v>50000.0</v>
      </c>
      <c r="C446" s="19">
        <f t="shared" ref="C446:C448" si="108">0.0175*B446</f>
        <v>875</v>
      </c>
      <c r="D446" s="20">
        <v>45744.0</v>
      </c>
      <c r="E446" s="17" t="s">
        <v>15</v>
      </c>
      <c r="F446" s="17" t="s">
        <v>28</v>
      </c>
      <c r="H446" s="17" t="s">
        <v>98</v>
      </c>
      <c r="K446" s="17">
        <v>150.0</v>
      </c>
    </row>
    <row r="447">
      <c r="A447" s="17" t="s">
        <v>496</v>
      </c>
      <c r="B447" s="32">
        <v>30000.0</v>
      </c>
      <c r="C447" s="33">
        <f t="shared" si="108"/>
        <v>525</v>
      </c>
      <c r="D447" s="20">
        <v>45744.0</v>
      </c>
      <c r="E447" s="17" t="s">
        <v>24</v>
      </c>
      <c r="F447" s="17" t="s">
        <v>28</v>
      </c>
      <c r="H447" s="17" t="s">
        <v>497</v>
      </c>
      <c r="I447" s="23" t="s">
        <v>30</v>
      </c>
    </row>
    <row r="448">
      <c r="A448" s="17" t="s">
        <v>498</v>
      </c>
      <c r="B448" s="32">
        <v>150000.0</v>
      </c>
      <c r="C448" s="33">
        <f t="shared" si="108"/>
        <v>2625</v>
      </c>
      <c r="D448" s="20">
        <v>45747.0</v>
      </c>
      <c r="E448" s="17" t="s">
        <v>15</v>
      </c>
      <c r="F448" s="17" t="s">
        <v>41</v>
      </c>
      <c r="H448" s="17" t="s">
        <v>220</v>
      </c>
      <c r="K448" s="17">
        <v>525.0</v>
      </c>
    </row>
    <row r="449">
      <c r="A449" s="17" t="s">
        <v>499</v>
      </c>
      <c r="B449" s="32">
        <v>360000.0</v>
      </c>
      <c r="C449" s="33">
        <f t="shared" ref="C449:C452" si="109">0.0125*B449</f>
        <v>4500</v>
      </c>
      <c r="D449" s="20">
        <v>45747.0</v>
      </c>
      <c r="E449" s="17" t="s">
        <v>40</v>
      </c>
      <c r="F449" s="17" t="s">
        <v>12</v>
      </c>
      <c r="H449" s="17" t="s">
        <v>282</v>
      </c>
      <c r="K449" s="17">
        <v>360.0</v>
      </c>
    </row>
    <row r="450">
      <c r="A450" s="17" t="s">
        <v>500</v>
      </c>
      <c r="B450" s="32">
        <v>55000.0</v>
      </c>
      <c r="C450" s="33">
        <f t="shared" si="109"/>
        <v>687.5</v>
      </c>
      <c r="D450" s="20">
        <v>45747.0</v>
      </c>
      <c r="E450" s="17" t="s">
        <v>15</v>
      </c>
      <c r="F450" s="17" t="s">
        <v>12</v>
      </c>
      <c r="H450" s="17" t="s">
        <v>54</v>
      </c>
      <c r="K450" s="17">
        <v>330.0</v>
      </c>
    </row>
    <row r="451">
      <c r="A451" s="17" t="s">
        <v>501</v>
      </c>
      <c r="B451" s="32">
        <v>37000.0</v>
      </c>
      <c r="C451" s="33">
        <f t="shared" si="109"/>
        <v>462.5</v>
      </c>
      <c r="D451" s="20">
        <v>45747.0</v>
      </c>
      <c r="E451" s="17" t="s">
        <v>11</v>
      </c>
      <c r="F451" s="17" t="s">
        <v>12</v>
      </c>
    </row>
    <row r="452">
      <c r="A452" s="17" t="s">
        <v>502</v>
      </c>
      <c r="B452" s="32">
        <v>245000.0</v>
      </c>
      <c r="C452" s="33">
        <f t="shared" si="109"/>
        <v>3062.5</v>
      </c>
      <c r="D452" s="20">
        <v>45747.0</v>
      </c>
      <c r="E452" s="17" t="s">
        <v>135</v>
      </c>
      <c r="F452" s="17" t="s">
        <v>12</v>
      </c>
      <c r="H452" s="17" t="s">
        <v>22</v>
      </c>
    </row>
    <row r="453">
      <c r="A453" s="17" t="s">
        <v>503</v>
      </c>
      <c r="B453" s="32">
        <v>50000.0</v>
      </c>
      <c r="C453" s="33">
        <f t="shared" ref="C453:C454" si="110">0.0175*B453</f>
        <v>875</v>
      </c>
      <c r="D453" s="20">
        <v>45747.0</v>
      </c>
      <c r="E453" s="17" t="s">
        <v>15</v>
      </c>
      <c r="F453" s="17" t="s">
        <v>28</v>
      </c>
      <c r="H453" s="17" t="s">
        <v>51</v>
      </c>
      <c r="K453" s="17">
        <v>250.0</v>
      </c>
    </row>
    <row r="454">
      <c r="A454" s="17" t="s">
        <v>27</v>
      </c>
      <c r="B454" s="32">
        <v>30000.0</v>
      </c>
      <c r="C454" s="33">
        <f t="shared" si="110"/>
        <v>525</v>
      </c>
      <c r="D454" s="20">
        <v>45747.0</v>
      </c>
      <c r="E454" s="17" t="s">
        <v>15</v>
      </c>
      <c r="F454" s="17" t="s">
        <v>67</v>
      </c>
      <c r="H454" s="17" t="s">
        <v>29</v>
      </c>
      <c r="K454" s="17">
        <v>135.0</v>
      </c>
    </row>
    <row r="455">
      <c r="A455" s="17" t="s">
        <v>504</v>
      </c>
      <c r="B455" s="32">
        <v>150000.0</v>
      </c>
      <c r="C455" s="33">
        <f>0.0125*B455</f>
        <v>1875</v>
      </c>
      <c r="D455" s="20">
        <v>45747.0</v>
      </c>
      <c r="E455" s="17" t="s">
        <v>60</v>
      </c>
      <c r="F455" s="17" t="s">
        <v>12</v>
      </c>
    </row>
    <row r="456">
      <c r="A456" s="17" t="s">
        <v>505</v>
      </c>
      <c r="B456" s="32">
        <v>50000.0</v>
      </c>
      <c r="C456" s="33">
        <f>0.0175*B456</f>
        <v>875</v>
      </c>
      <c r="D456" s="20">
        <v>45747.0</v>
      </c>
      <c r="E456" s="17" t="s">
        <v>11</v>
      </c>
      <c r="F456" s="17" t="s">
        <v>67</v>
      </c>
      <c r="I456" s="23" t="s">
        <v>30</v>
      </c>
    </row>
    <row r="457">
      <c r="A457" s="12">
        <v>45748.0</v>
      </c>
      <c r="B457" s="13">
        <f t="shared" ref="B457:C457" si="111">SUM(B458:B576)</f>
        <v>22214200</v>
      </c>
      <c r="C457" s="13">
        <f t="shared" si="111"/>
        <v>347866</v>
      </c>
      <c r="D457" s="14"/>
      <c r="E457" s="15"/>
      <c r="F457" s="15"/>
      <c r="G457" s="15"/>
      <c r="H457" s="16"/>
      <c r="I457" s="16"/>
      <c r="J457" s="16"/>
      <c r="K457" s="16"/>
      <c r="L457" s="16"/>
    </row>
    <row r="458">
      <c r="A458" s="17" t="s">
        <v>506</v>
      </c>
      <c r="B458" s="32">
        <v>75000.0</v>
      </c>
      <c r="C458" s="33">
        <f t="shared" ref="C458:C461" si="112">0.0175*B458</f>
        <v>1312.5</v>
      </c>
      <c r="D458" s="20">
        <v>45748.0</v>
      </c>
      <c r="E458" s="17" t="s">
        <v>15</v>
      </c>
      <c r="F458" s="17" t="s">
        <v>28</v>
      </c>
      <c r="H458" s="17" t="s">
        <v>54</v>
      </c>
      <c r="K458" s="17">
        <v>450.0</v>
      </c>
      <c r="O458" s="21" t="s">
        <v>13</v>
      </c>
    </row>
    <row r="459">
      <c r="A459" s="17" t="s">
        <v>468</v>
      </c>
      <c r="B459" s="32">
        <v>200000.0</v>
      </c>
      <c r="C459" s="33">
        <f t="shared" si="112"/>
        <v>3500</v>
      </c>
      <c r="D459" s="20">
        <v>45748.0</v>
      </c>
      <c r="E459" s="17" t="s">
        <v>15</v>
      </c>
      <c r="F459" s="17" t="s">
        <v>67</v>
      </c>
      <c r="H459" s="17" t="s">
        <v>98</v>
      </c>
      <c r="K459" s="17">
        <v>600.0</v>
      </c>
      <c r="O459" s="17" t="s">
        <v>17</v>
      </c>
      <c r="P459" s="22">
        <v>11538.46</v>
      </c>
    </row>
    <row r="460">
      <c r="A460" s="17" t="s">
        <v>507</v>
      </c>
      <c r="B460" s="32">
        <v>100000.0</v>
      </c>
      <c r="C460" s="33">
        <f t="shared" si="112"/>
        <v>1750</v>
      </c>
      <c r="D460" s="20">
        <v>45748.0</v>
      </c>
      <c r="E460" s="17" t="s">
        <v>15</v>
      </c>
      <c r="F460" s="17" t="s">
        <v>28</v>
      </c>
      <c r="H460" s="17" t="s">
        <v>16</v>
      </c>
      <c r="I460" s="23" t="s">
        <v>30</v>
      </c>
      <c r="K460" s="17">
        <v>400.0</v>
      </c>
      <c r="O460" s="17" t="s">
        <v>19</v>
      </c>
      <c r="P460" s="22">
        <v>7201.0</v>
      </c>
    </row>
    <row r="461">
      <c r="A461" s="17" t="s">
        <v>508</v>
      </c>
      <c r="B461" s="32">
        <v>50000.0</v>
      </c>
      <c r="C461" s="33">
        <f t="shared" si="112"/>
        <v>875</v>
      </c>
      <c r="D461" s="20">
        <v>45748.0</v>
      </c>
      <c r="E461" s="17" t="s">
        <v>24</v>
      </c>
      <c r="F461" s="17" t="s">
        <v>28</v>
      </c>
      <c r="H461" s="17" t="s">
        <v>497</v>
      </c>
      <c r="O461" s="17" t="s">
        <v>15</v>
      </c>
      <c r="P461" s="22">
        <v>10009.5</v>
      </c>
    </row>
    <row r="462">
      <c r="A462" s="17" t="s">
        <v>509</v>
      </c>
      <c r="B462" s="32">
        <v>75000.0</v>
      </c>
      <c r="C462" s="33">
        <f t="shared" ref="C462:C464" si="113">0.0125*B462</f>
        <v>937.5</v>
      </c>
      <c r="D462" s="20">
        <v>45749.0</v>
      </c>
      <c r="E462" s="17" t="s">
        <v>11</v>
      </c>
      <c r="F462" s="17" t="s">
        <v>12</v>
      </c>
      <c r="O462" s="17" t="s">
        <v>26</v>
      </c>
      <c r="P462" s="22">
        <v>37550.0</v>
      </c>
    </row>
    <row r="463">
      <c r="A463" s="17" t="s">
        <v>510</v>
      </c>
      <c r="B463" s="32">
        <v>100000.0</v>
      </c>
      <c r="C463" s="33">
        <f t="shared" si="113"/>
        <v>1250</v>
      </c>
      <c r="D463" s="20">
        <v>45749.0</v>
      </c>
      <c r="E463" s="17" t="s">
        <v>24</v>
      </c>
      <c r="F463" s="17" t="s">
        <v>12</v>
      </c>
      <c r="H463" s="17" t="s">
        <v>497</v>
      </c>
      <c r="O463" s="17" t="s">
        <v>31</v>
      </c>
      <c r="P463" s="24">
        <v>2424.5</v>
      </c>
    </row>
    <row r="464">
      <c r="A464" s="17" t="s">
        <v>511</v>
      </c>
      <c r="B464" s="32">
        <v>825000.0</v>
      </c>
      <c r="C464" s="33">
        <f t="shared" si="113"/>
        <v>10312.5</v>
      </c>
      <c r="D464" s="20">
        <v>45749.0</v>
      </c>
      <c r="E464" s="17" t="s">
        <v>11</v>
      </c>
      <c r="F464" s="17" t="s">
        <v>12</v>
      </c>
      <c r="O464" s="17" t="s">
        <v>242</v>
      </c>
      <c r="P464" s="24">
        <v>601.9</v>
      </c>
    </row>
    <row r="465">
      <c r="A465" s="17" t="s">
        <v>512</v>
      </c>
      <c r="B465" s="32">
        <v>45000.0</v>
      </c>
      <c r="C465" s="33">
        <f t="shared" ref="C465:C470" si="114">0.0175*B465</f>
        <v>787.5</v>
      </c>
      <c r="D465" s="20">
        <v>45749.0</v>
      </c>
      <c r="E465" s="17" t="s">
        <v>15</v>
      </c>
      <c r="F465" s="17" t="s">
        <v>28</v>
      </c>
      <c r="H465" s="17" t="s">
        <v>149</v>
      </c>
      <c r="I465" s="23" t="s">
        <v>30</v>
      </c>
      <c r="K465" s="17">
        <v>112.5</v>
      </c>
      <c r="P465" s="17">
        <v>-510.0</v>
      </c>
    </row>
    <row r="466">
      <c r="A466" s="17" t="s">
        <v>513</v>
      </c>
      <c r="B466" s="32">
        <v>350000.0</v>
      </c>
      <c r="C466" s="33">
        <f t="shared" si="114"/>
        <v>6125</v>
      </c>
      <c r="D466" s="20">
        <v>45749.0</v>
      </c>
      <c r="E466" s="17" t="s">
        <v>15</v>
      </c>
      <c r="F466" s="17" t="s">
        <v>28</v>
      </c>
      <c r="H466" s="17" t="s">
        <v>51</v>
      </c>
      <c r="I466" s="23" t="s">
        <v>30</v>
      </c>
      <c r="K466" s="17">
        <v>1750.0</v>
      </c>
      <c r="O466" s="21" t="s">
        <v>245</v>
      </c>
    </row>
    <row r="467">
      <c r="A467" s="17" t="s">
        <v>514</v>
      </c>
      <c r="B467" s="32">
        <v>100000.0</v>
      </c>
      <c r="C467" s="33">
        <f t="shared" si="114"/>
        <v>1750</v>
      </c>
      <c r="D467" s="20">
        <v>45749.0</v>
      </c>
      <c r="E467" s="17" t="s">
        <v>15</v>
      </c>
      <c r="F467" s="17" t="s">
        <v>28</v>
      </c>
      <c r="H467" s="17" t="s">
        <v>51</v>
      </c>
      <c r="I467" s="23" t="s">
        <v>30</v>
      </c>
      <c r="K467" s="17">
        <v>500.0</v>
      </c>
      <c r="O467" s="17" t="s">
        <v>17</v>
      </c>
      <c r="P467" s="17">
        <v>11538.46</v>
      </c>
    </row>
    <row r="468">
      <c r="A468" s="17" t="s">
        <v>515</v>
      </c>
      <c r="B468" s="32">
        <v>500000.0</v>
      </c>
      <c r="C468" s="33">
        <f t="shared" si="114"/>
        <v>8750</v>
      </c>
      <c r="D468" s="20">
        <v>45750.0</v>
      </c>
      <c r="E468" s="17" t="s">
        <v>118</v>
      </c>
      <c r="F468" s="17" t="s">
        <v>28</v>
      </c>
      <c r="H468" s="17" t="s">
        <v>13</v>
      </c>
      <c r="I468" s="23" t="s">
        <v>30</v>
      </c>
      <c r="O468" s="17" t="s">
        <v>15</v>
      </c>
      <c r="P468" s="22">
        <v>17206.9</v>
      </c>
    </row>
    <row r="469">
      <c r="A469" s="17" t="s">
        <v>516</v>
      </c>
      <c r="B469" s="32">
        <v>75000.0</v>
      </c>
      <c r="C469" s="33">
        <f t="shared" si="114"/>
        <v>1312.5</v>
      </c>
      <c r="D469" s="20">
        <v>45750.0</v>
      </c>
      <c r="E469" s="17" t="s">
        <v>60</v>
      </c>
      <c r="F469" s="17" t="s">
        <v>28</v>
      </c>
      <c r="I469" s="23" t="s">
        <v>30</v>
      </c>
      <c r="O469" s="17" t="s">
        <v>517</v>
      </c>
      <c r="P469" s="17">
        <v>-510.0</v>
      </c>
    </row>
    <row r="470">
      <c r="A470" s="17" t="s">
        <v>518</v>
      </c>
      <c r="B470" s="32">
        <v>500000.0</v>
      </c>
      <c r="C470" s="33">
        <f t="shared" si="114"/>
        <v>8750</v>
      </c>
      <c r="D470" s="20">
        <v>45750.0</v>
      </c>
      <c r="E470" s="17" t="s">
        <v>376</v>
      </c>
      <c r="F470" s="17" t="s">
        <v>28</v>
      </c>
      <c r="H470" s="17" t="s">
        <v>13</v>
      </c>
      <c r="I470" s="23" t="s">
        <v>30</v>
      </c>
    </row>
    <row r="471">
      <c r="A471" s="17" t="s">
        <v>519</v>
      </c>
      <c r="B471" s="32">
        <v>15000.0</v>
      </c>
      <c r="C471" s="33">
        <f t="shared" ref="C471:C472" si="115">0.0125*B471</f>
        <v>187.5</v>
      </c>
      <c r="D471" s="20">
        <v>45751.0</v>
      </c>
      <c r="E471" s="17" t="s">
        <v>15</v>
      </c>
      <c r="F471" s="17" t="s">
        <v>144</v>
      </c>
      <c r="H471" s="17" t="s">
        <v>51</v>
      </c>
      <c r="K471" s="17">
        <v>75.0</v>
      </c>
    </row>
    <row r="472">
      <c r="A472" s="17" t="s">
        <v>104</v>
      </c>
      <c r="B472" s="32">
        <v>145000.0</v>
      </c>
      <c r="C472" s="33">
        <f t="shared" si="115"/>
        <v>1812.5</v>
      </c>
      <c r="D472" s="20">
        <v>45751.0</v>
      </c>
      <c r="E472" s="17" t="s">
        <v>69</v>
      </c>
      <c r="F472" s="17" t="s">
        <v>12</v>
      </c>
      <c r="H472" s="17" t="s">
        <v>22</v>
      </c>
    </row>
    <row r="473">
      <c r="A473" s="17" t="s">
        <v>520</v>
      </c>
      <c r="B473" s="32">
        <v>100000.0</v>
      </c>
      <c r="C473" s="33">
        <f t="shared" ref="C473:C478" si="116">0.0175*B473</f>
        <v>1750</v>
      </c>
      <c r="D473" s="20">
        <v>45751.0</v>
      </c>
      <c r="E473" s="17" t="s">
        <v>15</v>
      </c>
      <c r="F473" s="17" t="s">
        <v>41</v>
      </c>
      <c r="H473" s="17" t="s">
        <v>282</v>
      </c>
      <c r="I473" s="23" t="s">
        <v>30</v>
      </c>
      <c r="K473" s="17">
        <v>100.0</v>
      </c>
    </row>
    <row r="474">
      <c r="A474" s="17" t="s">
        <v>521</v>
      </c>
      <c r="B474" s="32">
        <v>150000.0</v>
      </c>
      <c r="C474" s="33">
        <f t="shared" si="116"/>
        <v>2625</v>
      </c>
      <c r="D474" s="20">
        <v>45751.0</v>
      </c>
      <c r="E474" s="17" t="s">
        <v>118</v>
      </c>
      <c r="F474" s="17" t="s">
        <v>28</v>
      </c>
      <c r="H474" s="17" t="s">
        <v>13</v>
      </c>
      <c r="I474" s="23" t="s">
        <v>30</v>
      </c>
    </row>
    <row r="475">
      <c r="A475" s="17" t="s">
        <v>522</v>
      </c>
      <c r="B475" s="32">
        <v>90000.0</v>
      </c>
      <c r="C475" s="33">
        <f t="shared" si="116"/>
        <v>1575</v>
      </c>
      <c r="D475" s="20">
        <v>45751.0</v>
      </c>
      <c r="E475" s="17" t="s">
        <v>24</v>
      </c>
      <c r="F475" s="17" t="s">
        <v>28</v>
      </c>
      <c r="H475" s="17" t="s">
        <v>497</v>
      </c>
      <c r="I475" s="23" t="s">
        <v>30</v>
      </c>
    </row>
    <row r="476">
      <c r="A476" s="17" t="s">
        <v>459</v>
      </c>
      <c r="B476" s="32">
        <v>150000.0</v>
      </c>
      <c r="C476" s="33">
        <f t="shared" si="116"/>
        <v>2625</v>
      </c>
      <c r="D476" s="20">
        <v>45751.0</v>
      </c>
      <c r="E476" s="17" t="s">
        <v>60</v>
      </c>
      <c r="F476" s="17" t="s">
        <v>67</v>
      </c>
      <c r="I476" s="23" t="s">
        <v>30</v>
      </c>
    </row>
    <row r="477">
      <c r="A477" s="17" t="s">
        <v>523</v>
      </c>
      <c r="B477" s="32">
        <v>70000.0</v>
      </c>
      <c r="C477" s="33">
        <f t="shared" si="116"/>
        <v>1225</v>
      </c>
      <c r="D477" s="20">
        <v>45754.0</v>
      </c>
      <c r="E477" s="17" t="s">
        <v>11</v>
      </c>
      <c r="F477" s="17" t="s">
        <v>28</v>
      </c>
      <c r="I477" s="23" t="s">
        <v>30</v>
      </c>
    </row>
    <row r="478">
      <c r="A478" s="17" t="s">
        <v>430</v>
      </c>
      <c r="B478" s="32">
        <v>50000.0</v>
      </c>
      <c r="C478" s="33">
        <f t="shared" si="116"/>
        <v>875</v>
      </c>
      <c r="D478" s="20">
        <v>45754.0</v>
      </c>
      <c r="E478" s="17" t="s">
        <v>15</v>
      </c>
      <c r="F478" s="17" t="s">
        <v>347</v>
      </c>
      <c r="H478" s="17" t="s">
        <v>149</v>
      </c>
      <c r="I478" s="23" t="s">
        <v>30</v>
      </c>
      <c r="K478" s="17">
        <v>125.0</v>
      </c>
    </row>
    <row r="479">
      <c r="A479" s="17" t="s">
        <v>524</v>
      </c>
      <c r="B479" s="32">
        <v>60000.0</v>
      </c>
      <c r="C479" s="33">
        <f>0.0125*B479</f>
        <v>750</v>
      </c>
      <c r="D479" s="20">
        <v>45754.0</v>
      </c>
      <c r="E479" s="17" t="s">
        <v>73</v>
      </c>
      <c r="F479" s="17" t="s">
        <v>12</v>
      </c>
    </row>
    <row r="480">
      <c r="A480" s="17" t="s">
        <v>525</v>
      </c>
      <c r="B480" s="32">
        <v>70000.0</v>
      </c>
      <c r="C480" s="33">
        <f t="shared" ref="C480:C482" si="117">0.0175*B480</f>
        <v>1225</v>
      </c>
      <c r="D480" s="20">
        <v>45754.0</v>
      </c>
      <c r="E480" s="17" t="s">
        <v>60</v>
      </c>
      <c r="F480" s="17" t="s">
        <v>28</v>
      </c>
      <c r="I480" s="23" t="s">
        <v>30</v>
      </c>
    </row>
    <row r="481">
      <c r="A481" s="17" t="s">
        <v>526</v>
      </c>
      <c r="B481" s="32">
        <v>80000.0</v>
      </c>
      <c r="C481" s="33">
        <f t="shared" si="117"/>
        <v>1400</v>
      </c>
      <c r="D481" s="20">
        <v>45755.0</v>
      </c>
      <c r="E481" s="17" t="s">
        <v>60</v>
      </c>
      <c r="F481" s="17" t="s">
        <v>347</v>
      </c>
      <c r="I481" s="23" t="s">
        <v>30</v>
      </c>
    </row>
    <row r="482">
      <c r="A482" s="17" t="s">
        <v>527</v>
      </c>
      <c r="B482" s="32">
        <v>100000.0</v>
      </c>
      <c r="C482" s="33">
        <f t="shared" si="117"/>
        <v>1750</v>
      </c>
      <c r="D482" s="20">
        <v>45755.0</v>
      </c>
      <c r="E482" s="17" t="s">
        <v>11</v>
      </c>
      <c r="F482" s="17" t="s">
        <v>28</v>
      </c>
      <c r="I482" s="23" t="s">
        <v>30</v>
      </c>
    </row>
    <row r="483">
      <c r="A483" s="17" t="s">
        <v>528</v>
      </c>
      <c r="B483" s="32">
        <v>25000.0</v>
      </c>
      <c r="C483" s="33">
        <f>0.0125*B483</f>
        <v>312.5</v>
      </c>
      <c r="D483" s="20">
        <v>45755.0</v>
      </c>
      <c r="E483" s="17" t="s">
        <v>11</v>
      </c>
      <c r="F483" s="17" t="s">
        <v>12</v>
      </c>
    </row>
    <row r="484">
      <c r="A484" s="17" t="s">
        <v>529</v>
      </c>
      <c r="B484" s="32">
        <v>50000.0</v>
      </c>
      <c r="C484" s="33">
        <f>0.0175*B484</f>
        <v>875</v>
      </c>
      <c r="D484" s="20">
        <v>45756.0</v>
      </c>
      <c r="E484" s="17" t="s">
        <v>11</v>
      </c>
      <c r="F484" s="17" t="s">
        <v>28</v>
      </c>
      <c r="I484" s="23" t="s">
        <v>30</v>
      </c>
    </row>
    <row r="485">
      <c r="A485" s="17" t="s">
        <v>530</v>
      </c>
      <c r="B485" s="32">
        <v>300000.0</v>
      </c>
      <c r="C485" s="33">
        <f>0.0125*B485</f>
        <v>3750</v>
      </c>
      <c r="D485" s="20">
        <v>45756.0</v>
      </c>
      <c r="E485" s="17" t="s">
        <v>60</v>
      </c>
      <c r="F485" s="17" t="s">
        <v>12</v>
      </c>
    </row>
    <row r="486">
      <c r="A486" s="17" t="s">
        <v>531</v>
      </c>
      <c r="B486" s="32">
        <v>1500000.0</v>
      </c>
      <c r="C486" s="33">
        <f>0.0175*B486</f>
        <v>26250</v>
      </c>
      <c r="D486" s="20">
        <v>45756.0</v>
      </c>
      <c r="E486" s="17" t="s">
        <v>11</v>
      </c>
      <c r="F486" s="17" t="s">
        <v>28</v>
      </c>
      <c r="I486" s="23" t="s">
        <v>30</v>
      </c>
    </row>
    <row r="487">
      <c r="A487" s="17" t="s">
        <v>532</v>
      </c>
      <c r="B487" s="32">
        <v>75000.0</v>
      </c>
      <c r="C487" s="33">
        <f t="shared" ref="C487:C490" si="118">0.0125*B487</f>
        <v>937.5</v>
      </c>
      <c r="D487" s="20">
        <v>45618.0</v>
      </c>
      <c r="E487" s="17" t="s">
        <v>75</v>
      </c>
      <c r="F487" s="17" t="s">
        <v>12</v>
      </c>
      <c r="H487" s="17" t="s">
        <v>533</v>
      </c>
    </row>
    <row r="488">
      <c r="A488" s="17" t="s">
        <v>534</v>
      </c>
      <c r="B488" s="32">
        <v>120000.0</v>
      </c>
      <c r="C488" s="33">
        <f t="shared" si="118"/>
        <v>1500</v>
      </c>
      <c r="D488" s="20">
        <v>45329.0</v>
      </c>
      <c r="E488" s="17" t="s">
        <v>75</v>
      </c>
      <c r="F488" s="17" t="s">
        <v>12</v>
      </c>
      <c r="H488" s="17" t="s">
        <v>533</v>
      </c>
    </row>
    <row r="489">
      <c r="A489" s="17" t="s">
        <v>535</v>
      </c>
      <c r="B489" s="32">
        <v>107500.0</v>
      </c>
      <c r="C489" s="33">
        <f t="shared" si="118"/>
        <v>1343.75</v>
      </c>
      <c r="D489" s="34">
        <v>45608.0</v>
      </c>
      <c r="E489" s="17" t="s">
        <v>75</v>
      </c>
      <c r="F489" s="17" t="s">
        <v>12</v>
      </c>
      <c r="H489" s="17" t="s">
        <v>533</v>
      </c>
    </row>
    <row r="490">
      <c r="A490" s="17" t="s">
        <v>536</v>
      </c>
      <c r="B490" s="32">
        <v>160000.0</v>
      </c>
      <c r="C490" s="33">
        <f t="shared" si="118"/>
        <v>2000</v>
      </c>
      <c r="D490" s="20">
        <v>45756.0</v>
      </c>
      <c r="E490" s="17" t="s">
        <v>75</v>
      </c>
      <c r="F490" s="17" t="s">
        <v>12</v>
      </c>
    </row>
    <row r="491">
      <c r="A491" s="17" t="s">
        <v>537</v>
      </c>
      <c r="B491" s="32">
        <v>300000.0</v>
      </c>
      <c r="C491" s="33">
        <f t="shared" ref="C491:C495" si="119">0.0175*B491</f>
        <v>5250</v>
      </c>
      <c r="D491" s="20">
        <v>45756.0</v>
      </c>
      <c r="E491" s="17" t="s">
        <v>60</v>
      </c>
      <c r="F491" s="17" t="s">
        <v>28</v>
      </c>
      <c r="I491" s="23" t="s">
        <v>30</v>
      </c>
    </row>
    <row r="492">
      <c r="A492" s="17" t="s">
        <v>538</v>
      </c>
      <c r="B492" s="32">
        <v>45000.0</v>
      </c>
      <c r="C492" s="33">
        <f t="shared" si="119"/>
        <v>787.5</v>
      </c>
      <c r="D492" s="20">
        <v>45756.0</v>
      </c>
      <c r="E492" s="17" t="s">
        <v>15</v>
      </c>
      <c r="F492" s="17" t="s">
        <v>28</v>
      </c>
      <c r="H492" s="17" t="s">
        <v>149</v>
      </c>
      <c r="I492" s="23" t="s">
        <v>30</v>
      </c>
      <c r="K492" s="17">
        <v>112.5</v>
      </c>
    </row>
    <row r="493">
      <c r="A493" s="17" t="s">
        <v>539</v>
      </c>
      <c r="B493" s="32">
        <v>100000.0</v>
      </c>
      <c r="C493" s="33">
        <f t="shared" si="119"/>
        <v>1750</v>
      </c>
      <c r="D493" s="20">
        <v>45757.0</v>
      </c>
      <c r="E493" s="17" t="s">
        <v>60</v>
      </c>
      <c r="F493" s="17" t="s">
        <v>28</v>
      </c>
      <c r="I493" s="23" t="s">
        <v>30</v>
      </c>
    </row>
    <row r="494">
      <c r="A494" s="17" t="s">
        <v>540</v>
      </c>
      <c r="B494" s="32">
        <v>200000.0</v>
      </c>
      <c r="C494" s="33">
        <f t="shared" si="119"/>
        <v>3500</v>
      </c>
      <c r="D494" s="20">
        <v>45757.0</v>
      </c>
      <c r="E494" s="17" t="s">
        <v>118</v>
      </c>
      <c r="F494" s="17" t="s">
        <v>28</v>
      </c>
      <c r="H494" s="17" t="s">
        <v>13</v>
      </c>
      <c r="I494" s="23" t="s">
        <v>30</v>
      </c>
    </row>
    <row r="495">
      <c r="A495" s="17" t="s">
        <v>541</v>
      </c>
      <c r="B495" s="32">
        <v>125000.0</v>
      </c>
      <c r="C495" s="33">
        <f t="shared" si="119"/>
        <v>2187.5</v>
      </c>
      <c r="D495" s="20">
        <v>45757.0</v>
      </c>
      <c r="E495" s="17" t="s">
        <v>11</v>
      </c>
      <c r="F495" s="17" t="s">
        <v>28</v>
      </c>
      <c r="I495" s="23" t="s">
        <v>30</v>
      </c>
    </row>
    <row r="496">
      <c r="A496" s="17" t="s">
        <v>542</v>
      </c>
      <c r="B496" s="32">
        <v>180000.0</v>
      </c>
      <c r="C496" s="33">
        <f t="shared" ref="C496:C497" si="120">0.0125*B496</f>
        <v>2250</v>
      </c>
      <c r="D496" s="20">
        <v>45757.0</v>
      </c>
      <c r="E496" s="17" t="s">
        <v>11</v>
      </c>
      <c r="F496" s="17" t="s">
        <v>12</v>
      </c>
    </row>
    <row r="497">
      <c r="A497" s="17" t="s">
        <v>543</v>
      </c>
      <c r="B497" s="32">
        <v>120000.0</v>
      </c>
      <c r="C497" s="33">
        <f t="shared" si="120"/>
        <v>1500</v>
      </c>
      <c r="D497" s="20">
        <v>45757.0</v>
      </c>
      <c r="E497" s="17" t="s">
        <v>73</v>
      </c>
      <c r="F497" s="17" t="s">
        <v>12</v>
      </c>
    </row>
    <row r="498">
      <c r="A498" s="17" t="s">
        <v>544</v>
      </c>
      <c r="B498" s="32">
        <v>100000.0</v>
      </c>
      <c r="C498" s="33">
        <f t="shared" ref="C498:C499" si="121">0.0175*B498</f>
        <v>1750</v>
      </c>
      <c r="D498" s="20">
        <v>45757.0</v>
      </c>
      <c r="E498" s="17" t="s">
        <v>11</v>
      </c>
      <c r="F498" s="17" t="s">
        <v>28</v>
      </c>
      <c r="I498" s="23" t="s">
        <v>30</v>
      </c>
    </row>
    <row r="499">
      <c r="A499" s="17" t="s">
        <v>496</v>
      </c>
      <c r="B499" s="32">
        <v>37000.0</v>
      </c>
      <c r="C499" s="33">
        <f t="shared" si="121"/>
        <v>647.5</v>
      </c>
      <c r="D499" s="20">
        <v>45757.0</v>
      </c>
      <c r="E499" s="17" t="s">
        <v>24</v>
      </c>
      <c r="F499" s="17" t="s">
        <v>67</v>
      </c>
      <c r="I499" s="23" t="s">
        <v>30</v>
      </c>
    </row>
    <row r="500">
      <c r="A500" s="17" t="s">
        <v>545</v>
      </c>
      <c r="B500" s="32">
        <v>180000.0</v>
      </c>
      <c r="C500" s="33">
        <f>0.0125*B500</f>
        <v>2250</v>
      </c>
      <c r="D500" s="20">
        <v>45757.0</v>
      </c>
      <c r="E500" s="17" t="s">
        <v>15</v>
      </c>
      <c r="F500" s="17" t="s">
        <v>12</v>
      </c>
      <c r="H500" s="17" t="s">
        <v>54</v>
      </c>
      <c r="K500" s="17">
        <v>1080.0</v>
      </c>
    </row>
    <row r="501">
      <c r="A501" s="17" t="s">
        <v>546</v>
      </c>
      <c r="B501" s="32">
        <v>200000.0</v>
      </c>
      <c r="C501" s="33">
        <f t="shared" ref="C501:C504" si="122">0.0175*B501</f>
        <v>3500</v>
      </c>
      <c r="D501" s="20">
        <v>45757.0</v>
      </c>
      <c r="E501" s="17" t="s">
        <v>11</v>
      </c>
      <c r="F501" s="17" t="s">
        <v>28</v>
      </c>
      <c r="I501" s="23" t="s">
        <v>30</v>
      </c>
    </row>
    <row r="502">
      <c r="A502" s="17" t="s">
        <v>547</v>
      </c>
      <c r="B502" s="32">
        <v>218000.0</v>
      </c>
      <c r="C502" s="33">
        <f t="shared" si="122"/>
        <v>3815</v>
      </c>
      <c r="D502" s="20">
        <v>45758.0</v>
      </c>
      <c r="E502" s="17" t="s">
        <v>60</v>
      </c>
      <c r="F502" s="17" t="s">
        <v>28</v>
      </c>
      <c r="I502" s="23" t="s">
        <v>30</v>
      </c>
    </row>
    <row r="503">
      <c r="A503" s="17" t="s">
        <v>548</v>
      </c>
      <c r="B503" s="32">
        <v>30000.0</v>
      </c>
      <c r="C503" s="33">
        <f t="shared" si="122"/>
        <v>525</v>
      </c>
      <c r="D503" s="20">
        <v>45758.0</v>
      </c>
      <c r="E503" s="17" t="s">
        <v>11</v>
      </c>
      <c r="F503" s="17" t="s">
        <v>28</v>
      </c>
      <c r="I503" s="23" t="s">
        <v>30</v>
      </c>
    </row>
    <row r="504">
      <c r="A504" s="17" t="s">
        <v>549</v>
      </c>
      <c r="B504" s="32">
        <v>300000.0</v>
      </c>
      <c r="C504" s="33">
        <f t="shared" si="122"/>
        <v>5250</v>
      </c>
      <c r="D504" s="20">
        <v>45758.0</v>
      </c>
      <c r="E504" s="17" t="s">
        <v>118</v>
      </c>
      <c r="F504" s="17" t="s">
        <v>28</v>
      </c>
      <c r="H504" s="17" t="s">
        <v>13</v>
      </c>
      <c r="I504" s="23" t="s">
        <v>30</v>
      </c>
    </row>
    <row r="505">
      <c r="A505" s="17" t="s">
        <v>550</v>
      </c>
      <c r="B505" s="18">
        <v>185000.0</v>
      </c>
      <c r="C505" s="19">
        <f t="shared" ref="C505:C506" si="123">0.0125*B505</f>
        <v>2312.5</v>
      </c>
      <c r="D505" s="20">
        <v>45758.0</v>
      </c>
      <c r="E505" s="17" t="s">
        <v>11</v>
      </c>
      <c r="F505" s="17" t="s">
        <v>12</v>
      </c>
    </row>
    <row r="506">
      <c r="A506" s="17" t="s">
        <v>551</v>
      </c>
      <c r="B506" s="18">
        <v>380000.0</v>
      </c>
      <c r="C506" s="19">
        <f t="shared" si="123"/>
        <v>4750</v>
      </c>
      <c r="D506" s="20">
        <v>45758.0</v>
      </c>
      <c r="E506" s="17" t="s">
        <v>11</v>
      </c>
      <c r="F506" s="17" t="s">
        <v>12</v>
      </c>
    </row>
    <row r="507">
      <c r="A507" s="17" t="s">
        <v>552</v>
      </c>
      <c r="B507" s="18">
        <v>15000.0</v>
      </c>
      <c r="C507" s="19">
        <f>0.0175*B507</f>
        <v>262.5</v>
      </c>
      <c r="D507" s="20">
        <v>45758.0</v>
      </c>
      <c r="E507" s="17" t="s">
        <v>15</v>
      </c>
      <c r="F507" s="17" t="s">
        <v>28</v>
      </c>
      <c r="H507" s="17" t="s">
        <v>16</v>
      </c>
      <c r="K507" s="17">
        <v>60.0</v>
      </c>
    </row>
    <row r="508">
      <c r="A508" s="17" t="s">
        <v>553</v>
      </c>
      <c r="B508" s="18">
        <v>160000.0</v>
      </c>
      <c r="C508" s="19">
        <f>0.0125*B508</f>
        <v>2000</v>
      </c>
      <c r="D508" s="20">
        <v>45758.0</v>
      </c>
      <c r="E508" s="17" t="s">
        <v>554</v>
      </c>
      <c r="F508" s="17" t="s">
        <v>12</v>
      </c>
    </row>
    <row r="509">
      <c r="A509" s="17" t="s">
        <v>555</v>
      </c>
      <c r="B509" s="18">
        <v>45000.0</v>
      </c>
      <c r="C509" s="19">
        <f t="shared" ref="C509:C510" si="124">0.0175*B509</f>
        <v>787.5</v>
      </c>
      <c r="D509" s="20">
        <v>45758.0</v>
      </c>
      <c r="E509" s="17" t="s">
        <v>15</v>
      </c>
      <c r="F509" s="17" t="s">
        <v>28</v>
      </c>
      <c r="H509" s="17" t="s">
        <v>54</v>
      </c>
      <c r="I509" s="23" t="s">
        <v>30</v>
      </c>
      <c r="K509" s="17">
        <v>270.0</v>
      </c>
    </row>
    <row r="510">
      <c r="A510" s="17" t="s">
        <v>556</v>
      </c>
      <c r="B510" s="18">
        <v>250000.0</v>
      </c>
      <c r="C510" s="19">
        <f t="shared" si="124"/>
        <v>4375</v>
      </c>
      <c r="D510" s="20">
        <v>45758.0</v>
      </c>
      <c r="E510" s="17" t="s">
        <v>461</v>
      </c>
      <c r="F510" s="17" t="s">
        <v>28</v>
      </c>
      <c r="H510" s="17" t="s">
        <v>13</v>
      </c>
      <c r="I510" s="23" t="s">
        <v>30</v>
      </c>
    </row>
    <row r="511">
      <c r="A511" s="17" t="s">
        <v>38</v>
      </c>
      <c r="B511" s="18">
        <v>60000.0</v>
      </c>
      <c r="C511" s="19">
        <f t="shared" ref="C511:C512" si="125">0.0125*B511</f>
        <v>750</v>
      </c>
      <c r="D511" s="20">
        <v>45761.0</v>
      </c>
      <c r="E511" s="17" t="s">
        <v>21</v>
      </c>
      <c r="F511" s="17" t="s">
        <v>12</v>
      </c>
      <c r="H511" s="17" t="s">
        <v>22</v>
      </c>
    </row>
    <row r="512">
      <c r="A512" s="17" t="s">
        <v>557</v>
      </c>
      <c r="B512" s="18">
        <v>105000.0</v>
      </c>
      <c r="C512" s="19">
        <f t="shared" si="125"/>
        <v>1312.5</v>
      </c>
      <c r="D512" s="20">
        <v>45761.0</v>
      </c>
      <c r="E512" s="17" t="s">
        <v>15</v>
      </c>
      <c r="F512" s="17" t="s">
        <v>12</v>
      </c>
      <c r="H512" s="17" t="s">
        <v>98</v>
      </c>
      <c r="K512" s="17">
        <v>315.0</v>
      </c>
    </row>
    <row r="513">
      <c r="A513" s="17" t="s">
        <v>558</v>
      </c>
      <c r="B513" s="18">
        <v>750000.0</v>
      </c>
      <c r="C513" s="19">
        <f t="shared" ref="C513:C514" si="126">0.0175*B513</f>
        <v>13125</v>
      </c>
      <c r="D513" s="20">
        <v>45762.0</v>
      </c>
      <c r="E513" s="17" t="s">
        <v>11</v>
      </c>
      <c r="F513" s="17" t="s">
        <v>28</v>
      </c>
      <c r="I513" s="23" t="s">
        <v>30</v>
      </c>
    </row>
    <row r="514">
      <c r="A514" s="17" t="s">
        <v>559</v>
      </c>
      <c r="B514" s="18">
        <v>7000.0</v>
      </c>
      <c r="C514" s="19">
        <f t="shared" si="126"/>
        <v>122.5</v>
      </c>
      <c r="D514" s="20">
        <v>45762.0</v>
      </c>
      <c r="E514" s="17" t="s">
        <v>15</v>
      </c>
      <c r="F514" s="17" t="s">
        <v>28</v>
      </c>
      <c r="H514" s="17" t="s">
        <v>54</v>
      </c>
      <c r="K514" s="17">
        <v>42.0</v>
      </c>
    </row>
    <row r="515">
      <c r="A515" s="17" t="s">
        <v>391</v>
      </c>
      <c r="B515" s="18">
        <v>175000.0</v>
      </c>
      <c r="C515" s="19">
        <f t="shared" ref="C515:C516" si="127">0.0125*B515</f>
        <v>2187.5</v>
      </c>
      <c r="D515" s="20">
        <v>45762.0</v>
      </c>
      <c r="E515" s="17" t="s">
        <v>11</v>
      </c>
      <c r="F515" s="17" t="s">
        <v>12</v>
      </c>
    </row>
    <row r="516">
      <c r="A516" s="17" t="s">
        <v>560</v>
      </c>
      <c r="B516" s="18">
        <v>95000.0</v>
      </c>
      <c r="C516" s="19">
        <f t="shared" si="127"/>
        <v>1187.5</v>
      </c>
      <c r="D516" s="20">
        <v>45763.0</v>
      </c>
      <c r="E516" s="17" t="s">
        <v>15</v>
      </c>
      <c r="F516" s="17" t="s">
        <v>12</v>
      </c>
      <c r="H516" s="17" t="s">
        <v>54</v>
      </c>
      <c r="K516" s="17">
        <v>570.0</v>
      </c>
    </row>
    <row r="517">
      <c r="A517" s="17" t="s">
        <v>539</v>
      </c>
      <c r="B517" s="18">
        <v>175000.0</v>
      </c>
      <c r="C517" s="19">
        <f t="shared" ref="C517:C519" si="128">0.0175*B517</f>
        <v>3062.5</v>
      </c>
      <c r="D517" s="20">
        <v>45763.0</v>
      </c>
      <c r="E517" s="17" t="s">
        <v>60</v>
      </c>
      <c r="F517" s="17" t="s">
        <v>67</v>
      </c>
      <c r="I517" s="23" t="s">
        <v>30</v>
      </c>
    </row>
    <row r="518">
      <c r="A518" s="17" t="s">
        <v>523</v>
      </c>
      <c r="B518" s="32">
        <v>85000.0</v>
      </c>
      <c r="C518" s="33">
        <f t="shared" si="128"/>
        <v>1487.5</v>
      </c>
      <c r="D518" s="20">
        <v>45763.0</v>
      </c>
      <c r="E518" s="17" t="s">
        <v>11</v>
      </c>
      <c r="F518" s="17" t="s">
        <v>67</v>
      </c>
      <c r="I518" s="23" t="s">
        <v>30</v>
      </c>
    </row>
    <row r="519">
      <c r="A519" s="17" t="s">
        <v>561</v>
      </c>
      <c r="B519" s="32">
        <v>35000.0</v>
      </c>
      <c r="C519" s="33">
        <f t="shared" si="128"/>
        <v>612.5</v>
      </c>
      <c r="D519" s="20">
        <v>45763.0</v>
      </c>
      <c r="E519" s="17" t="s">
        <v>11</v>
      </c>
      <c r="F519" s="17" t="s">
        <v>28</v>
      </c>
      <c r="I519" s="23" t="s">
        <v>30</v>
      </c>
    </row>
    <row r="520">
      <c r="A520" s="17" t="s">
        <v>562</v>
      </c>
      <c r="B520" s="32">
        <v>80000.0</v>
      </c>
      <c r="C520" s="33">
        <f>0.0125*B520</f>
        <v>1000</v>
      </c>
      <c r="D520" s="20">
        <v>45763.0</v>
      </c>
      <c r="E520" s="17" t="s">
        <v>461</v>
      </c>
      <c r="F520" s="17" t="s">
        <v>12</v>
      </c>
    </row>
    <row r="521">
      <c r="A521" s="17" t="s">
        <v>563</v>
      </c>
      <c r="B521" s="32">
        <v>80000.0</v>
      </c>
      <c r="C521" s="33">
        <f>0.0175*B521</f>
        <v>1400</v>
      </c>
      <c r="D521" s="20">
        <v>45763.0</v>
      </c>
      <c r="E521" s="17" t="s">
        <v>11</v>
      </c>
      <c r="F521" s="17" t="s">
        <v>41</v>
      </c>
    </row>
    <row r="522">
      <c r="A522" s="17" t="s">
        <v>564</v>
      </c>
      <c r="B522" s="32">
        <v>125000.0</v>
      </c>
      <c r="C522" s="33">
        <f t="shared" ref="C522:C523" si="129">0.0125*B522</f>
        <v>1562.5</v>
      </c>
      <c r="D522" s="20">
        <v>45763.0</v>
      </c>
      <c r="E522" s="17" t="s">
        <v>24</v>
      </c>
      <c r="F522" s="17" t="s">
        <v>12</v>
      </c>
      <c r="H522" s="17" t="s">
        <v>48</v>
      </c>
    </row>
    <row r="523">
      <c r="A523" s="17" t="s">
        <v>565</v>
      </c>
      <c r="B523" s="32">
        <v>700000.0</v>
      </c>
      <c r="C523" s="33">
        <f t="shared" si="129"/>
        <v>8750</v>
      </c>
      <c r="D523" s="20">
        <v>45763.0</v>
      </c>
      <c r="E523" s="17" t="s">
        <v>60</v>
      </c>
      <c r="F523" s="17" t="s">
        <v>12</v>
      </c>
    </row>
    <row r="524">
      <c r="A524" s="17" t="s">
        <v>566</v>
      </c>
      <c r="B524" s="32">
        <v>100000.0</v>
      </c>
      <c r="C524" s="33">
        <f t="shared" ref="C524:C528" si="130">0.0175*B524</f>
        <v>1750</v>
      </c>
      <c r="D524" s="20">
        <v>45763.0</v>
      </c>
      <c r="E524" s="17" t="s">
        <v>11</v>
      </c>
      <c r="F524" s="17" t="s">
        <v>28</v>
      </c>
      <c r="I524" s="35" t="s">
        <v>30</v>
      </c>
    </row>
    <row r="525">
      <c r="A525" s="17" t="s">
        <v>567</v>
      </c>
      <c r="B525" s="32">
        <v>150000.0</v>
      </c>
      <c r="C525" s="33">
        <f t="shared" si="130"/>
        <v>2625</v>
      </c>
      <c r="D525" s="20">
        <v>45764.0</v>
      </c>
      <c r="E525" s="17" t="s">
        <v>568</v>
      </c>
      <c r="F525" s="17" t="s">
        <v>28</v>
      </c>
      <c r="I525" s="35" t="s">
        <v>30</v>
      </c>
    </row>
    <row r="526">
      <c r="A526" s="17" t="s">
        <v>569</v>
      </c>
      <c r="B526" s="32">
        <v>300000.0</v>
      </c>
      <c r="C526" s="33">
        <f t="shared" si="130"/>
        <v>5250</v>
      </c>
      <c r="D526" s="20">
        <v>45764.0</v>
      </c>
      <c r="E526" s="17" t="s">
        <v>60</v>
      </c>
      <c r="F526" s="17" t="s">
        <v>28</v>
      </c>
      <c r="I526" s="35" t="s">
        <v>30</v>
      </c>
    </row>
    <row r="527">
      <c r="A527" s="17" t="s">
        <v>570</v>
      </c>
      <c r="B527" s="32">
        <v>50000.0</v>
      </c>
      <c r="C527" s="33">
        <f t="shared" si="130"/>
        <v>875</v>
      </c>
      <c r="D527" s="20">
        <v>45764.0</v>
      </c>
      <c r="E527" s="17" t="s">
        <v>11</v>
      </c>
      <c r="F527" s="17" t="s">
        <v>28</v>
      </c>
    </row>
    <row r="528">
      <c r="A528" s="17" t="s">
        <v>571</v>
      </c>
      <c r="B528" s="32">
        <v>1000000.0</v>
      </c>
      <c r="C528" s="33">
        <f t="shared" si="130"/>
        <v>17500</v>
      </c>
      <c r="D528" s="20">
        <v>45764.0</v>
      </c>
      <c r="E528" s="17" t="s">
        <v>118</v>
      </c>
      <c r="F528" s="17" t="s">
        <v>28</v>
      </c>
      <c r="H528" s="17" t="s">
        <v>13</v>
      </c>
      <c r="I528" s="35" t="s">
        <v>30</v>
      </c>
    </row>
    <row r="529">
      <c r="A529" s="17" t="s">
        <v>572</v>
      </c>
      <c r="B529" s="32">
        <v>750000.0</v>
      </c>
      <c r="C529" s="33">
        <f t="shared" ref="C529:C531" si="131">0.0125*B529</f>
        <v>9375</v>
      </c>
      <c r="D529" s="20">
        <v>45765.0</v>
      </c>
      <c r="E529" s="17" t="s">
        <v>11</v>
      </c>
      <c r="F529" s="17" t="s">
        <v>12</v>
      </c>
    </row>
    <row r="530">
      <c r="A530" s="17" t="s">
        <v>573</v>
      </c>
      <c r="B530" s="32">
        <v>105000.0</v>
      </c>
      <c r="C530" s="33">
        <f t="shared" si="131"/>
        <v>1312.5</v>
      </c>
      <c r="D530" s="20">
        <v>45765.0</v>
      </c>
      <c r="E530" s="17" t="s">
        <v>11</v>
      </c>
      <c r="F530" s="17" t="s">
        <v>12</v>
      </c>
    </row>
    <row r="531">
      <c r="A531" s="17" t="s">
        <v>574</v>
      </c>
      <c r="B531" s="32">
        <v>165000.0</v>
      </c>
      <c r="C531" s="33">
        <f t="shared" si="131"/>
        <v>2062.5</v>
      </c>
      <c r="D531" s="20">
        <v>45765.0</v>
      </c>
      <c r="E531" s="17" t="s">
        <v>15</v>
      </c>
      <c r="F531" s="17" t="s">
        <v>12</v>
      </c>
      <c r="H531" s="17" t="s">
        <v>98</v>
      </c>
      <c r="K531" s="17">
        <v>495.0</v>
      </c>
    </row>
    <row r="532">
      <c r="A532" s="17" t="s">
        <v>575</v>
      </c>
      <c r="B532" s="32">
        <v>150000.0</v>
      </c>
      <c r="C532" s="33">
        <f t="shared" ref="C532:C533" si="132">0.0175*B532</f>
        <v>2625</v>
      </c>
      <c r="D532" s="20">
        <v>45765.0</v>
      </c>
      <c r="E532" s="17" t="s">
        <v>60</v>
      </c>
      <c r="F532" s="17" t="s">
        <v>28</v>
      </c>
      <c r="I532" s="35" t="s">
        <v>30</v>
      </c>
    </row>
    <row r="533">
      <c r="A533" s="17" t="s">
        <v>576</v>
      </c>
      <c r="B533" s="32">
        <v>30000.0</v>
      </c>
      <c r="C533" s="33">
        <f t="shared" si="132"/>
        <v>525</v>
      </c>
      <c r="D533" s="20">
        <v>45768.0</v>
      </c>
      <c r="E533" s="17" t="s">
        <v>15</v>
      </c>
      <c r="F533" s="17" t="s">
        <v>28</v>
      </c>
      <c r="H533" s="17" t="s">
        <v>54</v>
      </c>
      <c r="I533" s="35" t="s">
        <v>30</v>
      </c>
      <c r="K533" s="17">
        <v>180.0</v>
      </c>
    </row>
    <row r="534">
      <c r="A534" s="17" t="s">
        <v>577</v>
      </c>
      <c r="B534" s="32">
        <v>30000.0</v>
      </c>
      <c r="C534" s="33">
        <f t="shared" ref="C534:C536" si="133">0.0125*B534</f>
        <v>375</v>
      </c>
      <c r="D534" s="20">
        <v>45768.0</v>
      </c>
      <c r="E534" s="17" t="s">
        <v>24</v>
      </c>
      <c r="F534" s="17" t="s">
        <v>578</v>
      </c>
    </row>
    <row r="535">
      <c r="A535" s="17" t="s">
        <v>579</v>
      </c>
      <c r="B535" s="32">
        <v>115000.0</v>
      </c>
      <c r="C535" s="33">
        <f t="shared" si="133"/>
        <v>1437.5</v>
      </c>
      <c r="D535" s="20">
        <v>45768.0</v>
      </c>
      <c r="E535" s="17" t="s">
        <v>15</v>
      </c>
      <c r="F535" s="17" t="s">
        <v>12</v>
      </c>
      <c r="H535" s="17" t="s">
        <v>16</v>
      </c>
      <c r="K535" s="17">
        <v>460.0</v>
      </c>
    </row>
    <row r="536">
      <c r="A536" s="17" t="s">
        <v>81</v>
      </c>
      <c r="B536" s="32">
        <v>75000.0</v>
      </c>
      <c r="C536" s="33">
        <f t="shared" si="133"/>
        <v>937.5</v>
      </c>
      <c r="D536" s="20">
        <v>45768.0</v>
      </c>
      <c r="E536" s="17" t="s">
        <v>11</v>
      </c>
      <c r="F536" s="17" t="s">
        <v>12</v>
      </c>
    </row>
    <row r="537">
      <c r="A537" s="17" t="s">
        <v>580</v>
      </c>
      <c r="B537" s="32">
        <v>500000.0</v>
      </c>
      <c r="C537" s="33">
        <f t="shared" ref="C537:C539" si="134">0.0175*B537</f>
        <v>8750</v>
      </c>
      <c r="D537" s="20">
        <v>45768.0</v>
      </c>
      <c r="E537" s="17" t="s">
        <v>69</v>
      </c>
      <c r="F537" s="17" t="s">
        <v>28</v>
      </c>
      <c r="H537" s="17" t="s">
        <v>13</v>
      </c>
      <c r="I537" s="35" t="s">
        <v>30</v>
      </c>
    </row>
    <row r="538">
      <c r="A538" s="17" t="s">
        <v>581</v>
      </c>
      <c r="B538" s="32">
        <v>50000.0</v>
      </c>
      <c r="C538" s="33">
        <f t="shared" si="134"/>
        <v>875</v>
      </c>
      <c r="D538" s="20">
        <v>45769.0</v>
      </c>
      <c r="E538" s="17" t="s">
        <v>15</v>
      </c>
      <c r="F538" s="17" t="s">
        <v>28</v>
      </c>
      <c r="H538" s="17" t="s">
        <v>149</v>
      </c>
      <c r="K538" s="17">
        <v>125.0</v>
      </c>
    </row>
    <row r="539">
      <c r="A539" s="17" t="s">
        <v>582</v>
      </c>
      <c r="B539" s="32">
        <v>300000.0</v>
      </c>
      <c r="C539" s="33">
        <f t="shared" si="134"/>
        <v>5250</v>
      </c>
      <c r="D539" s="20">
        <v>45769.0</v>
      </c>
      <c r="E539" s="17" t="s">
        <v>11</v>
      </c>
      <c r="F539" s="17" t="s">
        <v>28</v>
      </c>
      <c r="I539" s="35" t="s">
        <v>30</v>
      </c>
    </row>
    <row r="540">
      <c r="A540" s="17" t="s">
        <v>583</v>
      </c>
      <c r="B540" s="32">
        <v>55000.0</v>
      </c>
      <c r="C540" s="33">
        <f t="shared" ref="C540:C542" si="135">0.0125*B540</f>
        <v>687.5</v>
      </c>
      <c r="D540" s="20">
        <v>45770.0</v>
      </c>
      <c r="E540" s="17" t="s">
        <v>11</v>
      </c>
      <c r="F540" s="17" t="s">
        <v>12</v>
      </c>
    </row>
    <row r="541">
      <c r="A541" s="17" t="s">
        <v>584</v>
      </c>
      <c r="B541" s="32">
        <v>75000.0</v>
      </c>
      <c r="C541" s="33">
        <f t="shared" si="135"/>
        <v>937.5</v>
      </c>
      <c r="D541" s="20">
        <v>45770.0</v>
      </c>
      <c r="E541" s="17" t="s">
        <v>60</v>
      </c>
      <c r="F541" s="17" t="s">
        <v>12</v>
      </c>
    </row>
    <row r="542">
      <c r="A542" s="17" t="s">
        <v>585</v>
      </c>
      <c r="B542" s="32">
        <v>150000.0</v>
      </c>
      <c r="C542" s="33">
        <f t="shared" si="135"/>
        <v>1875</v>
      </c>
      <c r="D542" s="20">
        <v>45770.0</v>
      </c>
      <c r="E542" s="17" t="s">
        <v>40</v>
      </c>
      <c r="F542" s="17" t="s">
        <v>12</v>
      </c>
    </row>
    <row r="543">
      <c r="A543" s="17" t="s">
        <v>586</v>
      </c>
      <c r="B543" s="18">
        <v>50000.0</v>
      </c>
      <c r="C543" s="19">
        <f t="shared" ref="C543:C544" si="136">0.0175*B543</f>
        <v>875</v>
      </c>
      <c r="D543" s="20">
        <v>45770.0</v>
      </c>
      <c r="E543" s="17" t="s">
        <v>60</v>
      </c>
      <c r="F543" s="17" t="s">
        <v>67</v>
      </c>
    </row>
    <row r="544">
      <c r="A544" s="17" t="s">
        <v>587</v>
      </c>
      <c r="B544" s="18">
        <v>250000.0</v>
      </c>
      <c r="C544" s="19">
        <f t="shared" si="136"/>
        <v>4375</v>
      </c>
      <c r="D544" s="20">
        <v>45770.0</v>
      </c>
      <c r="E544" s="17" t="s">
        <v>15</v>
      </c>
      <c r="F544" s="17" t="s">
        <v>28</v>
      </c>
      <c r="H544" s="17" t="s">
        <v>35</v>
      </c>
      <c r="I544" s="35" t="s">
        <v>30</v>
      </c>
      <c r="K544" s="17">
        <v>500.0</v>
      </c>
    </row>
    <row r="545">
      <c r="A545" s="17" t="s">
        <v>588</v>
      </c>
      <c r="B545" s="18">
        <v>139000.0</v>
      </c>
      <c r="C545" s="19">
        <f t="shared" ref="C545:C546" si="137">0.0125*B545</f>
        <v>1737.5</v>
      </c>
      <c r="D545" s="20">
        <v>45771.0</v>
      </c>
      <c r="E545" s="17" t="s">
        <v>15</v>
      </c>
      <c r="F545" s="17" t="s">
        <v>12</v>
      </c>
      <c r="H545" s="17" t="s">
        <v>149</v>
      </c>
      <c r="K545" s="17">
        <v>347.5</v>
      </c>
    </row>
    <row r="546">
      <c r="A546" s="17" t="s">
        <v>589</v>
      </c>
      <c r="B546" s="18">
        <v>245000.0</v>
      </c>
      <c r="C546" s="19">
        <f t="shared" si="137"/>
        <v>3062.5</v>
      </c>
      <c r="D546" s="20">
        <v>45771.0</v>
      </c>
      <c r="E546" s="17" t="s">
        <v>73</v>
      </c>
      <c r="F546" s="17" t="s">
        <v>12</v>
      </c>
    </row>
    <row r="547">
      <c r="A547" s="17" t="s">
        <v>590</v>
      </c>
      <c r="B547" s="18">
        <v>50000.0</v>
      </c>
      <c r="C547" s="19">
        <f t="shared" ref="C547:C549" si="138">0.0175*B547</f>
        <v>875</v>
      </c>
      <c r="D547" s="20">
        <v>45771.0</v>
      </c>
      <c r="E547" s="17" t="s">
        <v>60</v>
      </c>
      <c r="F547" s="17" t="s">
        <v>28</v>
      </c>
      <c r="I547" s="35" t="s">
        <v>30</v>
      </c>
    </row>
    <row r="548">
      <c r="A548" s="17" t="s">
        <v>527</v>
      </c>
      <c r="B548" s="18">
        <v>75000.0</v>
      </c>
      <c r="C548" s="19">
        <f t="shared" si="138"/>
        <v>1312.5</v>
      </c>
      <c r="D548" s="20">
        <v>45771.0</v>
      </c>
      <c r="E548" s="17" t="s">
        <v>11</v>
      </c>
      <c r="F548" s="17" t="s">
        <v>28</v>
      </c>
      <c r="I548" s="35" t="s">
        <v>30</v>
      </c>
    </row>
    <row r="549">
      <c r="A549" s="17" t="s">
        <v>591</v>
      </c>
      <c r="B549" s="18">
        <v>125000.0</v>
      </c>
      <c r="C549" s="19">
        <f t="shared" si="138"/>
        <v>2187.5</v>
      </c>
      <c r="D549" s="20">
        <v>45771.0</v>
      </c>
      <c r="E549" s="17" t="s">
        <v>11</v>
      </c>
      <c r="F549" s="17" t="s">
        <v>28</v>
      </c>
      <c r="I549" s="35" t="s">
        <v>30</v>
      </c>
    </row>
    <row r="550">
      <c r="A550" s="17" t="s">
        <v>592</v>
      </c>
      <c r="B550" s="18">
        <v>100000.0</v>
      </c>
      <c r="C550" s="19">
        <f>0.0125*B550</f>
        <v>1250</v>
      </c>
      <c r="D550" s="20">
        <v>45771.0</v>
      </c>
      <c r="E550" s="17" t="s">
        <v>69</v>
      </c>
      <c r="F550" s="17" t="s">
        <v>12</v>
      </c>
      <c r="H550" s="17" t="s">
        <v>22</v>
      </c>
    </row>
    <row r="551">
      <c r="A551" s="17" t="s">
        <v>593</v>
      </c>
      <c r="B551" s="18">
        <v>115000.0</v>
      </c>
      <c r="C551" s="19">
        <f t="shared" ref="C551:C553" si="139">0.0175*B551</f>
        <v>2012.5</v>
      </c>
      <c r="D551" s="20">
        <v>45771.0</v>
      </c>
      <c r="E551" s="17" t="s">
        <v>11</v>
      </c>
      <c r="F551" s="17" t="s">
        <v>28</v>
      </c>
    </row>
    <row r="552">
      <c r="A552" s="17" t="s">
        <v>594</v>
      </c>
      <c r="B552" s="18">
        <v>240000.0</v>
      </c>
      <c r="C552" s="19">
        <f t="shared" si="139"/>
        <v>4200</v>
      </c>
      <c r="D552" s="20">
        <v>45771.0</v>
      </c>
      <c r="E552" s="17" t="s">
        <v>60</v>
      </c>
      <c r="F552" s="17" t="s">
        <v>28</v>
      </c>
      <c r="I552" s="35" t="s">
        <v>30</v>
      </c>
    </row>
    <row r="553">
      <c r="A553" s="17" t="s">
        <v>595</v>
      </c>
      <c r="B553" s="18">
        <v>300000.0</v>
      </c>
      <c r="C553" s="19">
        <f t="shared" si="139"/>
        <v>5250</v>
      </c>
      <c r="D553" s="20">
        <v>45771.0</v>
      </c>
      <c r="E553" s="17" t="s">
        <v>118</v>
      </c>
      <c r="F553" s="17" t="s">
        <v>28</v>
      </c>
      <c r="H553" s="17" t="s">
        <v>13</v>
      </c>
      <c r="I553" s="35" t="s">
        <v>30</v>
      </c>
    </row>
    <row r="554">
      <c r="A554" s="17" t="s">
        <v>596</v>
      </c>
      <c r="B554" s="18">
        <v>550000.0</v>
      </c>
      <c r="C554" s="19">
        <f>0.0125*B554</f>
        <v>6875</v>
      </c>
      <c r="D554" s="20">
        <v>45771.0</v>
      </c>
      <c r="E554" s="17" t="s">
        <v>24</v>
      </c>
      <c r="F554" s="17" t="s">
        <v>12</v>
      </c>
      <c r="H554" s="17" t="s">
        <v>48</v>
      </c>
    </row>
    <row r="555">
      <c r="A555" s="17" t="s">
        <v>597</v>
      </c>
      <c r="B555" s="18">
        <v>100000.0</v>
      </c>
      <c r="C555" s="19">
        <f>0.0175*B555</f>
        <v>1750</v>
      </c>
      <c r="D555" s="20">
        <v>45771.0</v>
      </c>
      <c r="E555" s="17" t="s">
        <v>11</v>
      </c>
      <c r="F555" s="17" t="s">
        <v>41</v>
      </c>
    </row>
    <row r="556">
      <c r="A556" s="17" t="s">
        <v>598</v>
      </c>
      <c r="B556" s="18">
        <v>30000.0</v>
      </c>
      <c r="C556" s="19">
        <f t="shared" ref="C556:C557" si="140">0.0125*B556</f>
        <v>375</v>
      </c>
      <c r="D556" s="20">
        <v>45771.0</v>
      </c>
      <c r="E556" s="17" t="s">
        <v>15</v>
      </c>
      <c r="F556" s="17" t="s">
        <v>12</v>
      </c>
      <c r="H556" s="17" t="s">
        <v>149</v>
      </c>
      <c r="K556" s="17">
        <v>75.0</v>
      </c>
    </row>
    <row r="557">
      <c r="A557" s="17" t="s">
        <v>129</v>
      </c>
      <c r="B557" s="18">
        <v>250000.0</v>
      </c>
      <c r="C557" s="19">
        <f t="shared" si="140"/>
        <v>3125</v>
      </c>
      <c r="D557" s="20">
        <v>45771.0</v>
      </c>
      <c r="E557" s="17" t="s">
        <v>24</v>
      </c>
      <c r="F557" s="17" t="s">
        <v>12</v>
      </c>
      <c r="H557" s="17" t="s">
        <v>48</v>
      </c>
    </row>
    <row r="558">
      <c r="A558" s="17" t="s">
        <v>599</v>
      </c>
      <c r="B558" s="32">
        <v>50000.0</v>
      </c>
      <c r="C558" s="33">
        <f>0.0175*B558</f>
        <v>875</v>
      </c>
      <c r="D558" s="20">
        <v>45772.0</v>
      </c>
      <c r="E558" s="17" t="s">
        <v>11</v>
      </c>
      <c r="F558" s="17" t="s">
        <v>28</v>
      </c>
      <c r="I558" s="35" t="s">
        <v>30</v>
      </c>
    </row>
    <row r="559">
      <c r="A559" s="17" t="s">
        <v>600</v>
      </c>
      <c r="B559" s="32">
        <v>170000.0</v>
      </c>
      <c r="C559" s="33">
        <f>0.0125*B559</f>
        <v>2125</v>
      </c>
      <c r="D559" s="20">
        <v>45772.0</v>
      </c>
      <c r="E559" s="17" t="s">
        <v>11</v>
      </c>
      <c r="F559" s="17" t="s">
        <v>12</v>
      </c>
    </row>
    <row r="560">
      <c r="A560" s="17" t="s">
        <v>601</v>
      </c>
      <c r="B560" s="32">
        <v>30000.0</v>
      </c>
      <c r="C560" s="33">
        <f t="shared" ref="C560:C561" si="141">0.0175*B560</f>
        <v>525</v>
      </c>
      <c r="D560" s="20">
        <v>45772.0</v>
      </c>
      <c r="E560" s="17" t="s">
        <v>15</v>
      </c>
      <c r="F560" s="17" t="s">
        <v>28</v>
      </c>
      <c r="H560" s="17" t="s">
        <v>51</v>
      </c>
      <c r="I560" s="35" t="s">
        <v>30</v>
      </c>
      <c r="K560" s="17">
        <v>150.0</v>
      </c>
    </row>
    <row r="561">
      <c r="A561" s="17" t="s">
        <v>602</v>
      </c>
      <c r="B561" s="32">
        <v>125000.0</v>
      </c>
      <c r="C561" s="33">
        <f t="shared" si="141"/>
        <v>2187.5</v>
      </c>
      <c r="D561" s="20">
        <v>45775.0</v>
      </c>
      <c r="E561" s="17" t="s">
        <v>15</v>
      </c>
      <c r="F561" s="17" t="s">
        <v>28</v>
      </c>
      <c r="H561" s="17" t="s">
        <v>51</v>
      </c>
      <c r="K561" s="17">
        <v>625.0</v>
      </c>
    </row>
    <row r="562">
      <c r="A562" s="17" t="s">
        <v>603</v>
      </c>
      <c r="B562" s="32">
        <v>80000.0</v>
      </c>
      <c r="C562" s="33">
        <f>0.0125*B562</f>
        <v>1000</v>
      </c>
      <c r="D562" s="20">
        <v>45775.0</v>
      </c>
      <c r="E562" s="17" t="s">
        <v>11</v>
      </c>
      <c r="F562" s="17" t="s">
        <v>12</v>
      </c>
    </row>
    <row r="563">
      <c r="A563" s="17" t="s">
        <v>604</v>
      </c>
      <c r="B563" s="32">
        <v>10000.0</v>
      </c>
      <c r="C563" s="33">
        <f t="shared" ref="C563:C564" si="142">0.0175*B563</f>
        <v>175</v>
      </c>
      <c r="D563" s="20">
        <v>45775.0</v>
      </c>
      <c r="E563" s="17" t="s">
        <v>11</v>
      </c>
      <c r="F563" s="17" t="s">
        <v>28</v>
      </c>
      <c r="I563" s="35" t="s">
        <v>30</v>
      </c>
    </row>
    <row r="564">
      <c r="A564" s="17" t="s">
        <v>605</v>
      </c>
      <c r="B564" s="32">
        <v>1250000.0</v>
      </c>
      <c r="C564" s="33">
        <f t="shared" si="142"/>
        <v>21875</v>
      </c>
      <c r="D564" s="20">
        <v>45775.0</v>
      </c>
      <c r="E564" s="17" t="s">
        <v>606</v>
      </c>
      <c r="F564" s="17" t="s">
        <v>28</v>
      </c>
      <c r="I564" s="35" t="s">
        <v>30</v>
      </c>
    </row>
    <row r="565">
      <c r="A565" s="17" t="s">
        <v>607</v>
      </c>
      <c r="B565" s="32">
        <v>74000.0</v>
      </c>
      <c r="C565" s="33">
        <f>0.0125*B565</f>
        <v>925</v>
      </c>
      <c r="D565" s="20">
        <v>45775.0</v>
      </c>
      <c r="E565" s="17" t="s">
        <v>15</v>
      </c>
      <c r="F565" s="17" t="s">
        <v>12</v>
      </c>
      <c r="H565" s="17" t="s">
        <v>35</v>
      </c>
      <c r="K565" s="17">
        <v>148.0</v>
      </c>
    </row>
    <row r="566">
      <c r="A566" s="17" t="s">
        <v>608</v>
      </c>
      <c r="B566" s="32">
        <v>20000.0</v>
      </c>
      <c r="C566" s="33">
        <f t="shared" ref="C566:C567" si="143">0.0175*B566</f>
        <v>350</v>
      </c>
      <c r="D566" s="20">
        <v>45776.0</v>
      </c>
      <c r="E566" s="17" t="s">
        <v>461</v>
      </c>
      <c r="F566" s="17" t="s">
        <v>67</v>
      </c>
      <c r="H566" s="17" t="s">
        <v>13</v>
      </c>
    </row>
    <row r="567">
      <c r="A567" s="17" t="s">
        <v>609</v>
      </c>
      <c r="B567" s="32">
        <v>30000.0</v>
      </c>
      <c r="C567" s="33">
        <f t="shared" si="143"/>
        <v>525</v>
      </c>
      <c r="D567" s="20">
        <v>45776.0</v>
      </c>
      <c r="E567" s="17" t="s">
        <v>11</v>
      </c>
      <c r="F567" s="17" t="s">
        <v>28</v>
      </c>
      <c r="I567" s="35" t="s">
        <v>30</v>
      </c>
    </row>
    <row r="568">
      <c r="A568" s="17" t="s">
        <v>610</v>
      </c>
      <c r="B568" s="32">
        <v>160000.0</v>
      </c>
      <c r="C568" s="33">
        <f>0.0125*B568</f>
        <v>2000</v>
      </c>
      <c r="D568" s="20">
        <v>45776.0</v>
      </c>
      <c r="E568" s="17" t="s">
        <v>73</v>
      </c>
      <c r="F568" s="17" t="s">
        <v>12</v>
      </c>
    </row>
    <row r="569">
      <c r="A569" s="17" t="s">
        <v>611</v>
      </c>
      <c r="B569" s="32">
        <v>150000.0</v>
      </c>
      <c r="C569" s="33">
        <f t="shared" ref="C569:C572" si="144">0.0175*B569</f>
        <v>2625</v>
      </c>
      <c r="D569" s="20">
        <v>45776.0</v>
      </c>
      <c r="E569" s="17" t="s">
        <v>60</v>
      </c>
      <c r="F569" s="17" t="s">
        <v>28</v>
      </c>
      <c r="I569" s="35" t="s">
        <v>30</v>
      </c>
    </row>
    <row r="570">
      <c r="A570" s="17" t="s">
        <v>612</v>
      </c>
      <c r="B570" s="32">
        <v>125000.0</v>
      </c>
      <c r="C570" s="33">
        <f t="shared" si="144"/>
        <v>2187.5</v>
      </c>
      <c r="D570" s="20">
        <v>45776.0</v>
      </c>
      <c r="E570" s="17" t="s">
        <v>11</v>
      </c>
      <c r="F570" s="17" t="s">
        <v>28</v>
      </c>
      <c r="I570" s="35" t="s">
        <v>30</v>
      </c>
    </row>
    <row r="571">
      <c r="A571" s="17" t="s">
        <v>613</v>
      </c>
      <c r="B571" s="32">
        <v>35000.0</v>
      </c>
      <c r="C571" s="33">
        <f t="shared" si="144"/>
        <v>612.5</v>
      </c>
      <c r="D571" s="20">
        <v>45777.0</v>
      </c>
      <c r="E571" s="17" t="s">
        <v>21</v>
      </c>
      <c r="F571" s="17" t="s">
        <v>28</v>
      </c>
      <c r="H571" s="17" t="s">
        <v>13</v>
      </c>
      <c r="I571" s="35" t="s">
        <v>30</v>
      </c>
    </row>
    <row r="572">
      <c r="A572" s="17" t="s">
        <v>614</v>
      </c>
      <c r="B572" s="32">
        <v>135700.0</v>
      </c>
      <c r="C572" s="33">
        <f t="shared" si="144"/>
        <v>2374.75</v>
      </c>
      <c r="D572" s="20">
        <v>45777.0</v>
      </c>
      <c r="E572" s="17" t="s">
        <v>24</v>
      </c>
      <c r="F572" s="17" t="s">
        <v>28</v>
      </c>
      <c r="H572" s="17" t="s">
        <v>48</v>
      </c>
      <c r="I572" s="35" t="s">
        <v>30</v>
      </c>
    </row>
    <row r="573">
      <c r="A573" s="17" t="s">
        <v>615</v>
      </c>
      <c r="B573" s="32">
        <v>171000.0</v>
      </c>
      <c r="C573" s="33">
        <f>0.0125*B573</f>
        <v>2137.5</v>
      </c>
      <c r="D573" s="20">
        <v>45777.0</v>
      </c>
      <c r="E573" s="17" t="s">
        <v>15</v>
      </c>
      <c r="F573" s="17" t="s">
        <v>12</v>
      </c>
      <c r="H573" s="17" t="s">
        <v>35</v>
      </c>
      <c r="K573" s="17">
        <v>342.0</v>
      </c>
    </row>
    <row r="574">
      <c r="A574" s="17" t="s">
        <v>616</v>
      </c>
      <c r="B574" s="32">
        <v>40000.0</v>
      </c>
      <c r="C574" s="33">
        <f>0.0175*B574</f>
        <v>700</v>
      </c>
      <c r="D574" s="20">
        <v>45777.0</v>
      </c>
      <c r="E574" s="17" t="s">
        <v>11</v>
      </c>
      <c r="F574" s="17" t="s">
        <v>28</v>
      </c>
      <c r="I574" s="35" t="s">
        <v>30</v>
      </c>
    </row>
    <row r="575">
      <c r="A575" s="17" t="s">
        <v>617</v>
      </c>
      <c r="B575" s="32">
        <v>135000.0</v>
      </c>
      <c r="C575" s="33">
        <f>0.0125*B575</f>
        <v>1687.5</v>
      </c>
      <c r="D575" s="20">
        <v>45777.0</v>
      </c>
      <c r="E575" s="17" t="s">
        <v>11</v>
      </c>
      <c r="F575" s="17" t="s">
        <v>12</v>
      </c>
    </row>
    <row r="576">
      <c r="A576" s="17" t="s">
        <v>618</v>
      </c>
      <c r="B576" s="32">
        <v>600000.0</v>
      </c>
      <c r="C576" s="33">
        <f>0.0175*B576</f>
        <v>10500</v>
      </c>
      <c r="D576" s="20">
        <v>45777.0</v>
      </c>
      <c r="E576" s="17" t="s">
        <v>24</v>
      </c>
      <c r="F576" s="17" t="s">
        <v>28</v>
      </c>
      <c r="H576" s="17" t="s">
        <v>619</v>
      </c>
      <c r="I576" s="35" t="s">
        <v>30</v>
      </c>
    </row>
    <row r="577">
      <c r="A577" s="12">
        <v>45778.0</v>
      </c>
      <c r="B577" s="13">
        <f t="shared" ref="B577:C577" si="145">SUM(B578:B703)</f>
        <v>32069000</v>
      </c>
      <c r="C577" s="13">
        <f t="shared" si="145"/>
        <v>470812.5</v>
      </c>
      <c r="D577" s="14"/>
      <c r="E577" s="15"/>
      <c r="F577" s="15"/>
      <c r="G577" s="15"/>
      <c r="H577" s="16"/>
      <c r="I577" s="16"/>
      <c r="J577" s="16"/>
      <c r="K577" s="16"/>
      <c r="L577" s="16"/>
    </row>
    <row r="578">
      <c r="A578" s="17" t="s">
        <v>620</v>
      </c>
      <c r="B578" s="32">
        <v>50000.0</v>
      </c>
      <c r="C578" s="33">
        <f>0.0125*B578</f>
        <v>625</v>
      </c>
      <c r="D578" s="20">
        <v>45778.0</v>
      </c>
      <c r="E578" s="17" t="s">
        <v>11</v>
      </c>
      <c r="F578" s="17" t="s">
        <v>12</v>
      </c>
    </row>
    <row r="579">
      <c r="A579" s="17" t="s">
        <v>621</v>
      </c>
      <c r="B579" s="32">
        <v>100000.0</v>
      </c>
      <c r="C579" s="33">
        <f>0.0175*B579</f>
        <v>1750</v>
      </c>
      <c r="D579" s="20">
        <v>45778.0</v>
      </c>
      <c r="E579" s="17" t="s">
        <v>11</v>
      </c>
      <c r="F579" s="17" t="s">
        <v>28</v>
      </c>
      <c r="I579" s="35" t="s">
        <v>30</v>
      </c>
      <c r="O579" s="21" t="s">
        <v>13</v>
      </c>
    </row>
    <row r="580">
      <c r="A580" s="17" t="s">
        <v>622</v>
      </c>
      <c r="B580" s="32">
        <v>125000.0</v>
      </c>
      <c r="C580" s="33">
        <f t="shared" ref="C580:C582" si="146">0.0125*B580</f>
        <v>1562.5</v>
      </c>
      <c r="D580" s="20">
        <v>45778.0</v>
      </c>
      <c r="E580" s="17" t="s">
        <v>15</v>
      </c>
      <c r="F580" s="17" t="s">
        <v>12</v>
      </c>
      <c r="H580" s="17" t="s">
        <v>98</v>
      </c>
      <c r="K580" s="17">
        <v>375.0</v>
      </c>
      <c r="O580" s="17" t="s">
        <v>17</v>
      </c>
      <c r="P580" s="22">
        <v>14423.07</v>
      </c>
    </row>
    <row r="581">
      <c r="A581" s="17" t="s">
        <v>623</v>
      </c>
      <c r="B581" s="32">
        <v>60000.0</v>
      </c>
      <c r="C581" s="33">
        <f t="shared" si="146"/>
        <v>750</v>
      </c>
      <c r="D581" s="20">
        <v>45778.0</v>
      </c>
      <c r="E581" s="17" t="s">
        <v>11</v>
      </c>
      <c r="F581" s="17" t="s">
        <v>12</v>
      </c>
      <c r="O581" s="17" t="s">
        <v>19</v>
      </c>
      <c r="P581" s="22">
        <f>12392.5+12375</f>
        <v>24767.5</v>
      </c>
    </row>
    <row r="582">
      <c r="A582" s="17" t="s">
        <v>624</v>
      </c>
      <c r="B582" s="32">
        <v>325000.0</v>
      </c>
      <c r="C582" s="33">
        <f t="shared" si="146"/>
        <v>4062.5</v>
      </c>
      <c r="D582" s="20">
        <v>45778.0</v>
      </c>
      <c r="E582" s="17" t="s">
        <v>606</v>
      </c>
      <c r="F582" s="17" t="s">
        <v>12</v>
      </c>
      <c r="O582" s="17" t="s">
        <v>15</v>
      </c>
      <c r="P582" s="22">
        <v>17980.77</v>
      </c>
    </row>
    <row r="583">
      <c r="A583" s="17" t="s">
        <v>625</v>
      </c>
      <c r="B583" s="32">
        <v>200000.0</v>
      </c>
      <c r="C583" s="33">
        <f t="shared" ref="C583:C584" si="147">0.0175*B583</f>
        <v>3500</v>
      </c>
      <c r="D583" s="20">
        <v>45778.0</v>
      </c>
      <c r="E583" s="17" t="s">
        <v>15</v>
      </c>
      <c r="F583" s="17" t="s">
        <v>28</v>
      </c>
      <c r="H583" s="17" t="s">
        <v>51</v>
      </c>
      <c r="I583" s="35" t="s">
        <v>30</v>
      </c>
      <c r="K583" s="17">
        <v>1000.0</v>
      </c>
      <c r="O583" s="17" t="s">
        <v>26</v>
      </c>
      <c r="P583" s="22">
        <v>38780.0</v>
      </c>
    </row>
    <row r="584">
      <c r="A584" s="17" t="s">
        <v>626</v>
      </c>
      <c r="B584" s="32">
        <v>50000.0</v>
      </c>
      <c r="C584" s="33">
        <f t="shared" si="147"/>
        <v>875</v>
      </c>
      <c r="D584" s="20">
        <v>45779.0</v>
      </c>
      <c r="E584" s="17" t="s">
        <v>135</v>
      </c>
      <c r="F584" s="17" t="s">
        <v>28</v>
      </c>
      <c r="H584" s="17" t="s">
        <v>13</v>
      </c>
      <c r="I584" s="35" t="s">
        <v>30</v>
      </c>
      <c r="O584" s="17" t="s">
        <v>31</v>
      </c>
      <c r="P584" s="24">
        <v>4662.5</v>
      </c>
    </row>
    <row r="585">
      <c r="A585" s="17" t="s">
        <v>627</v>
      </c>
      <c r="B585" s="32">
        <v>245000.0</v>
      </c>
      <c r="C585" s="33">
        <f>0.0125*B585</f>
        <v>3062.5</v>
      </c>
      <c r="D585" s="20">
        <v>45779.0</v>
      </c>
      <c r="E585" s="17" t="s">
        <v>11</v>
      </c>
      <c r="F585" s="17" t="s">
        <v>12</v>
      </c>
      <c r="P585" s="24"/>
    </row>
    <row r="586">
      <c r="A586" s="17" t="s">
        <v>628</v>
      </c>
      <c r="B586" s="32">
        <v>20000.0</v>
      </c>
      <c r="C586" s="33">
        <f>0.0175*B586</f>
        <v>350</v>
      </c>
      <c r="D586" s="20">
        <v>45779.0</v>
      </c>
      <c r="E586" s="17" t="s">
        <v>11</v>
      </c>
      <c r="F586" s="17" t="s">
        <v>28</v>
      </c>
    </row>
    <row r="587">
      <c r="A587" s="17" t="s">
        <v>629</v>
      </c>
      <c r="B587" s="32">
        <v>190000.0</v>
      </c>
      <c r="C587" s="33">
        <f t="shared" ref="C587:C588" si="148">0.0125*B587</f>
        <v>2375</v>
      </c>
      <c r="D587" s="20">
        <v>45782.0</v>
      </c>
      <c r="E587" s="17" t="s">
        <v>11</v>
      </c>
      <c r="F587" s="17" t="s">
        <v>12</v>
      </c>
      <c r="O587" s="21" t="s">
        <v>245</v>
      </c>
    </row>
    <row r="588">
      <c r="A588" s="17" t="s">
        <v>630</v>
      </c>
      <c r="B588" s="32">
        <v>45000.0</v>
      </c>
      <c r="C588" s="33">
        <f t="shared" si="148"/>
        <v>562.5</v>
      </c>
      <c r="D588" s="20">
        <v>45782.0</v>
      </c>
      <c r="E588" s="17" t="s">
        <v>11</v>
      </c>
      <c r="F588" s="17" t="s">
        <v>12</v>
      </c>
      <c r="O588" s="17" t="s">
        <v>17</v>
      </c>
      <c r="P588" s="17">
        <v>14423.07</v>
      </c>
    </row>
    <row r="589">
      <c r="A589" s="17" t="s">
        <v>631</v>
      </c>
      <c r="B589" s="32">
        <v>70000.0</v>
      </c>
      <c r="C589" s="33">
        <f>0.0175*B589</f>
        <v>1225</v>
      </c>
      <c r="D589" s="20">
        <v>45782.0</v>
      </c>
      <c r="E589" s="17" t="s">
        <v>21</v>
      </c>
      <c r="F589" s="17" t="s">
        <v>28</v>
      </c>
      <c r="H589" s="17" t="s">
        <v>13</v>
      </c>
      <c r="I589" s="35" t="s">
        <v>30</v>
      </c>
      <c r="O589" s="17" t="s">
        <v>15</v>
      </c>
      <c r="P589" s="22">
        <v>24699.75</v>
      </c>
    </row>
    <row r="590">
      <c r="A590" s="17" t="s">
        <v>632</v>
      </c>
      <c r="B590" s="32">
        <v>45000.0</v>
      </c>
      <c r="C590" s="33">
        <f t="shared" ref="C590:C592" si="149">0.0125*B590</f>
        <v>562.5</v>
      </c>
      <c r="D590" s="20">
        <v>45782.0</v>
      </c>
      <c r="E590" s="17" t="s">
        <v>11</v>
      </c>
      <c r="F590" s="17" t="s">
        <v>12</v>
      </c>
    </row>
    <row r="591">
      <c r="A591" s="17" t="s">
        <v>633</v>
      </c>
      <c r="B591" s="32">
        <v>10000.0</v>
      </c>
      <c r="C591" s="33">
        <f t="shared" si="149"/>
        <v>125</v>
      </c>
      <c r="D591" s="20">
        <v>45782.0</v>
      </c>
      <c r="E591" s="17" t="s">
        <v>15</v>
      </c>
      <c r="F591" s="17" t="s">
        <v>12</v>
      </c>
      <c r="H591" s="17" t="s">
        <v>54</v>
      </c>
      <c r="K591" s="17">
        <v>60.0</v>
      </c>
    </row>
    <row r="592">
      <c r="A592" s="17" t="s">
        <v>634</v>
      </c>
      <c r="B592" s="32">
        <v>200000.0</v>
      </c>
      <c r="C592" s="33">
        <f t="shared" si="149"/>
        <v>2500</v>
      </c>
      <c r="D592" s="20">
        <v>45783.0</v>
      </c>
      <c r="E592" s="17" t="s">
        <v>60</v>
      </c>
      <c r="F592" s="17" t="s">
        <v>12</v>
      </c>
    </row>
    <row r="593">
      <c r="A593" s="17" t="s">
        <v>310</v>
      </c>
      <c r="B593" s="32">
        <v>150000.0</v>
      </c>
      <c r="C593" s="33">
        <f>0.0175*B593</f>
        <v>2625</v>
      </c>
      <c r="D593" s="20">
        <v>45783.0</v>
      </c>
      <c r="E593" s="17" t="s">
        <v>11</v>
      </c>
      <c r="F593" s="17" t="s">
        <v>67</v>
      </c>
    </row>
    <row r="594">
      <c r="A594" s="17" t="s">
        <v>635</v>
      </c>
      <c r="B594" s="32">
        <v>550000.0</v>
      </c>
      <c r="C594" s="33">
        <f t="shared" ref="C594:C595" si="150">0.0125*B594</f>
        <v>6875</v>
      </c>
      <c r="D594" s="20">
        <v>45783.0</v>
      </c>
      <c r="E594" s="17" t="s">
        <v>75</v>
      </c>
      <c r="F594" s="17" t="s">
        <v>12</v>
      </c>
    </row>
    <row r="595">
      <c r="A595" s="17" t="s">
        <v>47</v>
      </c>
      <c r="B595" s="32">
        <v>600000.0</v>
      </c>
      <c r="C595" s="33">
        <f t="shared" si="150"/>
        <v>7500</v>
      </c>
      <c r="D595" s="20">
        <v>45783.0</v>
      </c>
      <c r="E595" s="17" t="s">
        <v>24</v>
      </c>
      <c r="F595" s="17" t="s">
        <v>12</v>
      </c>
      <c r="H595" s="17" t="s">
        <v>619</v>
      </c>
    </row>
    <row r="596">
      <c r="A596" s="17" t="s">
        <v>636</v>
      </c>
      <c r="B596" s="32">
        <v>275000.0</v>
      </c>
      <c r="C596" s="33">
        <f t="shared" ref="C596:C599" si="151">0.0175*B596</f>
        <v>4812.5</v>
      </c>
      <c r="D596" s="20">
        <v>45783.0</v>
      </c>
      <c r="E596" s="17" t="s">
        <v>60</v>
      </c>
      <c r="F596" s="17" t="s">
        <v>28</v>
      </c>
      <c r="I596" s="35" t="s">
        <v>30</v>
      </c>
    </row>
    <row r="597">
      <c r="A597" s="17" t="s">
        <v>637</v>
      </c>
      <c r="B597" s="32">
        <v>20000.0</v>
      </c>
      <c r="C597" s="33">
        <f t="shared" si="151"/>
        <v>350</v>
      </c>
      <c r="D597" s="20">
        <v>45784.0</v>
      </c>
      <c r="E597" s="17" t="s">
        <v>11</v>
      </c>
      <c r="F597" s="17" t="s">
        <v>28</v>
      </c>
    </row>
    <row r="598">
      <c r="A598" s="17" t="s">
        <v>278</v>
      </c>
      <c r="B598" s="32">
        <v>500000.0</v>
      </c>
      <c r="C598" s="33">
        <f t="shared" si="151"/>
        <v>8750</v>
      </c>
      <c r="D598" s="20">
        <v>45784.0</v>
      </c>
      <c r="E598" s="17" t="s">
        <v>279</v>
      </c>
      <c r="F598" s="17" t="s">
        <v>41</v>
      </c>
      <c r="H598" s="17" t="s">
        <v>22</v>
      </c>
    </row>
    <row r="599">
      <c r="A599" s="17" t="s">
        <v>638</v>
      </c>
      <c r="B599" s="32">
        <v>1250000.0</v>
      </c>
      <c r="C599" s="33">
        <f t="shared" si="151"/>
        <v>21875</v>
      </c>
      <c r="D599" s="20">
        <v>45784.0</v>
      </c>
      <c r="E599" s="17" t="s">
        <v>11</v>
      </c>
      <c r="F599" s="17" t="s">
        <v>28</v>
      </c>
    </row>
    <row r="600">
      <c r="A600" s="17" t="s">
        <v>32</v>
      </c>
      <c r="B600" s="32">
        <v>41000.0</v>
      </c>
      <c r="C600" s="33">
        <f t="shared" ref="C600:C601" si="152">0.0125*B600</f>
        <v>512.5</v>
      </c>
      <c r="D600" s="20">
        <v>45784.0</v>
      </c>
      <c r="E600" s="17" t="s">
        <v>15</v>
      </c>
      <c r="F600" s="17" t="s">
        <v>12</v>
      </c>
      <c r="H600" s="17" t="s">
        <v>98</v>
      </c>
      <c r="K600" s="17">
        <v>123.0</v>
      </c>
    </row>
    <row r="601">
      <c r="A601" s="17" t="s">
        <v>639</v>
      </c>
      <c r="B601" s="32">
        <v>25000.0</v>
      </c>
      <c r="C601" s="33">
        <f t="shared" si="152"/>
        <v>312.5</v>
      </c>
      <c r="D601" s="20">
        <v>45785.0</v>
      </c>
      <c r="E601" s="17" t="s">
        <v>11</v>
      </c>
      <c r="F601" s="17" t="s">
        <v>144</v>
      </c>
    </row>
    <row r="602">
      <c r="A602" s="17" t="s">
        <v>640</v>
      </c>
      <c r="B602" s="18">
        <v>100000.0</v>
      </c>
      <c r="C602" s="19">
        <f t="shared" ref="C602:C603" si="153">0.0175*B602</f>
        <v>1750</v>
      </c>
      <c r="D602" s="20">
        <v>45785.0</v>
      </c>
      <c r="E602" s="17" t="s">
        <v>376</v>
      </c>
      <c r="F602" s="17" t="s">
        <v>28</v>
      </c>
      <c r="H602" s="17" t="s">
        <v>13</v>
      </c>
      <c r="I602" s="35" t="s">
        <v>30</v>
      </c>
    </row>
    <row r="603">
      <c r="A603" s="17" t="s">
        <v>641</v>
      </c>
      <c r="B603" s="18">
        <v>350000.0</v>
      </c>
      <c r="C603" s="19">
        <f t="shared" si="153"/>
        <v>6125</v>
      </c>
      <c r="D603" s="20">
        <v>45785.0</v>
      </c>
      <c r="E603" s="17" t="s">
        <v>24</v>
      </c>
      <c r="F603" s="17" t="s">
        <v>28</v>
      </c>
      <c r="H603" s="17" t="s">
        <v>642</v>
      </c>
      <c r="I603" s="35" t="s">
        <v>30</v>
      </c>
    </row>
    <row r="604">
      <c r="A604" s="17" t="s">
        <v>643</v>
      </c>
      <c r="B604" s="18">
        <v>170000.0</v>
      </c>
      <c r="C604" s="19">
        <f t="shared" ref="C604:C608" si="154">0.0125*B604</f>
        <v>2125</v>
      </c>
      <c r="D604" s="20">
        <v>45785.0</v>
      </c>
      <c r="E604" s="17" t="s">
        <v>11</v>
      </c>
      <c r="F604" s="17" t="s">
        <v>12</v>
      </c>
    </row>
    <row r="605">
      <c r="A605" s="17" t="s">
        <v>644</v>
      </c>
      <c r="B605" s="18">
        <v>75000.0</v>
      </c>
      <c r="C605" s="19">
        <f t="shared" si="154"/>
        <v>937.5</v>
      </c>
      <c r="D605" s="20">
        <v>45785.0</v>
      </c>
      <c r="E605" s="17" t="s">
        <v>11</v>
      </c>
      <c r="F605" s="17" t="s">
        <v>12</v>
      </c>
    </row>
    <row r="606">
      <c r="A606" s="17" t="s">
        <v>645</v>
      </c>
      <c r="B606" s="18">
        <v>700000.0</v>
      </c>
      <c r="C606" s="19">
        <f t="shared" si="154"/>
        <v>8750</v>
      </c>
      <c r="D606" s="20">
        <v>45785.0</v>
      </c>
      <c r="E606" s="17" t="s">
        <v>11</v>
      </c>
      <c r="F606" s="17" t="s">
        <v>12</v>
      </c>
    </row>
    <row r="607">
      <c r="A607" s="17" t="s">
        <v>646</v>
      </c>
      <c r="B607" s="18">
        <v>85000.0</v>
      </c>
      <c r="C607" s="19">
        <f t="shared" si="154"/>
        <v>1062.5</v>
      </c>
      <c r="D607" s="20">
        <v>45786.0</v>
      </c>
      <c r="E607" s="17" t="s">
        <v>92</v>
      </c>
      <c r="F607" s="17" t="s">
        <v>12</v>
      </c>
    </row>
    <row r="608">
      <c r="A608" s="17" t="s">
        <v>647</v>
      </c>
      <c r="B608" s="18">
        <v>80000.0</v>
      </c>
      <c r="C608" s="19">
        <f t="shared" si="154"/>
        <v>1000</v>
      </c>
      <c r="D608" s="20">
        <v>45786.0</v>
      </c>
      <c r="E608" s="17" t="s">
        <v>11</v>
      </c>
      <c r="F608" s="17" t="s">
        <v>12</v>
      </c>
    </row>
    <row r="609">
      <c r="A609" s="17" t="s">
        <v>648</v>
      </c>
      <c r="B609" s="18">
        <v>150000.0</v>
      </c>
      <c r="C609" s="19">
        <f>0.0175*B609</f>
        <v>2625</v>
      </c>
      <c r="D609" s="20">
        <v>45786.0</v>
      </c>
      <c r="E609" s="17" t="s">
        <v>24</v>
      </c>
      <c r="F609" s="17" t="s">
        <v>649</v>
      </c>
      <c r="H609" s="17" t="s">
        <v>619</v>
      </c>
    </row>
    <row r="610">
      <c r="A610" s="17" t="s">
        <v>650</v>
      </c>
      <c r="B610" s="18">
        <v>120000.0</v>
      </c>
      <c r="C610" s="19">
        <f t="shared" ref="C610:C611" si="155">0.0125*B610</f>
        <v>1500</v>
      </c>
      <c r="D610" s="20">
        <v>45786.0</v>
      </c>
      <c r="E610" s="17" t="s">
        <v>461</v>
      </c>
      <c r="F610" s="17" t="s">
        <v>12</v>
      </c>
      <c r="H610" s="17" t="s">
        <v>651</v>
      </c>
    </row>
    <row r="611">
      <c r="A611" s="17" t="s">
        <v>652</v>
      </c>
      <c r="B611" s="18">
        <v>220000.0</v>
      </c>
      <c r="C611" s="19">
        <f t="shared" si="155"/>
        <v>2750</v>
      </c>
      <c r="D611" s="20">
        <v>45786.0</v>
      </c>
      <c r="E611" s="17" t="s">
        <v>15</v>
      </c>
      <c r="F611" s="17" t="s">
        <v>12</v>
      </c>
      <c r="H611" s="17" t="s">
        <v>220</v>
      </c>
      <c r="K611" s="17">
        <v>770.0</v>
      </c>
    </row>
    <row r="612">
      <c r="A612" s="17" t="s">
        <v>653</v>
      </c>
      <c r="B612" s="18">
        <v>125000.0</v>
      </c>
      <c r="C612" s="19">
        <f>0.0175*B612</f>
        <v>2187.5</v>
      </c>
      <c r="D612" s="20">
        <v>45789.0</v>
      </c>
      <c r="E612" s="17" t="s">
        <v>24</v>
      </c>
      <c r="F612" s="17" t="s">
        <v>649</v>
      </c>
      <c r="H612" s="17" t="s">
        <v>619</v>
      </c>
    </row>
    <row r="613">
      <c r="A613" s="17" t="s">
        <v>360</v>
      </c>
      <c r="B613" s="18">
        <v>500000.0</v>
      </c>
      <c r="C613" s="19">
        <f>0.0125*B613</f>
        <v>6250</v>
      </c>
      <c r="D613" s="20">
        <v>45789.0</v>
      </c>
      <c r="E613" s="17" t="s">
        <v>135</v>
      </c>
      <c r="F613" s="17" t="s">
        <v>12</v>
      </c>
      <c r="H613" s="17" t="s">
        <v>22</v>
      </c>
    </row>
    <row r="614">
      <c r="A614" s="17" t="s">
        <v>440</v>
      </c>
      <c r="B614" s="18">
        <v>500000.0</v>
      </c>
      <c r="C614" s="19">
        <f t="shared" ref="C614:C615" si="156">0.0175*B614</f>
        <v>8750</v>
      </c>
      <c r="D614" s="20">
        <v>45789.0</v>
      </c>
      <c r="E614" s="17" t="s">
        <v>24</v>
      </c>
      <c r="F614" s="17" t="s">
        <v>67</v>
      </c>
      <c r="H614" s="17" t="s">
        <v>642</v>
      </c>
      <c r="I614" s="35" t="s">
        <v>30</v>
      </c>
    </row>
    <row r="615">
      <c r="A615" s="17" t="s">
        <v>654</v>
      </c>
      <c r="B615" s="18">
        <v>20000.0</v>
      </c>
      <c r="C615" s="19">
        <f t="shared" si="156"/>
        <v>350</v>
      </c>
      <c r="D615" s="20">
        <v>45789.0</v>
      </c>
      <c r="E615" s="17" t="s">
        <v>15</v>
      </c>
      <c r="F615" s="17" t="s">
        <v>28</v>
      </c>
      <c r="H615" s="17" t="s">
        <v>54</v>
      </c>
      <c r="K615" s="17">
        <v>120.0</v>
      </c>
    </row>
    <row r="616">
      <c r="A616" s="17" t="s">
        <v>655</v>
      </c>
      <c r="B616" s="18">
        <v>45000.0</v>
      </c>
      <c r="C616" s="19">
        <f t="shared" ref="C616:C617" si="157">0.0125*B616</f>
        <v>562.5</v>
      </c>
      <c r="D616" s="20">
        <v>45789.0</v>
      </c>
      <c r="E616" s="17" t="s">
        <v>11</v>
      </c>
      <c r="F616" s="17" t="s">
        <v>12</v>
      </c>
    </row>
    <row r="617">
      <c r="A617" s="17" t="s">
        <v>656</v>
      </c>
      <c r="B617" s="18">
        <v>280000.0</v>
      </c>
      <c r="C617" s="19">
        <f t="shared" si="157"/>
        <v>3500</v>
      </c>
      <c r="D617" s="20">
        <v>45790.0</v>
      </c>
      <c r="E617" s="17" t="s">
        <v>11</v>
      </c>
      <c r="F617" s="17" t="s">
        <v>28</v>
      </c>
      <c r="I617" s="35" t="s">
        <v>30</v>
      </c>
    </row>
    <row r="618">
      <c r="A618" s="17" t="s">
        <v>657</v>
      </c>
      <c r="B618" s="18">
        <v>500000.0</v>
      </c>
      <c r="C618" s="19">
        <f>0.0175*B618</f>
        <v>8750</v>
      </c>
      <c r="D618" s="20">
        <v>45790.0</v>
      </c>
      <c r="E618" s="17" t="s">
        <v>118</v>
      </c>
      <c r="F618" s="17" t="s">
        <v>28</v>
      </c>
      <c r="H618" s="17" t="s">
        <v>13</v>
      </c>
      <c r="I618" s="35" t="s">
        <v>30</v>
      </c>
    </row>
    <row r="619">
      <c r="A619" s="17" t="s">
        <v>658</v>
      </c>
      <c r="B619" s="18">
        <v>1500000.0</v>
      </c>
      <c r="C619" s="19">
        <f t="shared" ref="C619:C620" si="158">0.0125*B619</f>
        <v>18750</v>
      </c>
      <c r="D619" s="20">
        <v>45790.0</v>
      </c>
      <c r="E619" s="17" t="s">
        <v>24</v>
      </c>
      <c r="F619" s="17" t="s">
        <v>12</v>
      </c>
      <c r="H619" s="17" t="s">
        <v>619</v>
      </c>
    </row>
    <row r="620">
      <c r="A620" s="17" t="s">
        <v>659</v>
      </c>
      <c r="B620" s="18">
        <v>645000.0</v>
      </c>
      <c r="C620" s="19">
        <f t="shared" si="158"/>
        <v>8062.5</v>
      </c>
      <c r="D620" s="20">
        <v>45790.0</v>
      </c>
      <c r="E620" s="17" t="s">
        <v>118</v>
      </c>
      <c r="F620" s="17" t="s">
        <v>12</v>
      </c>
      <c r="H620" s="17" t="s">
        <v>22</v>
      </c>
    </row>
    <row r="621">
      <c r="A621" s="17" t="s">
        <v>660</v>
      </c>
      <c r="B621" s="18">
        <v>25000.0</v>
      </c>
      <c r="C621" s="19">
        <f>0.0175*B621</f>
        <v>437.5</v>
      </c>
      <c r="D621" s="20">
        <v>45790.0</v>
      </c>
      <c r="E621" s="17" t="s">
        <v>15</v>
      </c>
      <c r="F621" s="17" t="s">
        <v>28</v>
      </c>
      <c r="H621" s="17" t="s">
        <v>51</v>
      </c>
      <c r="K621" s="17">
        <v>125.0</v>
      </c>
    </row>
    <row r="622">
      <c r="A622" s="17" t="s">
        <v>661</v>
      </c>
      <c r="B622" s="18">
        <v>150000.0</v>
      </c>
      <c r="C622" s="19">
        <f>0.0125*B622</f>
        <v>1875</v>
      </c>
      <c r="D622" s="20">
        <v>45790.0</v>
      </c>
      <c r="E622" s="17" t="s">
        <v>24</v>
      </c>
      <c r="F622" s="17" t="s">
        <v>12</v>
      </c>
      <c r="H622" s="17" t="s">
        <v>619</v>
      </c>
    </row>
    <row r="623">
      <c r="A623" s="17" t="s">
        <v>662</v>
      </c>
      <c r="B623" s="18">
        <v>200000.0</v>
      </c>
      <c r="C623" s="19">
        <f t="shared" ref="C623:C625" si="159">0.0175*B623</f>
        <v>3500</v>
      </c>
      <c r="D623" s="20">
        <v>45790.0</v>
      </c>
      <c r="E623" s="17" t="s">
        <v>60</v>
      </c>
      <c r="F623" s="17" t="s">
        <v>28</v>
      </c>
      <c r="I623" s="35" t="s">
        <v>30</v>
      </c>
    </row>
    <row r="624">
      <c r="A624" s="17" t="s">
        <v>663</v>
      </c>
      <c r="B624" s="18">
        <v>150000.0</v>
      </c>
      <c r="C624" s="19">
        <f t="shared" si="159"/>
        <v>2625</v>
      </c>
      <c r="D624" s="20">
        <v>45790.0</v>
      </c>
      <c r="E624" s="17" t="s">
        <v>60</v>
      </c>
      <c r="F624" s="17" t="s">
        <v>28</v>
      </c>
      <c r="I624" s="35" t="s">
        <v>30</v>
      </c>
    </row>
    <row r="625">
      <c r="A625" s="17" t="s">
        <v>664</v>
      </c>
      <c r="B625" s="18">
        <v>70000.0</v>
      </c>
      <c r="C625" s="19">
        <f t="shared" si="159"/>
        <v>1225</v>
      </c>
      <c r="D625" s="20">
        <v>45790.0</v>
      </c>
      <c r="E625" s="17" t="s">
        <v>11</v>
      </c>
      <c r="F625" s="17" t="s">
        <v>28</v>
      </c>
      <c r="I625" s="35" t="s">
        <v>30</v>
      </c>
    </row>
    <row r="626">
      <c r="A626" s="17" t="s">
        <v>665</v>
      </c>
      <c r="B626" s="18">
        <v>300000.0</v>
      </c>
      <c r="C626" s="19">
        <f>0.0125*B626</f>
        <v>3750</v>
      </c>
      <c r="D626" s="20">
        <v>45790.0</v>
      </c>
      <c r="E626" s="17" t="s">
        <v>24</v>
      </c>
      <c r="F626" s="17" t="s">
        <v>12</v>
      </c>
      <c r="H626" s="17" t="s">
        <v>619</v>
      </c>
    </row>
    <row r="627">
      <c r="A627" s="17" t="s">
        <v>666</v>
      </c>
      <c r="B627" s="18">
        <v>100000.0</v>
      </c>
      <c r="C627" s="19">
        <f t="shared" ref="C627:C629" si="160">0.0175*B627</f>
        <v>1750</v>
      </c>
      <c r="D627" s="20">
        <v>45791.0</v>
      </c>
      <c r="E627" s="17" t="s">
        <v>60</v>
      </c>
      <c r="F627" s="17" t="s">
        <v>28</v>
      </c>
      <c r="I627" s="35" t="s">
        <v>30</v>
      </c>
    </row>
    <row r="628">
      <c r="A628" s="17" t="s">
        <v>505</v>
      </c>
      <c r="B628" s="18">
        <v>25000.0</v>
      </c>
      <c r="C628" s="19">
        <f t="shared" si="160"/>
        <v>437.5</v>
      </c>
      <c r="D628" s="20">
        <v>45791.0</v>
      </c>
      <c r="E628" s="17" t="s">
        <v>11</v>
      </c>
      <c r="F628" s="17" t="s">
        <v>67</v>
      </c>
    </row>
    <row r="629">
      <c r="A629" s="17" t="s">
        <v>667</v>
      </c>
      <c r="B629" s="18">
        <v>650000.0</v>
      </c>
      <c r="C629" s="19">
        <f t="shared" si="160"/>
        <v>11375</v>
      </c>
      <c r="D629" s="20">
        <v>45791.0</v>
      </c>
      <c r="E629" s="17" t="s">
        <v>11</v>
      </c>
      <c r="F629" s="17" t="s">
        <v>67</v>
      </c>
      <c r="I629" s="35" t="s">
        <v>30</v>
      </c>
    </row>
    <row r="630">
      <c r="A630" s="17" t="s">
        <v>668</v>
      </c>
      <c r="B630" s="18">
        <v>100000.0</v>
      </c>
      <c r="C630" s="19">
        <f>0.0125*B630</f>
        <v>1250</v>
      </c>
      <c r="D630" s="20">
        <v>45791.0</v>
      </c>
      <c r="E630" s="17" t="s">
        <v>24</v>
      </c>
      <c r="F630" s="17" t="s">
        <v>12</v>
      </c>
      <c r="H630" s="17" t="s">
        <v>25</v>
      </c>
    </row>
    <row r="631">
      <c r="A631" s="17" t="s">
        <v>669</v>
      </c>
      <c r="B631" s="18">
        <v>50000.0</v>
      </c>
      <c r="C631" s="19">
        <f>0.0175*B631</f>
        <v>875</v>
      </c>
      <c r="D631" s="20">
        <v>45791.0</v>
      </c>
      <c r="E631" s="17" t="s">
        <v>11</v>
      </c>
      <c r="F631" s="17" t="s">
        <v>28</v>
      </c>
      <c r="I631" s="35" t="s">
        <v>30</v>
      </c>
    </row>
    <row r="632">
      <c r="A632" s="17" t="s">
        <v>670</v>
      </c>
      <c r="B632" s="18">
        <v>180000.0</v>
      </c>
      <c r="C632" s="19">
        <f t="shared" ref="C632:C634" si="161">0.0125*B632</f>
        <v>2250</v>
      </c>
      <c r="D632" s="20">
        <v>45791.0</v>
      </c>
      <c r="E632" s="17" t="s">
        <v>60</v>
      </c>
      <c r="F632" s="17" t="s">
        <v>12</v>
      </c>
    </row>
    <row r="633">
      <c r="A633" s="17" t="s">
        <v>161</v>
      </c>
      <c r="B633" s="18">
        <v>165000.0</v>
      </c>
      <c r="C633" s="19">
        <f t="shared" si="161"/>
        <v>2062.5</v>
      </c>
      <c r="D633" s="20">
        <v>45791.0</v>
      </c>
      <c r="E633" s="17" t="s">
        <v>24</v>
      </c>
      <c r="F633" s="17" t="s">
        <v>12</v>
      </c>
      <c r="H633" s="17" t="s">
        <v>619</v>
      </c>
    </row>
    <row r="634">
      <c r="A634" s="17" t="s">
        <v>671</v>
      </c>
      <c r="B634" s="18">
        <v>380000.0</v>
      </c>
      <c r="C634" s="19">
        <f t="shared" si="161"/>
        <v>4750</v>
      </c>
      <c r="D634" s="20">
        <v>45791.0</v>
      </c>
      <c r="E634" s="17" t="s">
        <v>15</v>
      </c>
      <c r="F634" s="17" t="s">
        <v>12</v>
      </c>
      <c r="H634" s="17" t="s">
        <v>98</v>
      </c>
      <c r="K634" s="17">
        <v>1140.0</v>
      </c>
    </row>
    <row r="635">
      <c r="A635" s="17" t="s">
        <v>672</v>
      </c>
      <c r="B635" s="18">
        <v>12000.0</v>
      </c>
      <c r="C635" s="19">
        <f t="shared" ref="C635:C637" si="162">0.0175*B635</f>
        <v>210</v>
      </c>
      <c r="D635" s="20">
        <v>45791.0</v>
      </c>
      <c r="E635" s="17" t="s">
        <v>11</v>
      </c>
      <c r="F635" s="17" t="s">
        <v>28</v>
      </c>
    </row>
    <row r="636">
      <c r="A636" s="17" t="s">
        <v>673</v>
      </c>
      <c r="B636" s="18">
        <v>60000.0</v>
      </c>
      <c r="C636" s="19">
        <f t="shared" si="162"/>
        <v>1050</v>
      </c>
      <c r="D636" s="20">
        <v>45792.0</v>
      </c>
      <c r="E636" s="17" t="s">
        <v>11</v>
      </c>
      <c r="F636" s="17" t="s">
        <v>67</v>
      </c>
    </row>
    <row r="637">
      <c r="A637" s="17" t="s">
        <v>674</v>
      </c>
      <c r="B637" s="18">
        <v>70000.0</v>
      </c>
      <c r="C637" s="19">
        <f t="shared" si="162"/>
        <v>1225</v>
      </c>
      <c r="D637" s="20">
        <v>45792.0</v>
      </c>
      <c r="E637" s="17" t="s">
        <v>135</v>
      </c>
      <c r="F637" s="17" t="s">
        <v>28</v>
      </c>
      <c r="H637" s="17" t="s">
        <v>13</v>
      </c>
      <c r="I637" s="35" t="s">
        <v>30</v>
      </c>
    </row>
    <row r="638">
      <c r="A638" s="17" t="s">
        <v>675</v>
      </c>
      <c r="B638" s="18">
        <v>60000.0</v>
      </c>
      <c r="C638" s="19">
        <f>0.0125*B638</f>
        <v>750</v>
      </c>
      <c r="D638" s="20">
        <v>45792.0</v>
      </c>
      <c r="E638" s="17" t="s">
        <v>11</v>
      </c>
      <c r="F638" s="17" t="s">
        <v>12</v>
      </c>
    </row>
    <row r="639">
      <c r="A639" s="17" t="s">
        <v>676</v>
      </c>
      <c r="B639" s="18">
        <v>250000.0</v>
      </c>
      <c r="C639" s="19">
        <f t="shared" ref="C639:C647" si="163">0.0175*B639</f>
        <v>4375</v>
      </c>
      <c r="D639" s="20">
        <v>45792.0</v>
      </c>
      <c r="E639" s="17" t="s">
        <v>11</v>
      </c>
      <c r="F639" s="17" t="s">
        <v>41</v>
      </c>
    </row>
    <row r="640">
      <c r="A640" s="17" t="s">
        <v>677</v>
      </c>
      <c r="B640" s="18">
        <v>625000.0</v>
      </c>
      <c r="C640" s="19">
        <f t="shared" si="163"/>
        <v>10937.5</v>
      </c>
      <c r="D640" s="20">
        <v>45792.0</v>
      </c>
      <c r="E640" s="17" t="s">
        <v>24</v>
      </c>
      <c r="F640" s="17" t="s">
        <v>28</v>
      </c>
      <c r="H640" s="17" t="s">
        <v>642</v>
      </c>
      <c r="I640" s="35" t="s">
        <v>30</v>
      </c>
    </row>
    <row r="641">
      <c r="A641" s="17" t="s">
        <v>678</v>
      </c>
      <c r="B641" s="18">
        <v>200000.0</v>
      </c>
      <c r="C641" s="19">
        <f t="shared" si="163"/>
        <v>3500</v>
      </c>
      <c r="D641" s="20">
        <v>45792.0</v>
      </c>
      <c r="E641" s="17" t="s">
        <v>118</v>
      </c>
      <c r="F641" s="17" t="s">
        <v>28</v>
      </c>
      <c r="H641" s="17" t="s">
        <v>13</v>
      </c>
      <c r="I641" s="35" t="s">
        <v>30</v>
      </c>
    </row>
    <row r="642">
      <c r="A642" s="17" t="s">
        <v>679</v>
      </c>
      <c r="B642" s="18">
        <v>65000.0</v>
      </c>
      <c r="C642" s="19">
        <f t="shared" si="163"/>
        <v>1137.5</v>
      </c>
      <c r="D642" s="20">
        <v>45792.0</v>
      </c>
      <c r="E642" s="17" t="s">
        <v>11</v>
      </c>
      <c r="F642" s="17" t="s">
        <v>28</v>
      </c>
      <c r="I642" s="35" t="s">
        <v>30</v>
      </c>
    </row>
    <row r="643">
      <c r="A643" s="17" t="s">
        <v>453</v>
      </c>
      <c r="B643" s="18">
        <v>70000.0</v>
      </c>
      <c r="C643" s="19">
        <f t="shared" si="163"/>
        <v>1225</v>
      </c>
      <c r="D643" s="20">
        <v>45792.0</v>
      </c>
      <c r="E643" s="17" t="s">
        <v>60</v>
      </c>
      <c r="F643" s="17" t="s">
        <v>67</v>
      </c>
      <c r="I643" s="35" t="s">
        <v>30</v>
      </c>
    </row>
    <row r="644">
      <c r="A644" s="17" t="s">
        <v>680</v>
      </c>
      <c r="B644" s="18">
        <v>150000.0</v>
      </c>
      <c r="C644" s="19">
        <f t="shared" si="163"/>
        <v>2625</v>
      </c>
      <c r="D644" s="20">
        <v>45793.0</v>
      </c>
      <c r="E644" s="17" t="s">
        <v>60</v>
      </c>
      <c r="F644" s="17" t="s">
        <v>28</v>
      </c>
      <c r="I644" s="35" t="s">
        <v>30</v>
      </c>
    </row>
    <row r="645">
      <c r="A645" s="17" t="s">
        <v>681</v>
      </c>
      <c r="B645" s="18">
        <v>60000.0</v>
      </c>
      <c r="C645" s="19">
        <f t="shared" si="163"/>
        <v>1050</v>
      </c>
      <c r="D645" s="20">
        <v>45793.0</v>
      </c>
      <c r="E645" s="17" t="s">
        <v>11</v>
      </c>
      <c r="F645" s="17" t="s">
        <v>67</v>
      </c>
      <c r="I645" s="35" t="s">
        <v>30</v>
      </c>
    </row>
    <row r="646">
      <c r="A646" s="17" t="s">
        <v>163</v>
      </c>
      <c r="B646" s="18">
        <v>500000.0</v>
      </c>
      <c r="C646" s="19">
        <f t="shared" si="163"/>
        <v>8750</v>
      </c>
      <c r="D646" s="20">
        <v>45793.0</v>
      </c>
      <c r="E646" s="17" t="s">
        <v>11</v>
      </c>
      <c r="F646" s="17" t="s">
        <v>67</v>
      </c>
      <c r="I646" s="35" t="s">
        <v>30</v>
      </c>
    </row>
    <row r="647">
      <c r="A647" s="17" t="s">
        <v>682</v>
      </c>
      <c r="B647" s="18">
        <v>150000.0</v>
      </c>
      <c r="C647" s="19">
        <f t="shared" si="163"/>
        <v>2625</v>
      </c>
      <c r="D647" s="20">
        <v>45793.0</v>
      </c>
      <c r="E647" s="17" t="s">
        <v>15</v>
      </c>
      <c r="F647" s="17" t="s">
        <v>41</v>
      </c>
      <c r="H647" s="17" t="s">
        <v>98</v>
      </c>
      <c r="I647" s="35" t="s">
        <v>30</v>
      </c>
      <c r="K647" s="17">
        <v>450.0</v>
      </c>
    </row>
    <row r="648">
      <c r="A648" s="17" t="s">
        <v>683</v>
      </c>
      <c r="B648" s="18">
        <v>250000.0</v>
      </c>
      <c r="C648" s="19">
        <f>0.0125*B648</f>
        <v>3125</v>
      </c>
      <c r="D648" s="20">
        <v>45793.0</v>
      </c>
      <c r="E648" s="17" t="s">
        <v>11</v>
      </c>
      <c r="F648" s="17" t="s">
        <v>12</v>
      </c>
    </row>
    <row r="649">
      <c r="A649" s="17" t="s">
        <v>684</v>
      </c>
      <c r="B649" s="18">
        <v>200000.0</v>
      </c>
      <c r="C649" s="19">
        <f t="shared" ref="C649:C650" si="164">0.0175*B649</f>
        <v>3500</v>
      </c>
      <c r="D649" s="20">
        <v>45793.0</v>
      </c>
      <c r="E649" s="17" t="s">
        <v>15</v>
      </c>
      <c r="F649" s="17" t="s">
        <v>28</v>
      </c>
      <c r="H649" s="17" t="s">
        <v>390</v>
      </c>
      <c r="I649" s="35" t="s">
        <v>30</v>
      </c>
      <c r="K649" s="17">
        <v>100.0</v>
      </c>
    </row>
    <row r="650">
      <c r="A650" s="17" t="s">
        <v>685</v>
      </c>
      <c r="B650" s="18">
        <v>200000.0</v>
      </c>
      <c r="C650" s="19">
        <f t="shared" si="164"/>
        <v>3500</v>
      </c>
      <c r="D650" s="20">
        <v>45796.0</v>
      </c>
      <c r="E650" s="17" t="s">
        <v>11</v>
      </c>
      <c r="F650" s="17" t="s">
        <v>41</v>
      </c>
      <c r="I650" s="35" t="s">
        <v>30</v>
      </c>
    </row>
    <row r="651">
      <c r="A651" s="17" t="s">
        <v>543</v>
      </c>
      <c r="B651" s="18">
        <v>140000.0</v>
      </c>
      <c r="C651" s="19">
        <f t="shared" ref="C651:C656" si="165">0.0125*B651</f>
        <v>1750</v>
      </c>
      <c r="D651" s="20">
        <v>45796.0</v>
      </c>
      <c r="E651" s="17" t="s">
        <v>73</v>
      </c>
      <c r="F651" s="17" t="s">
        <v>12</v>
      </c>
    </row>
    <row r="652">
      <c r="A652" s="17" t="s">
        <v>52</v>
      </c>
      <c r="B652" s="32">
        <v>1400000.0</v>
      </c>
      <c r="C652" s="19">
        <f t="shared" si="165"/>
        <v>17500</v>
      </c>
      <c r="D652" s="20">
        <v>45796.0</v>
      </c>
      <c r="E652" s="17" t="s">
        <v>11</v>
      </c>
      <c r="F652" s="17" t="s">
        <v>12</v>
      </c>
    </row>
    <row r="653">
      <c r="A653" s="17" t="s">
        <v>686</v>
      </c>
      <c r="B653" s="32">
        <v>250000.0</v>
      </c>
      <c r="C653" s="19">
        <f t="shared" si="165"/>
        <v>3125</v>
      </c>
      <c r="D653" s="20">
        <v>45796.0</v>
      </c>
      <c r="E653" s="17" t="s">
        <v>11</v>
      </c>
      <c r="F653" s="17" t="s">
        <v>12</v>
      </c>
    </row>
    <row r="654">
      <c r="A654" s="17" t="s">
        <v>181</v>
      </c>
      <c r="B654" s="18">
        <v>30000.0</v>
      </c>
      <c r="C654" s="19">
        <f t="shared" si="165"/>
        <v>375</v>
      </c>
      <c r="D654" s="20">
        <v>45796.0</v>
      </c>
      <c r="E654" s="17" t="s">
        <v>15</v>
      </c>
      <c r="F654" s="17" t="s">
        <v>12</v>
      </c>
      <c r="H654" s="17" t="s">
        <v>54</v>
      </c>
      <c r="K654" s="17">
        <v>180.0</v>
      </c>
    </row>
    <row r="655">
      <c r="A655" s="17" t="s">
        <v>687</v>
      </c>
      <c r="B655" s="32">
        <v>1650000.0</v>
      </c>
      <c r="C655" s="33">
        <f t="shared" si="165"/>
        <v>20625</v>
      </c>
      <c r="D655" s="20">
        <v>45797.0</v>
      </c>
      <c r="E655" s="17" t="s">
        <v>15</v>
      </c>
      <c r="F655" s="17" t="s">
        <v>12</v>
      </c>
      <c r="H655" s="17" t="s">
        <v>149</v>
      </c>
      <c r="K655" s="17">
        <v>4125.0</v>
      </c>
    </row>
    <row r="656">
      <c r="A656" s="17" t="s">
        <v>688</v>
      </c>
      <c r="B656" s="32">
        <v>80000.0</v>
      </c>
      <c r="C656" s="33">
        <f t="shared" si="165"/>
        <v>1000</v>
      </c>
      <c r="D656" s="20">
        <v>45797.0</v>
      </c>
      <c r="E656" s="17" t="s">
        <v>11</v>
      </c>
      <c r="F656" s="17" t="s">
        <v>12</v>
      </c>
    </row>
    <row r="657">
      <c r="A657" s="17" t="s">
        <v>689</v>
      </c>
      <c r="B657" s="32">
        <v>13000.0</v>
      </c>
      <c r="C657" s="33">
        <f>0.0175*B657</f>
        <v>227.5</v>
      </c>
      <c r="D657" s="20">
        <v>45797.0</v>
      </c>
      <c r="E657" s="17" t="s">
        <v>21</v>
      </c>
      <c r="F657" s="17" t="s">
        <v>28</v>
      </c>
      <c r="H657" s="17" t="s">
        <v>13</v>
      </c>
      <c r="I657" s="35" t="s">
        <v>30</v>
      </c>
    </row>
    <row r="658">
      <c r="A658" s="17" t="s">
        <v>690</v>
      </c>
      <c r="B658" s="32">
        <v>350000.0</v>
      </c>
      <c r="C658" s="33">
        <f>0.0125*B658</f>
        <v>4375</v>
      </c>
      <c r="D658" s="20">
        <v>45797.0</v>
      </c>
      <c r="E658" s="17" t="s">
        <v>24</v>
      </c>
      <c r="F658" s="17" t="s">
        <v>12</v>
      </c>
      <c r="H658" s="17" t="s">
        <v>619</v>
      </c>
    </row>
    <row r="659">
      <c r="A659" s="17" t="s">
        <v>527</v>
      </c>
      <c r="B659" s="32">
        <v>50000.0</v>
      </c>
      <c r="C659" s="33">
        <f>0.0175*B659</f>
        <v>875</v>
      </c>
      <c r="D659" s="20">
        <v>45797.0</v>
      </c>
      <c r="E659" s="17" t="s">
        <v>11</v>
      </c>
      <c r="F659" s="17" t="s">
        <v>67</v>
      </c>
    </row>
    <row r="660">
      <c r="A660" s="17" t="s">
        <v>691</v>
      </c>
      <c r="B660" s="32">
        <v>50000.0</v>
      </c>
      <c r="C660" s="33">
        <f>0.0125*B660</f>
        <v>625</v>
      </c>
      <c r="D660" s="20">
        <v>45798.0</v>
      </c>
      <c r="E660" s="17" t="s">
        <v>15</v>
      </c>
      <c r="F660" s="17" t="s">
        <v>144</v>
      </c>
      <c r="H660" s="17" t="s">
        <v>54</v>
      </c>
      <c r="K660" s="17">
        <v>300.0</v>
      </c>
    </row>
    <row r="661">
      <c r="A661" s="17" t="s">
        <v>692</v>
      </c>
      <c r="B661" s="32">
        <v>325000.0</v>
      </c>
      <c r="C661" s="33">
        <f t="shared" ref="C661:C662" si="166">0.0175*B661</f>
        <v>5687.5</v>
      </c>
      <c r="D661" s="20">
        <v>45798.0</v>
      </c>
      <c r="E661" s="17" t="s">
        <v>11</v>
      </c>
      <c r="F661" s="17" t="s">
        <v>28</v>
      </c>
      <c r="I661" s="35" t="s">
        <v>30</v>
      </c>
    </row>
    <row r="662">
      <c r="A662" s="17" t="s">
        <v>693</v>
      </c>
      <c r="B662" s="32">
        <v>200000.0</v>
      </c>
      <c r="C662" s="33">
        <f t="shared" si="166"/>
        <v>3500</v>
      </c>
      <c r="D662" s="20">
        <v>45798.0</v>
      </c>
      <c r="E662" s="17" t="s">
        <v>11</v>
      </c>
      <c r="F662" s="17" t="s">
        <v>28</v>
      </c>
      <c r="I662" s="35" t="s">
        <v>30</v>
      </c>
    </row>
    <row r="663">
      <c r="A663" s="17" t="s">
        <v>694</v>
      </c>
      <c r="B663" s="32">
        <v>250000.0</v>
      </c>
      <c r="C663" s="33">
        <f>0.0125*B663</f>
        <v>3125</v>
      </c>
      <c r="D663" s="20">
        <v>45798.0</v>
      </c>
      <c r="E663" s="17" t="s">
        <v>75</v>
      </c>
      <c r="F663" s="17" t="s">
        <v>12</v>
      </c>
    </row>
    <row r="664">
      <c r="A664" s="17" t="s">
        <v>695</v>
      </c>
      <c r="B664" s="32">
        <v>100000.0</v>
      </c>
      <c r="C664" s="33">
        <f t="shared" ref="C664:C669" si="167">0.0175*B664</f>
        <v>1750</v>
      </c>
      <c r="D664" s="20">
        <v>45798.0</v>
      </c>
      <c r="E664" s="17" t="s">
        <v>15</v>
      </c>
      <c r="F664" s="17" t="s">
        <v>28</v>
      </c>
      <c r="H664" s="17" t="s">
        <v>51</v>
      </c>
      <c r="I664" s="35" t="s">
        <v>30</v>
      </c>
      <c r="K664" s="17">
        <v>500.0</v>
      </c>
    </row>
    <row r="665">
      <c r="A665" s="17" t="s">
        <v>696</v>
      </c>
      <c r="B665" s="32">
        <v>1500000.0</v>
      </c>
      <c r="C665" s="33">
        <f t="shared" si="167"/>
        <v>26250</v>
      </c>
      <c r="D665" s="20">
        <v>45798.0</v>
      </c>
      <c r="E665" s="17" t="s">
        <v>118</v>
      </c>
      <c r="F665" s="17" t="s">
        <v>28</v>
      </c>
      <c r="H665" s="17" t="s">
        <v>13</v>
      </c>
      <c r="I665" s="35" t="s">
        <v>30</v>
      </c>
    </row>
    <row r="666">
      <c r="A666" s="17" t="s">
        <v>697</v>
      </c>
      <c r="B666" s="32">
        <v>30000.0</v>
      </c>
      <c r="C666" s="33">
        <f t="shared" si="167"/>
        <v>525</v>
      </c>
      <c r="D666" s="20">
        <v>45798.0</v>
      </c>
      <c r="E666" s="17" t="s">
        <v>15</v>
      </c>
      <c r="F666" s="17" t="s">
        <v>28</v>
      </c>
      <c r="H666" s="17" t="s">
        <v>35</v>
      </c>
      <c r="I666" s="35" t="s">
        <v>30</v>
      </c>
      <c r="K666" s="17">
        <v>60.0</v>
      </c>
    </row>
    <row r="667">
      <c r="A667" s="17" t="s">
        <v>698</v>
      </c>
      <c r="B667" s="32">
        <v>125000.0</v>
      </c>
      <c r="C667" s="33">
        <f t="shared" si="167"/>
        <v>2187.5</v>
      </c>
      <c r="D667" s="20">
        <v>45798.0</v>
      </c>
      <c r="E667" s="17" t="s">
        <v>118</v>
      </c>
      <c r="F667" s="17" t="s">
        <v>28</v>
      </c>
      <c r="H667" s="17" t="s">
        <v>13</v>
      </c>
      <c r="I667" s="35" t="s">
        <v>30</v>
      </c>
    </row>
    <row r="668">
      <c r="A668" s="17" t="s">
        <v>699</v>
      </c>
      <c r="B668" s="32">
        <v>70000.0</v>
      </c>
      <c r="C668" s="33">
        <f t="shared" si="167"/>
        <v>1225</v>
      </c>
      <c r="D668" s="20">
        <v>45799.0</v>
      </c>
      <c r="E668" s="17" t="s">
        <v>15</v>
      </c>
      <c r="F668" s="17" t="s">
        <v>28</v>
      </c>
      <c r="H668" s="17" t="s">
        <v>51</v>
      </c>
      <c r="K668" s="17">
        <v>350.0</v>
      </c>
    </row>
    <row r="669">
      <c r="A669" s="17" t="s">
        <v>700</v>
      </c>
      <c r="B669" s="32">
        <v>100000.0</v>
      </c>
      <c r="C669" s="33">
        <f t="shared" si="167"/>
        <v>1750</v>
      </c>
      <c r="D669" s="20">
        <v>45799.0</v>
      </c>
      <c r="E669" s="17" t="s">
        <v>69</v>
      </c>
      <c r="F669" s="17" t="s">
        <v>28</v>
      </c>
      <c r="H669" s="17" t="s">
        <v>13</v>
      </c>
      <c r="I669" s="35" t="s">
        <v>30</v>
      </c>
    </row>
    <row r="670">
      <c r="A670" s="17" t="s">
        <v>81</v>
      </c>
      <c r="B670" s="32">
        <v>95000.0</v>
      </c>
      <c r="C670" s="33">
        <f t="shared" ref="C670:C671" si="168">0.0125*B670</f>
        <v>1187.5</v>
      </c>
      <c r="D670" s="20">
        <v>45800.0</v>
      </c>
      <c r="E670" s="17" t="s">
        <v>11</v>
      </c>
      <c r="F670" s="17" t="s">
        <v>12</v>
      </c>
    </row>
    <row r="671">
      <c r="A671" s="17" t="s">
        <v>701</v>
      </c>
      <c r="B671" s="18">
        <v>65000.0</v>
      </c>
      <c r="C671" s="19">
        <f t="shared" si="168"/>
        <v>812.5</v>
      </c>
      <c r="D671" s="20">
        <v>45800.0</v>
      </c>
      <c r="E671" s="17" t="s">
        <v>73</v>
      </c>
      <c r="F671" s="17" t="s">
        <v>12</v>
      </c>
    </row>
    <row r="672">
      <c r="A672" s="17" t="s">
        <v>702</v>
      </c>
      <c r="B672" s="18">
        <v>250000.0</v>
      </c>
      <c r="C672" s="19">
        <f t="shared" ref="C672:C673" si="169">0.0175*B672</f>
        <v>4375</v>
      </c>
      <c r="D672" s="20">
        <v>45800.0</v>
      </c>
      <c r="E672" s="17" t="s">
        <v>118</v>
      </c>
      <c r="F672" s="17" t="s">
        <v>28</v>
      </c>
      <c r="H672" s="17" t="s">
        <v>13</v>
      </c>
      <c r="I672" s="35" t="s">
        <v>30</v>
      </c>
    </row>
    <row r="673">
      <c r="A673" s="17" t="s">
        <v>703</v>
      </c>
      <c r="B673" s="18">
        <v>100000.0</v>
      </c>
      <c r="C673" s="19">
        <f t="shared" si="169"/>
        <v>1750</v>
      </c>
      <c r="D673" s="20">
        <v>45800.0</v>
      </c>
      <c r="E673" s="17" t="s">
        <v>11</v>
      </c>
      <c r="F673" s="17" t="s">
        <v>28</v>
      </c>
      <c r="I673" s="35" t="s">
        <v>30</v>
      </c>
    </row>
    <row r="674">
      <c r="A674" s="17" t="s">
        <v>239</v>
      </c>
      <c r="B674" s="18">
        <v>100000.0</v>
      </c>
      <c r="C674" s="19">
        <f>0.0125*B674</f>
        <v>1250</v>
      </c>
      <c r="D674" s="20">
        <v>45800.0</v>
      </c>
      <c r="E674" s="17" t="s">
        <v>73</v>
      </c>
      <c r="F674" s="17" t="s">
        <v>144</v>
      </c>
    </row>
    <row r="675">
      <c r="A675" s="17" t="s">
        <v>704</v>
      </c>
      <c r="B675" s="18">
        <v>100000.0</v>
      </c>
      <c r="C675" s="19">
        <f>0.0175*B675</f>
        <v>1750</v>
      </c>
      <c r="D675" s="20">
        <v>45800.0</v>
      </c>
      <c r="E675" s="17" t="s">
        <v>11</v>
      </c>
      <c r="F675" s="17" t="s">
        <v>28</v>
      </c>
      <c r="I675" s="35" t="s">
        <v>30</v>
      </c>
    </row>
    <row r="676">
      <c r="A676" s="17" t="s">
        <v>705</v>
      </c>
      <c r="B676" s="18">
        <v>100000.0</v>
      </c>
      <c r="C676" s="19">
        <f t="shared" ref="C676:C678" si="170">0.0125*B676</f>
        <v>1250</v>
      </c>
      <c r="D676" s="20">
        <v>45800.0</v>
      </c>
      <c r="E676" s="17" t="s">
        <v>11</v>
      </c>
      <c r="F676" s="17" t="s">
        <v>12</v>
      </c>
      <c r="H676" s="17" t="s">
        <v>619</v>
      </c>
    </row>
    <row r="677">
      <c r="A677" s="17" t="s">
        <v>706</v>
      </c>
      <c r="B677" s="18">
        <v>200000.0</v>
      </c>
      <c r="C677" s="19">
        <f t="shared" si="170"/>
        <v>2500</v>
      </c>
      <c r="D677" s="20">
        <v>45800.0</v>
      </c>
      <c r="E677" s="17" t="s">
        <v>24</v>
      </c>
      <c r="F677" s="17" t="s">
        <v>12</v>
      </c>
    </row>
    <row r="678">
      <c r="A678" s="17" t="s">
        <v>277</v>
      </c>
      <c r="B678" s="18">
        <v>1250000.0</v>
      </c>
      <c r="C678" s="19">
        <f t="shared" si="170"/>
        <v>15625</v>
      </c>
      <c r="D678" s="20">
        <v>45804.0</v>
      </c>
      <c r="E678" s="17" t="s">
        <v>15</v>
      </c>
      <c r="F678" s="17" t="s">
        <v>12</v>
      </c>
      <c r="H678" s="17" t="s">
        <v>149</v>
      </c>
      <c r="K678" s="17">
        <v>3125.0</v>
      </c>
    </row>
    <row r="679">
      <c r="A679" s="17" t="s">
        <v>707</v>
      </c>
      <c r="B679" s="18">
        <v>200000.0</v>
      </c>
      <c r="C679" s="19">
        <f t="shared" ref="C679:C681" si="171">0.0175*B679</f>
        <v>3500</v>
      </c>
      <c r="D679" s="20">
        <v>45804.0</v>
      </c>
      <c r="E679" s="17" t="s">
        <v>11</v>
      </c>
      <c r="F679" s="17" t="s">
        <v>28</v>
      </c>
      <c r="I679" s="35" t="s">
        <v>30</v>
      </c>
    </row>
    <row r="680">
      <c r="A680" s="17" t="s">
        <v>708</v>
      </c>
      <c r="B680" s="18">
        <v>250000.0</v>
      </c>
      <c r="C680" s="19">
        <f t="shared" si="171"/>
        <v>4375</v>
      </c>
      <c r="D680" s="20">
        <v>45804.0</v>
      </c>
      <c r="E680" s="17" t="s">
        <v>24</v>
      </c>
      <c r="F680" s="17" t="s">
        <v>28</v>
      </c>
      <c r="H680" s="17" t="s">
        <v>642</v>
      </c>
      <c r="I680" s="35" t="s">
        <v>30</v>
      </c>
    </row>
    <row r="681">
      <c r="A681" s="17" t="s">
        <v>709</v>
      </c>
      <c r="B681" s="18">
        <v>250000.0</v>
      </c>
      <c r="C681" s="19">
        <f t="shared" si="171"/>
        <v>4375</v>
      </c>
      <c r="D681" s="20">
        <v>45804.0</v>
      </c>
      <c r="E681" s="17" t="s">
        <v>60</v>
      </c>
      <c r="F681" s="17" t="s">
        <v>28</v>
      </c>
      <c r="I681" s="35" t="s">
        <v>30</v>
      </c>
    </row>
    <row r="682">
      <c r="A682" s="17" t="s">
        <v>710</v>
      </c>
      <c r="B682" s="18">
        <v>20000.0</v>
      </c>
      <c r="C682" s="19">
        <f>0.0125*B682</f>
        <v>250</v>
      </c>
      <c r="D682" s="20">
        <v>45804.0</v>
      </c>
      <c r="E682" s="17" t="s">
        <v>11</v>
      </c>
      <c r="F682" s="17" t="s">
        <v>12</v>
      </c>
    </row>
    <row r="683">
      <c r="A683" s="17" t="s">
        <v>711</v>
      </c>
      <c r="B683" s="18">
        <v>400000.0</v>
      </c>
      <c r="C683" s="19">
        <f t="shared" ref="C683:C684" si="172">0.0175*B683</f>
        <v>7000</v>
      </c>
      <c r="D683" s="20">
        <v>45804.0</v>
      </c>
      <c r="E683" s="17" t="s">
        <v>24</v>
      </c>
      <c r="F683" s="17" t="s">
        <v>28</v>
      </c>
      <c r="H683" s="17" t="s">
        <v>642</v>
      </c>
      <c r="I683" s="35" t="s">
        <v>30</v>
      </c>
    </row>
    <row r="684">
      <c r="A684" s="17" t="s">
        <v>712</v>
      </c>
      <c r="B684" s="18">
        <v>45000.0</v>
      </c>
      <c r="C684" s="19">
        <f t="shared" si="172"/>
        <v>787.5</v>
      </c>
      <c r="D684" s="20">
        <v>45804.0</v>
      </c>
      <c r="E684" s="17" t="s">
        <v>11</v>
      </c>
      <c r="F684" s="17" t="s">
        <v>28</v>
      </c>
    </row>
    <row r="685">
      <c r="A685" s="17" t="s">
        <v>713</v>
      </c>
      <c r="B685" s="18">
        <v>100000.0</v>
      </c>
      <c r="C685" s="19">
        <f t="shared" ref="C685:C687" si="173">0.0125*B685</f>
        <v>1250</v>
      </c>
      <c r="D685" s="20">
        <v>45804.0</v>
      </c>
      <c r="E685" s="17" t="s">
        <v>75</v>
      </c>
      <c r="F685" s="17" t="s">
        <v>12</v>
      </c>
    </row>
    <row r="686">
      <c r="A686" s="17" t="s">
        <v>714</v>
      </c>
      <c r="B686" s="18">
        <v>85000.0</v>
      </c>
      <c r="C686" s="19">
        <f t="shared" si="173"/>
        <v>1062.5</v>
      </c>
      <c r="D686" s="20">
        <v>45805.0</v>
      </c>
      <c r="E686" s="17" t="s">
        <v>11</v>
      </c>
      <c r="F686" s="17" t="s">
        <v>12</v>
      </c>
    </row>
    <row r="687">
      <c r="A687" s="17" t="s">
        <v>715</v>
      </c>
      <c r="B687" s="18">
        <v>35000.0</v>
      </c>
      <c r="C687" s="19">
        <f t="shared" si="173"/>
        <v>437.5</v>
      </c>
      <c r="D687" s="20">
        <v>45805.0</v>
      </c>
      <c r="E687" s="17" t="s">
        <v>11</v>
      </c>
      <c r="F687" s="17" t="s">
        <v>12</v>
      </c>
    </row>
    <row r="688">
      <c r="A688" s="17" t="s">
        <v>716</v>
      </c>
      <c r="B688" s="18">
        <v>65000.0</v>
      </c>
      <c r="C688" s="19">
        <f>0.0175*B688</f>
        <v>1137.5</v>
      </c>
      <c r="D688" s="20">
        <v>45805.0</v>
      </c>
      <c r="E688" s="17" t="s">
        <v>11</v>
      </c>
      <c r="F688" s="17" t="s">
        <v>28</v>
      </c>
      <c r="I688" s="35" t="s">
        <v>30</v>
      </c>
    </row>
    <row r="689">
      <c r="A689" s="17" t="s">
        <v>717</v>
      </c>
      <c r="B689" s="18">
        <v>900000.0</v>
      </c>
      <c r="C689" s="19">
        <f t="shared" ref="C689:C692" si="174">0.0125*B689</f>
        <v>11250</v>
      </c>
      <c r="D689" s="20">
        <v>45806.0</v>
      </c>
      <c r="E689" s="17" t="s">
        <v>24</v>
      </c>
      <c r="F689" s="17" t="s">
        <v>12</v>
      </c>
      <c r="H689" s="17" t="s">
        <v>619</v>
      </c>
    </row>
    <row r="690">
      <c r="A690" s="17" t="s">
        <v>718</v>
      </c>
      <c r="B690" s="32">
        <v>225000.0</v>
      </c>
      <c r="C690" s="33">
        <f t="shared" si="174"/>
        <v>2812.5</v>
      </c>
      <c r="D690" s="20">
        <v>45806.0</v>
      </c>
      <c r="E690" s="17" t="s">
        <v>73</v>
      </c>
      <c r="F690" s="17" t="s">
        <v>12</v>
      </c>
    </row>
    <row r="691">
      <c r="A691" s="17" t="s">
        <v>719</v>
      </c>
      <c r="B691" s="32">
        <v>100000.0</v>
      </c>
      <c r="C691" s="33">
        <f t="shared" si="174"/>
        <v>1250</v>
      </c>
      <c r="D691" s="20">
        <v>45806.0</v>
      </c>
      <c r="E691" s="17" t="s">
        <v>21</v>
      </c>
      <c r="F691" s="17" t="s">
        <v>12</v>
      </c>
      <c r="H691" s="17" t="s">
        <v>22</v>
      </c>
    </row>
    <row r="692">
      <c r="A692" s="17" t="s">
        <v>720</v>
      </c>
      <c r="B692" s="32">
        <v>325000.0</v>
      </c>
      <c r="C692" s="33">
        <f t="shared" si="174"/>
        <v>4062.5</v>
      </c>
      <c r="D692" s="20">
        <v>45806.0</v>
      </c>
      <c r="E692" s="17" t="s">
        <v>24</v>
      </c>
      <c r="F692" s="17" t="s">
        <v>12</v>
      </c>
      <c r="H692" s="17" t="s">
        <v>619</v>
      </c>
    </row>
    <row r="693">
      <c r="A693" s="17" t="s">
        <v>721</v>
      </c>
      <c r="B693" s="32">
        <v>900000.0</v>
      </c>
      <c r="C693" s="33">
        <f>0.0175*B693</f>
        <v>15750</v>
      </c>
      <c r="D693" s="20">
        <v>45806.0</v>
      </c>
      <c r="E693" s="17" t="s">
        <v>118</v>
      </c>
      <c r="F693" s="17" t="s">
        <v>28</v>
      </c>
      <c r="H693" s="17" t="s">
        <v>13</v>
      </c>
      <c r="I693" s="35" t="s">
        <v>30</v>
      </c>
    </row>
    <row r="694">
      <c r="A694" s="17" t="s">
        <v>79</v>
      </c>
      <c r="B694" s="32">
        <v>1200000.0</v>
      </c>
      <c r="C694" s="33">
        <f t="shared" ref="C694:C695" si="175">0.0125*B694</f>
        <v>15000</v>
      </c>
      <c r="D694" s="20">
        <v>45806.0</v>
      </c>
      <c r="E694" s="17" t="s">
        <v>11</v>
      </c>
      <c r="F694" s="17" t="s">
        <v>12</v>
      </c>
    </row>
    <row r="695">
      <c r="A695" s="17" t="s">
        <v>188</v>
      </c>
      <c r="B695" s="32">
        <v>92000.0</v>
      </c>
      <c r="C695" s="33">
        <f t="shared" si="175"/>
        <v>1150</v>
      </c>
      <c r="D695" s="20">
        <v>45807.0</v>
      </c>
      <c r="E695" s="17" t="s">
        <v>24</v>
      </c>
      <c r="F695" s="17" t="s">
        <v>12</v>
      </c>
      <c r="H695" s="17" t="s">
        <v>25</v>
      </c>
    </row>
    <row r="696">
      <c r="A696" s="17" t="s">
        <v>722</v>
      </c>
      <c r="B696" s="32">
        <v>25000.0</v>
      </c>
      <c r="C696" s="33">
        <f>0.0175*B696</f>
        <v>437.5</v>
      </c>
      <c r="D696" s="20">
        <v>45807.0</v>
      </c>
      <c r="E696" s="17" t="s">
        <v>11</v>
      </c>
      <c r="F696" s="17" t="s">
        <v>28</v>
      </c>
      <c r="I696" s="35" t="s">
        <v>30</v>
      </c>
    </row>
    <row r="697">
      <c r="A697" s="17" t="s">
        <v>723</v>
      </c>
      <c r="B697" s="32">
        <v>91000.0</v>
      </c>
      <c r="C697" s="33">
        <f>0.0125*B697</f>
        <v>1137.5</v>
      </c>
      <c r="D697" s="20">
        <v>45807.0</v>
      </c>
      <c r="E697" s="17" t="s">
        <v>15</v>
      </c>
      <c r="F697" s="17" t="s">
        <v>12</v>
      </c>
      <c r="H697" s="17" t="s">
        <v>16</v>
      </c>
      <c r="K697" s="17">
        <v>364.0</v>
      </c>
    </row>
    <row r="698">
      <c r="A698" s="17" t="s">
        <v>618</v>
      </c>
      <c r="B698" s="32">
        <v>350000.0</v>
      </c>
      <c r="C698" s="33">
        <f>0.0175*B698</f>
        <v>6125</v>
      </c>
      <c r="D698" s="20">
        <v>45807.0</v>
      </c>
      <c r="E698" s="17" t="s">
        <v>24</v>
      </c>
      <c r="F698" s="17" t="s">
        <v>67</v>
      </c>
      <c r="H698" s="17" t="s">
        <v>58</v>
      </c>
      <c r="I698" s="35" t="s">
        <v>30</v>
      </c>
    </row>
    <row r="699">
      <c r="A699" s="17" t="s">
        <v>465</v>
      </c>
      <c r="B699" s="32">
        <v>200000.0</v>
      </c>
      <c r="C699" s="33">
        <f>0.0125*B699</f>
        <v>2500</v>
      </c>
      <c r="D699" s="20">
        <v>45807.0</v>
      </c>
      <c r="E699" s="17" t="s">
        <v>724</v>
      </c>
      <c r="F699" s="17" t="s">
        <v>12</v>
      </c>
      <c r="H699" s="17" t="s">
        <v>51</v>
      </c>
      <c r="K699" s="17">
        <v>1000.0</v>
      </c>
    </row>
    <row r="700">
      <c r="A700" s="17" t="s">
        <v>725</v>
      </c>
      <c r="B700" s="32">
        <v>30000.0</v>
      </c>
      <c r="C700" s="33">
        <f>0.0175*B700</f>
        <v>525</v>
      </c>
      <c r="D700" s="20">
        <v>45807.0</v>
      </c>
      <c r="E700" s="17" t="s">
        <v>60</v>
      </c>
      <c r="F700" s="17" t="s">
        <v>28</v>
      </c>
      <c r="I700" s="35" t="s">
        <v>30</v>
      </c>
    </row>
    <row r="701">
      <c r="A701" s="17" t="s">
        <v>726</v>
      </c>
      <c r="B701" s="18">
        <v>180000.0</v>
      </c>
      <c r="C701" s="19">
        <f>0.0125*B701</f>
        <v>2250</v>
      </c>
      <c r="D701" s="20">
        <v>45807.0</v>
      </c>
      <c r="E701" s="17" t="s">
        <v>11</v>
      </c>
      <c r="F701" s="17" t="s">
        <v>12</v>
      </c>
    </row>
    <row r="702">
      <c r="A702" s="17" t="s">
        <v>569</v>
      </c>
      <c r="B702" s="18">
        <v>125000.0</v>
      </c>
      <c r="C702" s="19">
        <f t="shared" ref="C702:C703" si="176">0.0175*B702</f>
        <v>2187.5</v>
      </c>
      <c r="D702" s="20">
        <v>45807.0</v>
      </c>
      <c r="E702" s="17" t="s">
        <v>60</v>
      </c>
      <c r="F702" s="17" t="s">
        <v>67</v>
      </c>
      <c r="I702" s="35" t="s">
        <v>30</v>
      </c>
    </row>
    <row r="703">
      <c r="A703" s="17" t="s">
        <v>727</v>
      </c>
      <c r="B703" s="18">
        <v>125000.0</v>
      </c>
      <c r="C703" s="19">
        <f t="shared" si="176"/>
        <v>2187.5</v>
      </c>
      <c r="D703" s="20">
        <v>45810.0</v>
      </c>
      <c r="E703" s="17" t="s">
        <v>15</v>
      </c>
      <c r="F703" s="17" t="s">
        <v>67</v>
      </c>
      <c r="H703" s="17" t="s">
        <v>54</v>
      </c>
    </row>
    <row r="704">
      <c r="A704" s="12">
        <v>45810.0</v>
      </c>
      <c r="B704" s="13">
        <f t="shared" ref="B704:C704" si="177">SUM(B705:B815)</f>
        <v>23278000</v>
      </c>
      <c r="C704" s="13">
        <f t="shared" si="177"/>
        <v>346040</v>
      </c>
      <c r="D704" s="14"/>
      <c r="E704" s="15"/>
      <c r="F704" s="15"/>
      <c r="G704" s="15"/>
      <c r="H704" s="16"/>
      <c r="I704" s="16"/>
      <c r="J704" s="16"/>
      <c r="K704" s="16"/>
      <c r="L704" s="16"/>
    </row>
    <row r="705">
      <c r="A705" s="17" t="s">
        <v>641</v>
      </c>
      <c r="B705" s="18">
        <v>250000.0</v>
      </c>
      <c r="C705" s="19">
        <f>0.0175*B705</f>
        <v>4375</v>
      </c>
      <c r="D705" s="20">
        <v>45810.0</v>
      </c>
      <c r="E705" s="17" t="s">
        <v>24</v>
      </c>
      <c r="F705" s="17" t="s">
        <v>67</v>
      </c>
      <c r="H705" s="17" t="s">
        <v>58</v>
      </c>
      <c r="I705" s="35" t="s">
        <v>30</v>
      </c>
    </row>
    <row r="706">
      <c r="A706" s="17" t="s">
        <v>728</v>
      </c>
      <c r="B706" s="18">
        <v>40000.0</v>
      </c>
      <c r="C706" s="19">
        <f t="shared" ref="C706:C707" si="178">0.0125*B706</f>
        <v>500</v>
      </c>
      <c r="D706" s="20">
        <v>45810.0</v>
      </c>
      <c r="E706" s="17" t="s">
        <v>11</v>
      </c>
      <c r="F706" s="17" t="s">
        <v>12</v>
      </c>
    </row>
    <row r="707">
      <c r="A707" s="17" t="s">
        <v>729</v>
      </c>
      <c r="B707" s="18">
        <v>613000.0</v>
      </c>
      <c r="C707" s="19">
        <f t="shared" si="178"/>
        <v>7662.5</v>
      </c>
      <c r="D707" s="20">
        <v>45810.0</v>
      </c>
      <c r="E707" s="17" t="s">
        <v>730</v>
      </c>
      <c r="F707" s="17" t="s">
        <v>12</v>
      </c>
    </row>
    <row r="708">
      <c r="A708" s="17" t="s">
        <v>521</v>
      </c>
      <c r="B708" s="18">
        <v>150000.0</v>
      </c>
      <c r="C708" s="19">
        <f t="shared" ref="C708:C709" si="179">0.0175*B708</f>
        <v>2625</v>
      </c>
      <c r="D708" s="20">
        <v>45810.0</v>
      </c>
      <c r="E708" s="17" t="s">
        <v>118</v>
      </c>
      <c r="F708" s="17" t="s">
        <v>144</v>
      </c>
      <c r="H708" s="17" t="s">
        <v>22</v>
      </c>
    </row>
    <row r="709">
      <c r="A709" s="17" t="s">
        <v>731</v>
      </c>
      <c r="B709" s="32">
        <v>125000.0</v>
      </c>
      <c r="C709" s="33">
        <f t="shared" si="179"/>
        <v>2187.5</v>
      </c>
      <c r="D709" s="20">
        <v>45810.0</v>
      </c>
      <c r="E709" s="17" t="s">
        <v>11</v>
      </c>
      <c r="F709" s="17" t="s">
        <v>67</v>
      </c>
      <c r="G709" s="17" t="s">
        <v>732</v>
      </c>
    </row>
    <row r="710">
      <c r="A710" s="17" t="s">
        <v>733</v>
      </c>
      <c r="B710" s="32">
        <v>630000.0</v>
      </c>
      <c r="C710" s="33">
        <f t="shared" ref="C710:C713" si="180">0.0125*B710</f>
        <v>7875</v>
      </c>
      <c r="D710" s="20">
        <v>45811.0</v>
      </c>
      <c r="E710" s="17" t="s">
        <v>11</v>
      </c>
      <c r="F710" s="17" t="s">
        <v>12</v>
      </c>
    </row>
    <row r="711">
      <c r="A711" s="17" t="s">
        <v>734</v>
      </c>
      <c r="B711" s="32">
        <v>275000.0</v>
      </c>
      <c r="C711" s="33">
        <f t="shared" si="180"/>
        <v>3437.5</v>
      </c>
      <c r="D711" s="20">
        <v>45811.0</v>
      </c>
      <c r="E711" s="17" t="s">
        <v>24</v>
      </c>
      <c r="F711" s="17" t="s">
        <v>12</v>
      </c>
      <c r="H711" s="17" t="s">
        <v>619</v>
      </c>
    </row>
    <row r="712">
      <c r="A712" s="17" t="s">
        <v>735</v>
      </c>
      <c r="B712" s="32">
        <v>110000.0</v>
      </c>
      <c r="C712" s="33">
        <f t="shared" si="180"/>
        <v>1375</v>
      </c>
      <c r="D712" s="20">
        <v>45811.0</v>
      </c>
      <c r="E712" s="17" t="s">
        <v>11</v>
      </c>
      <c r="F712" s="17" t="s">
        <v>12</v>
      </c>
      <c r="O712" s="17" t="s">
        <v>13</v>
      </c>
    </row>
    <row r="713">
      <c r="A713" s="17" t="s">
        <v>736</v>
      </c>
      <c r="B713" s="32">
        <v>200000.0</v>
      </c>
      <c r="C713" s="33">
        <f t="shared" si="180"/>
        <v>2500</v>
      </c>
      <c r="D713" s="20">
        <v>45811.0</v>
      </c>
      <c r="E713" s="17" t="s">
        <v>73</v>
      </c>
      <c r="F713" s="17" t="s">
        <v>12</v>
      </c>
      <c r="O713" s="17" t="s">
        <v>17</v>
      </c>
      <c r="P713" s="17">
        <v>11538.46</v>
      </c>
    </row>
    <row r="714">
      <c r="A714" s="17" t="s">
        <v>737</v>
      </c>
      <c r="B714" s="32">
        <v>55000.0</v>
      </c>
      <c r="C714" s="33">
        <f t="shared" ref="C714:C715" si="181">0.0175*B714</f>
        <v>962.5</v>
      </c>
      <c r="D714" s="20">
        <v>45811.0</v>
      </c>
      <c r="E714" s="17" t="s">
        <v>60</v>
      </c>
      <c r="F714" s="17" t="s">
        <v>28</v>
      </c>
      <c r="I714" s="35" t="s">
        <v>30</v>
      </c>
      <c r="O714" s="17" t="s">
        <v>738</v>
      </c>
      <c r="P714" s="17">
        <v>42150.0</v>
      </c>
    </row>
    <row r="715">
      <c r="A715" s="17" t="s">
        <v>739</v>
      </c>
      <c r="B715" s="32">
        <v>215000.0</v>
      </c>
      <c r="C715" s="33">
        <f t="shared" si="181"/>
        <v>3762.5</v>
      </c>
      <c r="D715" s="20">
        <v>45811.0</v>
      </c>
      <c r="E715" s="17" t="s">
        <v>60</v>
      </c>
      <c r="F715" s="17" t="s">
        <v>67</v>
      </c>
      <c r="I715" s="35" t="s">
        <v>30</v>
      </c>
      <c r="O715" s="17" t="s">
        <v>740</v>
      </c>
      <c r="P715" s="17">
        <v>3750.0</v>
      </c>
    </row>
    <row r="716">
      <c r="A716" s="17" t="s">
        <v>741</v>
      </c>
      <c r="B716" s="32">
        <v>100000.0</v>
      </c>
      <c r="C716" s="33">
        <f t="shared" ref="C716:C717" si="182">0.0125*B716</f>
        <v>1250</v>
      </c>
      <c r="D716" s="20">
        <v>45811.0</v>
      </c>
      <c r="E716" s="17" t="s">
        <v>11</v>
      </c>
      <c r="F716" s="17" t="s">
        <v>12</v>
      </c>
      <c r="O716" s="17" t="s">
        <v>19</v>
      </c>
      <c r="P716" s="17">
        <f>1875+6150</f>
        <v>8025</v>
      </c>
    </row>
    <row r="717">
      <c r="A717" s="17" t="s">
        <v>742</v>
      </c>
      <c r="B717" s="32">
        <v>1500000.0</v>
      </c>
      <c r="C717" s="33">
        <f t="shared" si="182"/>
        <v>18750</v>
      </c>
      <c r="D717" s="20">
        <v>45812.0</v>
      </c>
      <c r="E717" s="17" t="s">
        <v>24</v>
      </c>
      <c r="F717" s="17" t="s">
        <v>12</v>
      </c>
      <c r="H717" s="17" t="s">
        <v>619</v>
      </c>
      <c r="O717" s="17" t="s">
        <v>15</v>
      </c>
      <c r="P717" s="17">
        <v>12069.9</v>
      </c>
    </row>
    <row r="718">
      <c r="A718" s="17" t="s">
        <v>743</v>
      </c>
      <c r="B718" s="32">
        <v>105000.0</v>
      </c>
      <c r="C718" s="33">
        <f>0.0175*B718</f>
        <v>1837.5</v>
      </c>
      <c r="D718" s="20">
        <v>45812.0</v>
      </c>
      <c r="E718" s="17" t="s">
        <v>11</v>
      </c>
      <c r="F718" s="17" t="s">
        <v>28</v>
      </c>
    </row>
    <row r="719">
      <c r="A719" s="17" t="s">
        <v>744</v>
      </c>
      <c r="B719" s="32">
        <v>80000.0</v>
      </c>
      <c r="C719" s="33">
        <f t="shared" ref="C719:C720" si="183">0.0125*B719</f>
        <v>1000</v>
      </c>
      <c r="D719" s="20">
        <v>45812.0</v>
      </c>
      <c r="E719" s="17" t="s">
        <v>11</v>
      </c>
      <c r="F719" s="17" t="s">
        <v>12</v>
      </c>
      <c r="O719" s="17" t="s">
        <v>745</v>
      </c>
    </row>
    <row r="720">
      <c r="A720" s="17" t="s">
        <v>134</v>
      </c>
      <c r="B720" s="32">
        <v>285000.0</v>
      </c>
      <c r="C720" s="33">
        <f t="shared" si="183"/>
        <v>3562.5</v>
      </c>
      <c r="D720" s="20">
        <v>45812.0</v>
      </c>
      <c r="E720" s="17" t="s">
        <v>135</v>
      </c>
      <c r="F720" s="17" t="s">
        <v>12</v>
      </c>
      <c r="H720" s="17" t="s">
        <v>22</v>
      </c>
      <c r="O720" s="17" t="s">
        <v>17</v>
      </c>
      <c r="P720" s="17">
        <v>11538.46</v>
      </c>
    </row>
    <row r="721">
      <c r="A721" s="17" t="s">
        <v>746</v>
      </c>
      <c r="B721" s="32">
        <v>150000.0</v>
      </c>
      <c r="C721" s="33">
        <f>0.0175*B721</f>
        <v>2625</v>
      </c>
      <c r="D721" s="20">
        <v>45813.0</v>
      </c>
      <c r="E721" s="17" t="s">
        <v>60</v>
      </c>
      <c r="F721" s="17" t="s">
        <v>28</v>
      </c>
      <c r="O721" s="17" t="s">
        <v>15</v>
      </c>
      <c r="P721" s="17">
        <v>17334.0</v>
      </c>
    </row>
    <row r="722">
      <c r="A722" s="17" t="s">
        <v>56</v>
      </c>
      <c r="B722" s="32">
        <v>63000.0</v>
      </c>
      <c r="C722" s="33">
        <f t="shared" ref="C722:C725" si="184">0.0125*B722</f>
        <v>787.5</v>
      </c>
      <c r="D722" s="20">
        <v>45813.0</v>
      </c>
      <c r="E722" s="17" t="s">
        <v>15</v>
      </c>
      <c r="F722" s="17" t="s">
        <v>12</v>
      </c>
      <c r="H722" s="30" t="s">
        <v>54</v>
      </c>
      <c r="K722" s="17">
        <v>378.0</v>
      </c>
    </row>
    <row r="723">
      <c r="A723" s="17" t="s">
        <v>747</v>
      </c>
      <c r="B723" s="32">
        <v>108000.0</v>
      </c>
      <c r="C723" s="33">
        <f t="shared" si="184"/>
        <v>1350</v>
      </c>
      <c r="D723" s="20">
        <v>45811.0</v>
      </c>
      <c r="E723" s="17" t="s">
        <v>73</v>
      </c>
      <c r="F723" s="17" t="s">
        <v>12</v>
      </c>
      <c r="H723" s="30"/>
    </row>
    <row r="724">
      <c r="A724" s="17" t="s">
        <v>748</v>
      </c>
      <c r="B724" s="18">
        <v>240000.0</v>
      </c>
      <c r="C724" s="19">
        <f t="shared" si="184"/>
        <v>3000</v>
      </c>
      <c r="D724" s="20">
        <v>45813.0</v>
      </c>
      <c r="E724" s="17" t="s">
        <v>24</v>
      </c>
      <c r="F724" s="17" t="s">
        <v>12</v>
      </c>
      <c r="H724" s="17" t="s">
        <v>619</v>
      </c>
    </row>
    <row r="725">
      <c r="A725" s="17" t="s">
        <v>14</v>
      </c>
      <c r="B725" s="18">
        <v>48000.0</v>
      </c>
      <c r="C725" s="19">
        <f t="shared" si="184"/>
        <v>600</v>
      </c>
      <c r="D725" s="20">
        <v>45813.0</v>
      </c>
      <c r="E725" s="17" t="s">
        <v>15</v>
      </c>
      <c r="F725" s="17" t="s">
        <v>12</v>
      </c>
      <c r="H725" s="31" t="s">
        <v>16</v>
      </c>
      <c r="K725" s="17">
        <v>192.0</v>
      </c>
    </row>
    <row r="726">
      <c r="A726" s="17" t="s">
        <v>749</v>
      </c>
      <c r="B726" s="18">
        <v>10000.0</v>
      </c>
      <c r="C726" s="19">
        <f>0.0175*B726</f>
        <v>175</v>
      </c>
      <c r="D726" s="20">
        <v>45814.0</v>
      </c>
      <c r="E726" s="17" t="s">
        <v>15</v>
      </c>
      <c r="F726" s="17" t="s">
        <v>144</v>
      </c>
      <c r="H726" s="30" t="s">
        <v>54</v>
      </c>
      <c r="K726" s="17">
        <v>60.0</v>
      </c>
    </row>
    <row r="727">
      <c r="A727" s="17" t="s">
        <v>718</v>
      </c>
      <c r="B727" s="18">
        <v>110000.0</v>
      </c>
      <c r="C727" s="19">
        <f>0.0125*B727</f>
        <v>1375</v>
      </c>
      <c r="D727" s="20">
        <v>45814.0</v>
      </c>
      <c r="E727" s="17" t="s">
        <v>73</v>
      </c>
      <c r="F727" s="17" t="s">
        <v>12</v>
      </c>
    </row>
    <row r="728">
      <c r="A728" s="17" t="s">
        <v>750</v>
      </c>
      <c r="B728" s="18">
        <v>200000.0</v>
      </c>
      <c r="C728" s="19">
        <f t="shared" ref="C728:C732" si="185">0.0175*B728</f>
        <v>3500</v>
      </c>
      <c r="D728" s="20">
        <v>45814.0</v>
      </c>
      <c r="E728" s="17" t="s">
        <v>60</v>
      </c>
      <c r="F728" s="17" t="s">
        <v>28</v>
      </c>
      <c r="I728" s="35" t="s">
        <v>30</v>
      </c>
    </row>
    <row r="729">
      <c r="A729" s="17" t="s">
        <v>751</v>
      </c>
      <c r="B729" s="18">
        <v>50000.0</v>
      </c>
      <c r="C729" s="19">
        <f t="shared" si="185"/>
        <v>875</v>
      </c>
      <c r="D729" s="20">
        <v>45814.0</v>
      </c>
      <c r="E729" s="17" t="s">
        <v>15</v>
      </c>
      <c r="F729" s="17" t="s">
        <v>12</v>
      </c>
      <c r="H729" s="30" t="s">
        <v>54</v>
      </c>
      <c r="K729" s="17">
        <v>300.0</v>
      </c>
    </row>
    <row r="730">
      <c r="A730" s="17" t="s">
        <v>752</v>
      </c>
      <c r="B730" s="18">
        <v>160000.0</v>
      </c>
      <c r="C730" s="19">
        <f t="shared" si="185"/>
        <v>2800</v>
      </c>
      <c r="D730" s="20">
        <v>45814.0</v>
      </c>
      <c r="E730" s="17" t="s">
        <v>11</v>
      </c>
      <c r="F730" s="17" t="s">
        <v>28</v>
      </c>
      <c r="I730" s="35" t="s">
        <v>30</v>
      </c>
    </row>
    <row r="731">
      <c r="A731" s="17" t="s">
        <v>753</v>
      </c>
      <c r="B731" s="32">
        <v>15000.0</v>
      </c>
      <c r="C731" s="19">
        <f t="shared" si="185"/>
        <v>262.5</v>
      </c>
      <c r="D731" s="20">
        <v>45814.0</v>
      </c>
      <c r="E731" s="17" t="s">
        <v>11</v>
      </c>
      <c r="F731" s="17" t="s">
        <v>28</v>
      </c>
      <c r="I731" s="35" t="s">
        <v>30</v>
      </c>
    </row>
    <row r="732">
      <c r="A732" s="17" t="s">
        <v>754</v>
      </c>
      <c r="B732" s="32">
        <v>20000.0</v>
      </c>
      <c r="C732" s="19">
        <f t="shared" si="185"/>
        <v>350</v>
      </c>
      <c r="D732" s="20">
        <v>45814.0</v>
      </c>
      <c r="E732" s="17" t="s">
        <v>11</v>
      </c>
      <c r="F732" s="17" t="s">
        <v>28</v>
      </c>
      <c r="I732" s="35" t="s">
        <v>30</v>
      </c>
    </row>
    <row r="733">
      <c r="A733" s="17" t="s">
        <v>755</v>
      </c>
      <c r="B733" s="18">
        <v>100000.0</v>
      </c>
      <c r="C733" s="19">
        <f>0.0125*B733</f>
        <v>1250</v>
      </c>
      <c r="D733" s="20">
        <v>45814.0</v>
      </c>
      <c r="E733" s="17" t="s">
        <v>60</v>
      </c>
      <c r="F733" s="17" t="s">
        <v>12</v>
      </c>
    </row>
    <row r="734">
      <c r="A734" s="17" t="s">
        <v>756</v>
      </c>
      <c r="B734" s="32">
        <v>70000.0</v>
      </c>
      <c r="C734" s="33">
        <f>0.0175*B734</f>
        <v>1225</v>
      </c>
      <c r="D734" s="20">
        <v>45814.0</v>
      </c>
      <c r="E734" s="17" t="s">
        <v>461</v>
      </c>
      <c r="F734" s="17" t="s">
        <v>28</v>
      </c>
      <c r="H734" s="17" t="s">
        <v>13</v>
      </c>
      <c r="I734" s="35" t="s">
        <v>30</v>
      </c>
    </row>
    <row r="735">
      <c r="A735" s="17" t="s">
        <v>757</v>
      </c>
      <c r="B735" s="32">
        <v>35000.0</v>
      </c>
      <c r="C735" s="33">
        <f>0.0125*B735</f>
        <v>437.5</v>
      </c>
      <c r="D735" s="20">
        <v>45817.0</v>
      </c>
      <c r="E735" s="17" t="s">
        <v>15</v>
      </c>
      <c r="F735" s="17" t="s">
        <v>12</v>
      </c>
      <c r="K735" s="17">
        <v>175.0</v>
      </c>
    </row>
    <row r="736">
      <c r="A736" s="17" t="s">
        <v>758</v>
      </c>
      <c r="B736" s="32">
        <v>10000.0</v>
      </c>
      <c r="C736" s="33">
        <f t="shared" ref="C736:C737" si="186">0.0175*B736</f>
        <v>175</v>
      </c>
      <c r="D736" s="20">
        <v>45817.0</v>
      </c>
      <c r="E736" s="17" t="s">
        <v>11</v>
      </c>
      <c r="F736" s="17" t="s">
        <v>28</v>
      </c>
      <c r="V736" s="17" t="s">
        <v>759</v>
      </c>
    </row>
    <row r="737">
      <c r="A737" s="17" t="s">
        <v>760</v>
      </c>
      <c r="B737" s="32">
        <v>300000.0</v>
      </c>
      <c r="C737" s="33">
        <f t="shared" si="186"/>
        <v>5250</v>
      </c>
      <c r="D737" s="20">
        <v>45817.0</v>
      </c>
      <c r="E737" s="17" t="s">
        <v>11</v>
      </c>
      <c r="F737" s="17" t="s">
        <v>28</v>
      </c>
      <c r="I737" s="35" t="s">
        <v>30</v>
      </c>
    </row>
    <row r="738">
      <c r="A738" s="17" t="s">
        <v>761</v>
      </c>
      <c r="B738" s="32">
        <v>65000.0</v>
      </c>
      <c r="C738" s="33">
        <f t="shared" ref="C738:C741" si="187">0.0125*B738</f>
        <v>812.5</v>
      </c>
      <c r="D738" s="20">
        <v>45818.0</v>
      </c>
      <c r="E738" s="17" t="s">
        <v>11</v>
      </c>
      <c r="F738" s="17" t="s">
        <v>12</v>
      </c>
    </row>
    <row r="739">
      <c r="A739" s="17" t="s">
        <v>205</v>
      </c>
      <c r="B739" s="32">
        <v>40000.0</v>
      </c>
      <c r="C739" s="33">
        <f t="shared" si="187"/>
        <v>500</v>
      </c>
      <c r="D739" s="20">
        <v>45818.0</v>
      </c>
      <c r="E739" s="17" t="s">
        <v>11</v>
      </c>
      <c r="F739" s="17" t="s">
        <v>12</v>
      </c>
    </row>
    <row r="740">
      <c r="A740" s="17" t="s">
        <v>762</v>
      </c>
      <c r="B740" s="32">
        <v>105000.0</v>
      </c>
      <c r="C740" s="33">
        <f t="shared" si="187"/>
        <v>1312.5</v>
      </c>
      <c r="D740" s="20">
        <v>45818.0</v>
      </c>
      <c r="E740" s="17" t="s">
        <v>11</v>
      </c>
      <c r="F740" s="17" t="s">
        <v>12</v>
      </c>
    </row>
    <row r="741">
      <c r="A741" s="17" t="s">
        <v>763</v>
      </c>
      <c r="B741" s="32">
        <v>40000.0</v>
      </c>
      <c r="C741" s="33">
        <f t="shared" si="187"/>
        <v>500</v>
      </c>
      <c r="D741" s="20">
        <v>45818.0</v>
      </c>
      <c r="E741" s="17" t="s">
        <v>11</v>
      </c>
      <c r="F741" s="17" t="s">
        <v>12</v>
      </c>
    </row>
    <row r="742">
      <c r="A742" s="17" t="s">
        <v>764</v>
      </c>
      <c r="B742" s="32">
        <v>125000.0</v>
      </c>
      <c r="C742" s="33">
        <f>0.0175*B742</f>
        <v>2187.5</v>
      </c>
      <c r="D742" s="20">
        <v>45818.0</v>
      </c>
      <c r="E742" s="17" t="s">
        <v>75</v>
      </c>
      <c r="F742" s="17" t="s">
        <v>28</v>
      </c>
    </row>
    <row r="743">
      <c r="A743" s="17" t="s">
        <v>391</v>
      </c>
      <c r="B743" s="32">
        <v>175000.0</v>
      </c>
      <c r="C743" s="33">
        <f>0.0125*B743</f>
        <v>2187.5</v>
      </c>
      <c r="D743" s="20">
        <v>45818.0</v>
      </c>
      <c r="E743" s="17" t="s">
        <v>11</v>
      </c>
      <c r="F743" s="17" t="s">
        <v>12</v>
      </c>
    </row>
    <row r="744">
      <c r="A744" s="17" t="s">
        <v>765</v>
      </c>
      <c r="B744" s="32">
        <v>100000.0</v>
      </c>
      <c r="C744" s="33">
        <f>0.0175*B744</f>
        <v>1750</v>
      </c>
      <c r="D744" s="20">
        <v>45819.0</v>
      </c>
      <c r="E744" s="17" t="s">
        <v>60</v>
      </c>
      <c r="F744" s="17" t="s">
        <v>67</v>
      </c>
      <c r="I744" s="35" t="s">
        <v>30</v>
      </c>
    </row>
    <row r="745">
      <c r="A745" s="17" t="s">
        <v>766</v>
      </c>
      <c r="B745" s="32">
        <v>1200000.0</v>
      </c>
      <c r="C745" s="33">
        <f>0.0125*B745</f>
        <v>15000</v>
      </c>
      <c r="D745" s="20">
        <v>45819.0</v>
      </c>
      <c r="E745" s="17" t="s">
        <v>11</v>
      </c>
      <c r="F745" s="17" t="s">
        <v>12</v>
      </c>
    </row>
    <row r="746">
      <c r="A746" s="17" t="s">
        <v>767</v>
      </c>
      <c r="B746" s="18">
        <v>60000.0</v>
      </c>
      <c r="C746" s="19">
        <f t="shared" ref="C746:C747" si="188">0.0175*B746</f>
        <v>1050</v>
      </c>
      <c r="D746" s="20">
        <v>45819.0</v>
      </c>
      <c r="E746" s="17" t="s">
        <v>768</v>
      </c>
      <c r="F746" s="17" t="s">
        <v>28</v>
      </c>
      <c r="H746" s="17" t="s">
        <v>13</v>
      </c>
      <c r="I746" s="35" t="s">
        <v>30</v>
      </c>
    </row>
    <row r="747">
      <c r="A747" s="17" t="s">
        <v>769</v>
      </c>
      <c r="B747" s="18">
        <v>50000.0</v>
      </c>
      <c r="C747" s="19">
        <f t="shared" si="188"/>
        <v>875</v>
      </c>
      <c r="D747" s="20">
        <v>45819.0</v>
      </c>
      <c r="E747" s="17" t="s">
        <v>60</v>
      </c>
      <c r="F747" s="17" t="s">
        <v>28</v>
      </c>
      <c r="I747" s="35" t="s">
        <v>30</v>
      </c>
    </row>
    <row r="748">
      <c r="A748" s="17" t="s">
        <v>770</v>
      </c>
      <c r="B748" s="18">
        <v>250000.0</v>
      </c>
      <c r="C748" s="19">
        <f>0.0125*B748</f>
        <v>3125</v>
      </c>
      <c r="D748" s="20">
        <v>45819.0</v>
      </c>
      <c r="E748" s="17" t="s">
        <v>40</v>
      </c>
      <c r="F748" s="17" t="s">
        <v>12</v>
      </c>
      <c r="H748" s="17" t="s">
        <v>22</v>
      </c>
    </row>
    <row r="749">
      <c r="A749" s="17" t="s">
        <v>771</v>
      </c>
      <c r="B749" s="18">
        <v>310000.0</v>
      </c>
      <c r="C749" s="19">
        <f>0.0175*B749</f>
        <v>5425</v>
      </c>
      <c r="D749" s="20">
        <v>45819.0</v>
      </c>
      <c r="E749" s="17" t="s">
        <v>772</v>
      </c>
      <c r="F749" s="17" t="s">
        <v>28</v>
      </c>
      <c r="H749" s="17" t="s">
        <v>13</v>
      </c>
      <c r="I749" s="35" t="s">
        <v>30</v>
      </c>
    </row>
    <row r="750">
      <c r="A750" s="17" t="s">
        <v>773</v>
      </c>
      <c r="B750" s="18">
        <v>720000.0</v>
      </c>
      <c r="C750" s="19">
        <f t="shared" ref="C750:C752" si="189">0.0125*B750</f>
        <v>9000</v>
      </c>
      <c r="D750" s="20">
        <v>45819.0</v>
      </c>
      <c r="E750" s="17" t="s">
        <v>15</v>
      </c>
      <c r="F750" s="17" t="s">
        <v>12</v>
      </c>
      <c r="H750" s="31" t="s">
        <v>149</v>
      </c>
      <c r="I750" s="17" t="s">
        <v>774</v>
      </c>
      <c r="K750" s="17">
        <v>1800.0</v>
      </c>
    </row>
    <row r="751">
      <c r="A751" s="17" t="s">
        <v>775</v>
      </c>
      <c r="B751" s="18">
        <v>90000.0</v>
      </c>
      <c r="C751" s="19">
        <f t="shared" si="189"/>
        <v>1125</v>
      </c>
      <c r="D751" s="20">
        <v>45819.0</v>
      </c>
      <c r="E751" s="17" t="s">
        <v>11</v>
      </c>
      <c r="F751" s="17" t="s">
        <v>12</v>
      </c>
    </row>
    <row r="752">
      <c r="A752" s="17" t="s">
        <v>776</v>
      </c>
      <c r="B752" s="18">
        <v>75000.0</v>
      </c>
      <c r="C752" s="19">
        <f t="shared" si="189"/>
        <v>937.5</v>
      </c>
      <c r="D752" s="20">
        <v>45820.0</v>
      </c>
      <c r="E752" s="17" t="s">
        <v>135</v>
      </c>
      <c r="F752" s="17" t="s">
        <v>144</v>
      </c>
    </row>
    <row r="753">
      <c r="A753" s="17" t="s">
        <v>777</v>
      </c>
      <c r="B753" s="18">
        <v>105000.0</v>
      </c>
      <c r="C753" s="19">
        <f t="shared" ref="C753:C754" si="190">0.0175*B753</f>
        <v>1837.5</v>
      </c>
      <c r="D753" s="20">
        <v>45820.0</v>
      </c>
      <c r="E753" s="17" t="s">
        <v>11</v>
      </c>
      <c r="F753" s="17" t="s">
        <v>41</v>
      </c>
      <c r="I753" s="35" t="s">
        <v>30</v>
      </c>
    </row>
    <row r="754">
      <c r="A754" s="17" t="s">
        <v>778</v>
      </c>
      <c r="B754" s="18">
        <v>100000.0</v>
      </c>
      <c r="C754" s="19">
        <f t="shared" si="190"/>
        <v>1750</v>
      </c>
      <c r="D754" s="20">
        <v>45820.0</v>
      </c>
      <c r="E754" s="17" t="s">
        <v>60</v>
      </c>
      <c r="F754" s="17" t="s">
        <v>28</v>
      </c>
    </row>
    <row r="755">
      <c r="A755" s="17" t="s">
        <v>779</v>
      </c>
      <c r="B755" s="18">
        <v>85000.0</v>
      </c>
      <c r="C755" s="19">
        <f t="shared" ref="C755:C756" si="191">0.0125*B755</f>
        <v>1062.5</v>
      </c>
      <c r="D755" s="20">
        <v>45820.0</v>
      </c>
      <c r="E755" s="17" t="s">
        <v>15</v>
      </c>
      <c r="F755" s="17" t="s">
        <v>12</v>
      </c>
      <c r="H755" s="31" t="s">
        <v>35</v>
      </c>
      <c r="K755" s="17">
        <v>170.0</v>
      </c>
    </row>
    <row r="756">
      <c r="A756" s="17" t="s">
        <v>780</v>
      </c>
      <c r="B756" s="18">
        <v>70000.0</v>
      </c>
      <c r="C756" s="19">
        <f t="shared" si="191"/>
        <v>875</v>
      </c>
      <c r="D756" s="20">
        <v>45820.0</v>
      </c>
      <c r="E756" s="17" t="s">
        <v>24</v>
      </c>
      <c r="F756" s="17" t="s">
        <v>12</v>
      </c>
      <c r="H756" s="17" t="s">
        <v>619</v>
      </c>
    </row>
    <row r="757">
      <c r="A757" s="17" t="s">
        <v>781</v>
      </c>
      <c r="B757" s="18">
        <v>125000.0</v>
      </c>
      <c r="C757" s="19">
        <f>0.0175*B757</f>
        <v>2187.5</v>
      </c>
      <c r="D757" s="20">
        <v>45820.0</v>
      </c>
      <c r="E757" s="17" t="s">
        <v>24</v>
      </c>
      <c r="F757" s="17" t="s">
        <v>28</v>
      </c>
      <c r="H757" s="17" t="s">
        <v>642</v>
      </c>
      <c r="I757" s="35" t="s">
        <v>30</v>
      </c>
    </row>
    <row r="758">
      <c r="A758" s="17" t="s">
        <v>782</v>
      </c>
      <c r="B758" s="32">
        <v>80000.0</v>
      </c>
      <c r="C758" s="33">
        <f>0.0125*B758:B759</f>
        <v>1000</v>
      </c>
      <c r="D758" s="20">
        <v>45820.0</v>
      </c>
      <c r="E758" s="17" t="s">
        <v>60</v>
      </c>
      <c r="F758" s="17" t="s">
        <v>12</v>
      </c>
    </row>
    <row r="759">
      <c r="A759" s="17" t="s">
        <v>783</v>
      </c>
      <c r="B759" s="32">
        <v>100000.0</v>
      </c>
      <c r="C759" s="33">
        <f t="shared" ref="C759:C760" si="192">0.0175*B759</f>
        <v>1750</v>
      </c>
      <c r="D759" s="20">
        <v>45820.0</v>
      </c>
      <c r="E759" s="17" t="s">
        <v>116</v>
      </c>
      <c r="F759" s="17" t="s">
        <v>28</v>
      </c>
      <c r="H759" s="17" t="s">
        <v>13</v>
      </c>
      <c r="I759" s="35" t="s">
        <v>30</v>
      </c>
    </row>
    <row r="760">
      <c r="A760" s="17" t="s">
        <v>784</v>
      </c>
      <c r="B760" s="32">
        <v>80000.0</v>
      </c>
      <c r="C760" s="33">
        <f t="shared" si="192"/>
        <v>1400</v>
      </c>
      <c r="D760" s="20">
        <v>45821.0</v>
      </c>
      <c r="E760" s="17" t="s">
        <v>60</v>
      </c>
      <c r="F760" s="17" t="s">
        <v>28</v>
      </c>
      <c r="I760" s="35" t="s">
        <v>30</v>
      </c>
    </row>
    <row r="761">
      <c r="A761" s="17" t="s">
        <v>785</v>
      </c>
      <c r="B761" s="32">
        <v>38000.0</v>
      </c>
      <c r="C761" s="33">
        <f t="shared" ref="C761:C762" si="193">0.0125*B761</f>
        <v>475</v>
      </c>
      <c r="D761" s="20">
        <v>45821.0</v>
      </c>
      <c r="E761" s="17" t="s">
        <v>11</v>
      </c>
      <c r="F761" s="17" t="s">
        <v>12</v>
      </c>
    </row>
    <row r="762">
      <c r="A762" s="17" t="s">
        <v>786</v>
      </c>
      <c r="B762" s="32">
        <v>225000.0</v>
      </c>
      <c r="C762" s="33">
        <f t="shared" si="193"/>
        <v>2812.5</v>
      </c>
      <c r="D762" s="20">
        <v>45821.0</v>
      </c>
      <c r="E762" s="17" t="s">
        <v>11</v>
      </c>
      <c r="F762" s="17" t="s">
        <v>12</v>
      </c>
    </row>
    <row r="763">
      <c r="A763" s="17" t="s">
        <v>787</v>
      </c>
      <c r="B763" s="32">
        <v>225000.0</v>
      </c>
      <c r="C763" s="33">
        <f t="shared" ref="C763:C766" si="194">0.0175*B763</f>
        <v>3937.5</v>
      </c>
      <c r="D763" s="20">
        <v>45821.0</v>
      </c>
      <c r="E763" s="17" t="s">
        <v>75</v>
      </c>
      <c r="F763" s="17" t="s">
        <v>28</v>
      </c>
      <c r="I763" s="35" t="s">
        <v>30</v>
      </c>
    </row>
    <row r="764">
      <c r="A764" s="17" t="s">
        <v>788</v>
      </c>
      <c r="B764" s="32">
        <v>275000.0</v>
      </c>
      <c r="C764" s="33">
        <f t="shared" si="194"/>
        <v>4812.5</v>
      </c>
      <c r="D764" s="20">
        <v>45821.0</v>
      </c>
      <c r="E764" s="17" t="s">
        <v>60</v>
      </c>
      <c r="F764" s="17" t="s">
        <v>28</v>
      </c>
      <c r="H764" s="17"/>
      <c r="I764" s="35" t="s">
        <v>30</v>
      </c>
    </row>
    <row r="765">
      <c r="A765" s="17" t="s">
        <v>789</v>
      </c>
      <c r="B765" s="32">
        <v>210000.0</v>
      </c>
      <c r="C765" s="33">
        <f t="shared" si="194"/>
        <v>3675</v>
      </c>
      <c r="D765" s="20">
        <v>45821.0</v>
      </c>
      <c r="E765" s="17" t="s">
        <v>15</v>
      </c>
      <c r="F765" s="17" t="s">
        <v>28</v>
      </c>
      <c r="H765" s="31" t="s">
        <v>51</v>
      </c>
      <c r="I765" s="35" t="s">
        <v>30</v>
      </c>
      <c r="K765" s="17">
        <v>1050.0</v>
      </c>
    </row>
    <row r="766">
      <c r="A766" s="17" t="s">
        <v>790</v>
      </c>
      <c r="B766" s="32">
        <v>60000.0</v>
      </c>
      <c r="C766" s="33">
        <f t="shared" si="194"/>
        <v>1050</v>
      </c>
      <c r="D766" s="20">
        <v>45821.0</v>
      </c>
      <c r="E766" s="17" t="s">
        <v>11</v>
      </c>
      <c r="F766" s="17" t="s">
        <v>28</v>
      </c>
      <c r="I766" s="35" t="s">
        <v>30</v>
      </c>
    </row>
    <row r="767">
      <c r="A767" s="17" t="s">
        <v>791</v>
      </c>
      <c r="B767" s="32">
        <v>80000.0</v>
      </c>
      <c r="C767" s="33">
        <f>0.0125*B767</f>
        <v>1000</v>
      </c>
      <c r="D767" s="20">
        <v>45824.0</v>
      </c>
      <c r="E767" s="17" t="s">
        <v>11</v>
      </c>
      <c r="F767" s="17" t="s">
        <v>12</v>
      </c>
    </row>
    <row r="768">
      <c r="A768" s="17" t="s">
        <v>792</v>
      </c>
      <c r="B768" s="32">
        <v>200000.0</v>
      </c>
      <c r="C768" s="33">
        <f t="shared" ref="C768:C771" si="195">0.0175*B768</f>
        <v>3500</v>
      </c>
      <c r="D768" s="20">
        <v>45825.0</v>
      </c>
      <c r="E768" s="17" t="s">
        <v>11</v>
      </c>
      <c r="F768" s="17" t="s">
        <v>28</v>
      </c>
      <c r="I768" s="35" t="s">
        <v>30</v>
      </c>
    </row>
    <row r="769">
      <c r="A769" s="17" t="s">
        <v>793</v>
      </c>
      <c r="B769" s="32">
        <v>80000.0</v>
      </c>
      <c r="C769" s="33">
        <f t="shared" si="195"/>
        <v>1400</v>
      </c>
      <c r="D769" s="20">
        <v>45825.0</v>
      </c>
      <c r="E769" s="17" t="s">
        <v>11</v>
      </c>
      <c r="F769" s="17" t="s">
        <v>28</v>
      </c>
      <c r="I769" s="35" t="s">
        <v>30</v>
      </c>
    </row>
    <row r="770">
      <c r="A770" s="17" t="s">
        <v>794</v>
      </c>
      <c r="B770" s="32">
        <v>175000.0</v>
      </c>
      <c r="C770" s="33">
        <f t="shared" si="195"/>
        <v>3062.5</v>
      </c>
      <c r="D770" s="20">
        <v>45825.0</v>
      </c>
      <c r="E770" s="17" t="s">
        <v>118</v>
      </c>
      <c r="F770" s="17" t="s">
        <v>28</v>
      </c>
      <c r="H770" s="17" t="s">
        <v>13</v>
      </c>
      <c r="I770" s="35" t="s">
        <v>30</v>
      </c>
    </row>
    <row r="771">
      <c r="A771" s="17" t="s">
        <v>795</v>
      </c>
      <c r="B771" s="32">
        <v>250000.0</v>
      </c>
      <c r="C771" s="33">
        <f t="shared" si="195"/>
        <v>4375</v>
      </c>
      <c r="D771" s="20">
        <v>45825.0</v>
      </c>
      <c r="E771" s="17" t="s">
        <v>15</v>
      </c>
      <c r="F771" s="17" t="s">
        <v>28</v>
      </c>
      <c r="H771" s="31" t="s">
        <v>16</v>
      </c>
      <c r="I771" s="35" t="s">
        <v>30</v>
      </c>
      <c r="K771" s="17">
        <v>1000.0</v>
      </c>
    </row>
    <row r="772">
      <c r="A772" s="17" t="s">
        <v>718</v>
      </c>
      <c r="B772" s="32">
        <v>60000.0</v>
      </c>
      <c r="C772" s="33">
        <f t="shared" ref="C772:C775" si="196">0.0125*B772</f>
        <v>750</v>
      </c>
      <c r="D772" s="20">
        <v>45825.0</v>
      </c>
      <c r="E772" s="17" t="s">
        <v>73</v>
      </c>
      <c r="F772" s="17" t="s">
        <v>144</v>
      </c>
    </row>
    <row r="773">
      <c r="A773" s="17" t="s">
        <v>217</v>
      </c>
      <c r="B773" s="32">
        <v>250000.0</v>
      </c>
      <c r="C773" s="33">
        <f t="shared" si="196"/>
        <v>3125</v>
      </c>
      <c r="D773" s="20">
        <v>45825.0</v>
      </c>
      <c r="E773" s="17" t="s">
        <v>11</v>
      </c>
      <c r="F773" s="17" t="s">
        <v>12</v>
      </c>
    </row>
    <row r="774">
      <c r="A774" s="17" t="s">
        <v>796</v>
      </c>
      <c r="B774" s="32">
        <v>300000.0</v>
      </c>
      <c r="C774" s="33">
        <f t="shared" si="196"/>
        <v>3750</v>
      </c>
      <c r="D774" s="20">
        <v>45826.0</v>
      </c>
      <c r="E774" s="17" t="s">
        <v>24</v>
      </c>
      <c r="F774" s="17" t="s">
        <v>12</v>
      </c>
      <c r="H774" s="17" t="s">
        <v>797</v>
      </c>
    </row>
    <row r="775">
      <c r="A775" s="17" t="s">
        <v>798</v>
      </c>
      <c r="B775" s="32">
        <v>35000.0</v>
      </c>
      <c r="C775" s="33">
        <f t="shared" si="196"/>
        <v>437.5</v>
      </c>
      <c r="D775" s="20">
        <v>45826.0</v>
      </c>
      <c r="E775" s="17" t="s">
        <v>24</v>
      </c>
      <c r="F775" s="17" t="s">
        <v>144</v>
      </c>
      <c r="H775" s="17" t="s">
        <v>25</v>
      </c>
    </row>
    <row r="776">
      <c r="A776" s="17" t="s">
        <v>799</v>
      </c>
      <c r="B776" s="32">
        <v>500000.0</v>
      </c>
      <c r="C776" s="33">
        <f>0.0175*B776</f>
        <v>8750</v>
      </c>
      <c r="D776" s="20">
        <v>45826.0</v>
      </c>
      <c r="E776" s="17" t="s">
        <v>118</v>
      </c>
      <c r="F776" s="17" t="s">
        <v>28</v>
      </c>
      <c r="H776" s="17" t="s">
        <v>13</v>
      </c>
      <c r="I776" s="35" t="s">
        <v>30</v>
      </c>
    </row>
    <row r="777">
      <c r="A777" s="17" t="s">
        <v>800</v>
      </c>
      <c r="B777" s="32">
        <v>80000.0</v>
      </c>
      <c r="C777" s="33">
        <f t="shared" ref="C777:C779" si="197">0.0125*B777</f>
        <v>1000</v>
      </c>
      <c r="D777" s="20">
        <v>45826.0</v>
      </c>
      <c r="E777" s="17" t="s">
        <v>11</v>
      </c>
      <c r="F777" s="17" t="s">
        <v>12</v>
      </c>
    </row>
    <row r="778">
      <c r="A778" s="17" t="s">
        <v>801</v>
      </c>
      <c r="B778" s="18">
        <v>675000.0</v>
      </c>
      <c r="C778" s="19">
        <f t="shared" si="197"/>
        <v>8437.5</v>
      </c>
      <c r="D778" s="20">
        <v>45826.0</v>
      </c>
      <c r="E778" s="17" t="s">
        <v>11</v>
      </c>
      <c r="F778" s="17" t="s">
        <v>12</v>
      </c>
    </row>
    <row r="779">
      <c r="A779" s="17" t="s">
        <v>802</v>
      </c>
      <c r="B779" s="18">
        <v>130000.0</v>
      </c>
      <c r="C779" s="19">
        <f t="shared" si="197"/>
        <v>1625</v>
      </c>
      <c r="D779" s="20">
        <v>45828.0</v>
      </c>
      <c r="E779" s="17" t="s">
        <v>21</v>
      </c>
      <c r="F779" s="17" t="s">
        <v>12</v>
      </c>
      <c r="H779" s="17" t="s">
        <v>22</v>
      </c>
    </row>
    <row r="780">
      <c r="A780" s="17" t="s">
        <v>803</v>
      </c>
      <c r="B780" s="18">
        <v>300000.0</v>
      </c>
      <c r="C780" s="19">
        <f>0.0175*B780</f>
        <v>5250</v>
      </c>
      <c r="D780" s="20">
        <v>45828.0</v>
      </c>
      <c r="E780" s="17" t="s">
        <v>804</v>
      </c>
      <c r="F780" s="17" t="s">
        <v>28</v>
      </c>
      <c r="H780" s="17" t="s">
        <v>13</v>
      </c>
      <c r="I780" s="35" t="s">
        <v>30</v>
      </c>
    </row>
    <row r="781">
      <c r="A781" s="17" t="s">
        <v>499</v>
      </c>
      <c r="B781" s="18">
        <v>200000.0</v>
      </c>
      <c r="C781" s="19">
        <f t="shared" ref="C781:C782" si="198">0.0125*B781</f>
        <v>2500</v>
      </c>
      <c r="D781" s="20">
        <v>45828.0</v>
      </c>
      <c r="E781" s="17" t="s">
        <v>15</v>
      </c>
      <c r="F781" s="17" t="s">
        <v>12</v>
      </c>
      <c r="H781" s="31" t="s">
        <v>98</v>
      </c>
      <c r="K781" s="17">
        <v>600.0</v>
      </c>
    </row>
    <row r="782">
      <c r="A782" s="17" t="s">
        <v>87</v>
      </c>
      <c r="B782" s="18">
        <v>245000.0</v>
      </c>
      <c r="C782" s="19">
        <f t="shared" si="198"/>
        <v>3062.5</v>
      </c>
      <c r="D782" s="20">
        <v>45828.0</v>
      </c>
      <c r="E782" s="17" t="s">
        <v>11</v>
      </c>
      <c r="F782" s="17" t="s">
        <v>12</v>
      </c>
    </row>
    <row r="783">
      <c r="A783" s="17" t="s">
        <v>805</v>
      </c>
      <c r="B783" s="18">
        <v>150000.0</v>
      </c>
      <c r="C783" s="19">
        <f>0.0175*B783</f>
        <v>2625</v>
      </c>
      <c r="D783" s="20">
        <v>45828.0</v>
      </c>
      <c r="E783" s="17" t="s">
        <v>11</v>
      </c>
      <c r="F783" s="17" t="s">
        <v>28</v>
      </c>
      <c r="I783" s="35" t="s">
        <v>30</v>
      </c>
    </row>
    <row r="784">
      <c r="A784" s="17" t="s">
        <v>287</v>
      </c>
      <c r="B784" s="18">
        <v>325000.0</v>
      </c>
      <c r="C784" s="19">
        <f>0.0125*B784</f>
        <v>4062.5</v>
      </c>
      <c r="D784" s="20">
        <v>45831.0</v>
      </c>
      <c r="E784" s="17" t="s">
        <v>11</v>
      </c>
      <c r="F784" s="17" t="s">
        <v>12</v>
      </c>
    </row>
    <row r="785">
      <c r="A785" s="17" t="s">
        <v>806</v>
      </c>
      <c r="B785" s="18">
        <v>200000.0</v>
      </c>
      <c r="C785" s="19">
        <f t="shared" ref="C785:C786" si="199">0.0175*B785</f>
        <v>3500</v>
      </c>
      <c r="D785" s="20">
        <v>45831.0</v>
      </c>
      <c r="E785" s="17" t="s">
        <v>135</v>
      </c>
      <c r="F785" s="17" t="s">
        <v>28</v>
      </c>
      <c r="H785" s="17" t="s">
        <v>13</v>
      </c>
      <c r="I785" s="35" t="s">
        <v>30</v>
      </c>
    </row>
    <row r="786">
      <c r="A786" s="17" t="s">
        <v>807</v>
      </c>
      <c r="B786" s="18">
        <v>200000.0</v>
      </c>
      <c r="C786" s="19">
        <f t="shared" si="199"/>
        <v>3500</v>
      </c>
      <c r="D786" s="20">
        <v>45831.0</v>
      </c>
      <c r="E786" s="17" t="s">
        <v>135</v>
      </c>
      <c r="F786" s="17" t="s">
        <v>28</v>
      </c>
      <c r="H786" s="17" t="s">
        <v>13</v>
      </c>
      <c r="I786" s="35" t="s">
        <v>30</v>
      </c>
    </row>
    <row r="787">
      <c r="A787" s="17" t="s">
        <v>808</v>
      </c>
      <c r="B787" s="18">
        <v>410000.0</v>
      </c>
      <c r="C787" s="19">
        <f t="shared" ref="C787:C788" si="200">0.0125*B787</f>
        <v>5125</v>
      </c>
      <c r="D787" s="20">
        <v>45831.0</v>
      </c>
      <c r="E787" s="17" t="s">
        <v>15</v>
      </c>
      <c r="F787" s="17" t="s">
        <v>12</v>
      </c>
      <c r="H787" s="31" t="s">
        <v>149</v>
      </c>
      <c r="K787" s="17">
        <v>1025.0</v>
      </c>
    </row>
    <row r="788">
      <c r="A788" s="17" t="s">
        <v>809</v>
      </c>
      <c r="B788" s="18">
        <v>50000.0</v>
      </c>
      <c r="C788" s="19">
        <f t="shared" si="200"/>
        <v>625</v>
      </c>
      <c r="D788" s="20">
        <v>45831.0</v>
      </c>
      <c r="E788" s="17" t="s">
        <v>11</v>
      </c>
      <c r="F788" s="17" t="s">
        <v>12</v>
      </c>
    </row>
    <row r="789">
      <c r="A789" s="17" t="s">
        <v>680</v>
      </c>
      <c r="B789" s="18">
        <v>125000.0</v>
      </c>
      <c r="C789" s="19">
        <f t="shared" ref="C789:C791" si="201">0.0175*B789</f>
        <v>2187.5</v>
      </c>
      <c r="D789" s="20">
        <v>45831.0</v>
      </c>
      <c r="E789" s="17" t="s">
        <v>60</v>
      </c>
      <c r="F789" s="17" t="s">
        <v>67</v>
      </c>
      <c r="I789" s="35" t="s">
        <v>30</v>
      </c>
    </row>
    <row r="790">
      <c r="A790" s="17" t="s">
        <v>810</v>
      </c>
      <c r="B790" s="18">
        <v>200000.0</v>
      </c>
      <c r="C790" s="19">
        <f t="shared" si="201"/>
        <v>3500</v>
      </c>
      <c r="D790" s="20">
        <v>45832.0</v>
      </c>
      <c r="E790" s="17" t="s">
        <v>60</v>
      </c>
      <c r="F790" s="17" t="s">
        <v>28</v>
      </c>
      <c r="I790" s="35" t="s">
        <v>30</v>
      </c>
    </row>
    <row r="791">
      <c r="A791" s="17" t="s">
        <v>703</v>
      </c>
      <c r="B791" s="18">
        <v>75000.0</v>
      </c>
      <c r="C791" s="19">
        <f t="shared" si="201"/>
        <v>1312.5</v>
      </c>
      <c r="D791" s="20">
        <v>45832.0</v>
      </c>
      <c r="E791" s="17" t="s">
        <v>11</v>
      </c>
      <c r="F791" s="17" t="s">
        <v>67</v>
      </c>
      <c r="I791" s="35" t="s">
        <v>30</v>
      </c>
    </row>
    <row r="792">
      <c r="A792" s="17" t="s">
        <v>811</v>
      </c>
      <c r="B792" s="18">
        <v>40000.0</v>
      </c>
      <c r="C792" s="19">
        <f t="shared" ref="C792:C793" si="202">0.0125*B792</f>
        <v>500</v>
      </c>
      <c r="D792" s="20">
        <v>45832.0</v>
      </c>
      <c r="E792" s="17" t="s">
        <v>24</v>
      </c>
      <c r="F792" s="17" t="s">
        <v>144</v>
      </c>
      <c r="H792" s="17" t="s">
        <v>25</v>
      </c>
    </row>
    <row r="793">
      <c r="A793" s="17" t="s">
        <v>812</v>
      </c>
      <c r="B793" s="18">
        <v>100000.0</v>
      </c>
      <c r="C793" s="19">
        <f t="shared" si="202"/>
        <v>1250</v>
      </c>
      <c r="D793" s="20">
        <v>45832.0</v>
      </c>
      <c r="E793" s="17" t="s">
        <v>11</v>
      </c>
      <c r="F793" s="17" t="s">
        <v>12</v>
      </c>
    </row>
    <row r="794">
      <c r="A794" s="17" t="s">
        <v>813</v>
      </c>
      <c r="B794" s="18">
        <v>100000.0</v>
      </c>
      <c r="C794" s="19">
        <f t="shared" ref="C794:C795" si="203">0.0175*B794</f>
        <v>1750</v>
      </c>
      <c r="D794" s="20">
        <v>45832.0</v>
      </c>
      <c r="E794" s="17" t="s">
        <v>11</v>
      </c>
      <c r="F794" s="17" t="s">
        <v>28</v>
      </c>
      <c r="I794" s="35" t="s">
        <v>30</v>
      </c>
    </row>
    <row r="795">
      <c r="A795" s="17" t="s">
        <v>814</v>
      </c>
      <c r="B795" s="18">
        <v>133000.0</v>
      </c>
      <c r="C795" s="19">
        <f t="shared" si="203"/>
        <v>2327.5</v>
      </c>
      <c r="D795" s="20">
        <v>45833.0</v>
      </c>
      <c r="E795" s="17" t="s">
        <v>11</v>
      </c>
      <c r="F795" s="17" t="s">
        <v>28</v>
      </c>
      <c r="I795" s="35" t="s">
        <v>30</v>
      </c>
    </row>
    <row r="796">
      <c r="A796" s="17" t="s">
        <v>63</v>
      </c>
      <c r="B796" s="18">
        <v>300000.0</v>
      </c>
      <c r="C796" s="19">
        <f t="shared" ref="C796:C797" si="204">0.0125*B796</f>
        <v>3750</v>
      </c>
      <c r="D796" s="20">
        <v>45833.0</v>
      </c>
      <c r="E796" s="17" t="s">
        <v>60</v>
      </c>
      <c r="F796" s="17" t="s">
        <v>12</v>
      </c>
    </row>
    <row r="797">
      <c r="A797" s="17" t="s">
        <v>184</v>
      </c>
      <c r="B797" s="18">
        <v>210000.0</v>
      </c>
      <c r="C797" s="19">
        <f t="shared" si="204"/>
        <v>2625</v>
      </c>
      <c r="D797" s="20">
        <v>45833.0</v>
      </c>
      <c r="E797" s="17" t="s">
        <v>60</v>
      </c>
      <c r="F797" s="17" t="s">
        <v>12</v>
      </c>
    </row>
    <row r="798">
      <c r="A798" s="17" t="s">
        <v>815</v>
      </c>
      <c r="B798" s="18">
        <v>1250000.0</v>
      </c>
      <c r="C798" s="19">
        <f t="shared" ref="C798:C801" si="205">0.0175*B798</f>
        <v>21875</v>
      </c>
      <c r="D798" s="20">
        <v>45833.0</v>
      </c>
      <c r="E798" s="17" t="s">
        <v>11</v>
      </c>
      <c r="F798" s="17" t="s">
        <v>41</v>
      </c>
    </row>
    <row r="799">
      <c r="A799" s="17" t="s">
        <v>816</v>
      </c>
      <c r="B799" s="18">
        <v>325000.0</v>
      </c>
      <c r="C799" s="19">
        <f t="shared" si="205"/>
        <v>5687.5</v>
      </c>
      <c r="D799" s="20">
        <v>45833.0</v>
      </c>
      <c r="E799" s="17" t="s">
        <v>817</v>
      </c>
      <c r="F799" s="17" t="s">
        <v>41</v>
      </c>
      <c r="I799" s="35" t="s">
        <v>30</v>
      </c>
    </row>
    <row r="800">
      <c r="A800" s="17" t="s">
        <v>818</v>
      </c>
      <c r="B800" s="18">
        <v>50000.0</v>
      </c>
      <c r="C800" s="19">
        <f t="shared" si="205"/>
        <v>875</v>
      </c>
      <c r="D800" s="20">
        <v>45834.0</v>
      </c>
      <c r="E800" s="17" t="s">
        <v>75</v>
      </c>
      <c r="F800" s="17" t="s">
        <v>28</v>
      </c>
      <c r="I800" s="35" t="s">
        <v>30</v>
      </c>
    </row>
    <row r="801">
      <c r="A801" s="17" t="s">
        <v>819</v>
      </c>
      <c r="B801" s="18">
        <v>155000.0</v>
      </c>
      <c r="C801" s="19">
        <f t="shared" si="205"/>
        <v>2712.5</v>
      </c>
      <c r="D801" s="20">
        <v>45834.0</v>
      </c>
      <c r="E801" s="17" t="s">
        <v>11</v>
      </c>
      <c r="F801" s="17" t="s">
        <v>28</v>
      </c>
      <c r="I801" s="35" t="s">
        <v>30</v>
      </c>
    </row>
    <row r="802">
      <c r="A802" s="17" t="s">
        <v>820</v>
      </c>
      <c r="B802" s="18">
        <v>450000.0</v>
      </c>
      <c r="C802" s="19">
        <f>0.0125*B802</f>
        <v>5625</v>
      </c>
      <c r="D802" s="20">
        <v>45834.0</v>
      </c>
      <c r="E802" s="17" t="s">
        <v>75</v>
      </c>
      <c r="F802" s="17" t="s">
        <v>12</v>
      </c>
    </row>
    <row r="803">
      <c r="A803" s="17" t="s">
        <v>821</v>
      </c>
      <c r="B803" s="18">
        <v>25000.0</v>
      </c>
      <c r="C803" s="19">
        <f t="shared" ref="C803:C806" si="206">0.0175*B803</f>
        <v>437.5</v>
      </c>
      <c r="D803" s="20">
        <v>45834.0</v>
      </c>
      <c r="E803" s="17" t="s">
        <v>15</v>
      </c>
      <c r="F803" s="17" t="s">
        <v>28</v>
      </c>
      <c r="H803" s="31" t="s">
        <v>51</v>
      </c>
      <c r="I803" s="35" t="s">
        <v>30</v>
      </c>
      <c r="K803" s="17">
        <v>125.0</v>
      </c>
    </row>
    <row r="804">
      <c r="A804" s="17" t="s">
        <v>822</v>
      </c>
      <c r="B804" s="18">
        <v>450000.0</v>
      </c>
      <c r="C804" s="19">
        <f t="shared" si="206"/>
        <v>7875</v>
      </c>
      <c r="D804" s="20">
        <v>45834.0</v>
      </c>
      <c r="E804" s="17" t="s">
        <v>21</v>
      </c>
      <c r="F804" s="17" t="s">
        <v>28</v>
      </c>
      <c r="H804" s="17" t="s">
        <v>13</v>
      </c>
      <c r="I804" s="35" t="s">
        <v>30</v>
      </c>
    </row>
    <row r="805">
      <c r="A805" s="17" t="s">
        <v>823</v>
      </c>
      <c r="B805" s="18">
        <v>220000.0</v>
      </c>
      <c r="C805" s="19">
        <f t="shared" si="206"/>
        <v>3850</v>
      </c>
      <c r="D805" s="20">
        <v>45834.0</v>
      </c>
      <c r="E805" s="17" t="s">
        <v>60</v>
      </c>
      <c r="F805" s="17" t="s">
        <v>28</v>
      </c>
      <c r="I805" s="35" t="s">
        <v>30</v>
      </c>
    </row>
    <row r="806">
      <c r="A806" s="17" t="s">
        <v>824</v>
      </c>
      <c r="B806" s="18">
        <v>60000.0</v>
      </c>
      <c r="C806" s="19">
        <f t="shared" si="206"/>
        <v>1050</v>
      </c>
      <c r="D806" s="20">
        <v>45835.0</v>
      </c>
      <c r="E806" s="17" t="s">
        <v>60</v>
      </c>
      <c r="F806" s="17" t="s">
        <v>41</v>
      </c>
    </row>
    <row r="807">
      <c r="A807" s="17" t="s">
        <v>825</v>
      </c>
      <c r="B807" s="18">
        <v>160000.0</v>
      </c>
      <c r="C807" s="19">
        <f>0.0125*B807</f>
        <v>2000</v>
      </c>
      <c r="D807" s="20">
        <v>45835.0</v>
      </c>
      <c r="E807" s="17" t="s">
        <v>11</v>
      </c>
      <c r="F807" s="17" t="s">
        <v>12</v>
      </c>
    </row>
    <row r="808">
      <c r="A808" s="17" t="s">
        <v>826</v>
      </c>
      <c r="B808" s="18">
        <v>850000.0</v>
      </c>
      <c r="C808" s="19">
        <f t="shared" ref="C808:C809" si="207">0.0175*B808</f>
        <v>14875</v>
      </c>
      <c r="D808" s="20">
        <v>45835.0</v>
      </c>
      <c r="E808" s="17" t="s">
        <v>118</v>
      </c>
      <c r="F808" s="17" t="s">
        <v>28</v>
      </c>
      <c r="I808" s="35" t="s">
        <v>30</v>
      </c>
    </row>
    <row r="809">
      <c r="A809" s="17" t="s">
        <v>827</v>
      </c>
      <c r="B809" s="18">
        <v>100000.0</v>
      </c>
      <c r="C809" s="19">
        <f t="shared" si="207"/>
        <v>1750</v>
      </c>
      <c r="D809" s="20">
        <v>45835.0</v>
      </c>
      <c r="E809" s="17" t="s">
        <v>15</v>
      </c>
      <c r="F809" s="17" t="s">
        <v>28</v>
      </c>
      <c r="I809" s="35" t="s">
        <v>30</v>
      </c>
    </row>
    <row r="810">
      <c r="A810" s="17" t="s">
        <v>828</v>
      </c>
      <c r="B810" s="18">
        <v>80000.0</v>
      </c>
      <c r="C810" s="19">
        <f>0.0125*B810</f>
        <v>1000</v>
      </c>
      <c r="D810" s="20">
        <v>45835.0</v>
      </c>
      <c r="E810" s="17" t="s">
        <v>11</v>
      </c>
      <c r="F810" s="17" t="s">
        <v>12</v>
      </c>
    </row>
    <row r="811">
      <c r="A811" s="17" t="s">
        <v>829</v>
      </c>
      <c r="B811" s="18">
        <v>850000.0</v>
      </c>
      <c r="C811" s="19">
        <f t="shared" ref="C811:C812" si="208">0.0175*B811</f>
        <v>14875</v>
      </c>
      <c r="D811" s="20">
        <v>45835.0</v>
      </c>
      <c r="E811" s="17" t="s">
        <v>830</v>
      </c>
      <c r="F811" s="17" t="s">
        <v>28</v>
      </c>
      <c r="I811" s="35" t="s">
        <v>30</v>
      </c>
    </row>
    <row r="812">
      <c r="A812" s="17" t="s">
        <v>831</v>
      </c>
      <c r="B812" s="18">
        <v>150000.0</v>
      </c>
      <c r="C812" s="19">
        <f t="shared" si="208"/>
        <v>2625</v>
      </c>
      <c r="D812" s="20">
        <v>45835.0</v>
      </c>
      <c r="E812" s="17" t="s">
        <v>180</v>
      </c>
      <c r="F812" s="17" t="s">
        <v>28</v>
      </c>
      <c r="I812" s="35" t="s">
        <v>30</v>
      </c>
    </row>
    <row r="813">
      <c r="A813" s="17" t="s">
        <v>832</v>
      </c>
      <c r="B813" s="18">
        <v>215000.0</v>
      </c>
      <c r="C813" s="19">
        <f t="shared" ref="C813:C814" si="209">0.0125*B813</f>
        <v>2687.5</v>
      </c>
      <c r="D813" s="20">
        <v>45838.0</v>
      </c>
      <c r="E813" s="17" t="s">
        <v>15</v>
      </c>
      <c r="F813" s="17" t="s">
        <v>12</v>
      </c>
      <c r="H813" s="31" t="s">
        <v>54</v>
      </c>
      <c r="K813" s="17">
        <v>1290.0</v>
      </c>
    </row>
    <row r="814">
      <c r="A814" s="17" t="s">
        <v>833</v>
      </c>
      <c r="B814" s="18">
        <v>75000.0</v>
      </c>
      <c r="C814" s="19">
        <f t="shared" si="209"/>
        <v>937.5</v>
      </c>
      <c r="D814" s="20">
        <v>45838.0</v>
      </c>
      <c r="E814" s="17" t="s">
        <v>11</v>
      </c>
      <c r="F814" s="17" t="s">
        <v>12</v>
      </c>
    </row>
    <row r="815">
      <c r="A815" s="17" t="s">
        <v>834</v>
      </c>
      <c r="B815" s="18">
        <v>30000.0</v>
      </c>
      <c r="C815" s="19">
        <f>0.0175*B815</f>
        <v>525</v>
      </c>
      <c r="D815" s="20">
        <v>45833.0</v>
      </c>
      <c r="E815" s="17" t="s">
        <v>11</v>
      </c>
      <c r="F815" s="17" t="s">
        <v>28</v>
      </c>
    </row>
    <row r="816">
      <c r="A816" s="12">
        <v>45839.0</v>
      </c>
      <c r="B816" s="13">
        <f t="shared" ref="B816:C816" si="210">SUM(B817:B948)</f>
        <v>33787700</v>
      </c>
      <c r="C816" s="13">
        <f t="shared" si="210"/>
        <v>497464.75</v>
      </c>
      <c r="D816" s="14"/>
      <c r="E816" s="15"/>
      <c r="F816" s="15"/>
      <c r="G816" s="15"/>
      <c r="H816" s="16"/>
      <c r="I816" s="16"/>
      <c r="J816" s="16"/>
      <c r="K816" s="16"/>
      <c r="L816" s="16"/>
    </row>
    <row r="817">
      <c r="A817" s="17" t="s">
        <v>150</v>
      </c>
      <c r="B817" s="18">
        <v>20000.0</v>
      </c>
      <c r="C817" s="19">
        <f t="shared" ref="C817:C818" si="211">0.0125*B817</f>
        <v>250</v>
      </c>
      <c r="D817" s="20">
        <v>45839.0</v>
      </c>
      <c r="E817" s="17" t="s">
        <v>11</v>
      </c>
      <c r="F817" s="17" t="s">
        <v>12</v>
      </c>
    </row>
    <row r="818">
      <c r="A818" s="17" t="s">
        <v>835</v>
      </c>
      <c r="B818" s="18">
        <v>450000.0</v>
      </c>
      <c r="C818" s="19">
        <f t="shared" si="211"/>
        <v>5625</v>
      </c>
      <c r="D818" s="20">
        <v>45839.0</v>
      </c>
      <c r="E818" s="17" t="s">
        <v>24</v>
      </c>
      <c r="F818" s="17" t="s">
        <v>12</v>
      </c>
      <c r="H818" s="17" t="s">
        <v>797</v>
      </c>
    </row>
    <row r="819">
      <c r="A819" s="17" t="s">
        <v>836</v>
      </c>
      <c r="B819" s="18">
        <v>70000.0</v>
      </c>
      <c r="C819" s="19">
        <f>0.0175*B819</f>
        <v>1225</v>
      </c>
      <c r="D819" s="20">
        <v>45839.0</v>
      </c>
      <c r="E819" s="17" t="s">
        <v>11</v>
      </c>
      <c r="F819" s="17" t="s">
        <v>67</v>
      </c>
    </row>
    <row r="820">
      <c r="A820" s="17" t="s">
        <v>837</v>
      </c>
      <c r="B820" s="18">
        <v>170000.0</v>
      </c>
      <c r="C820" s="19">
        <f t="shared" ref="C820:C821" si="212">0.0125*B820</f>
        <v>2125</v>
      </c>
      <c r="D820" s="20">
        <v>45839.0</v>
      </c>
      <c r="E820" s="17" t="s">
        <v>60</v>
      </c>
      <c r="F820" s="17" t="s">
        <v>144</v>
      </c>
    </row>
    <row r="821">
      <c r="A821" s="17" t="s">
        <v>838</v>
      </c>
      <c r="B821" s="18">
        <v>350000.0</v>
      </c>
      <c r="C821" s="19">
        <f t="shared" si="212"/>
        <v>4375</v>
      </c>
      <c r="D821" s="20">
        <v>45839.0</v>
      </c>
      <c r="E821" s="17" t="s">
        <v>11</v>
      </c>
      <c r="F821" s="17" t="s">
        <v>12</v>
      </c>
    </row>
    <row r="822">
      <c r="A822" s="17" t="s">
        <v>839</v>
      </c>
      <c r="B822" s="18">
        <v>400000.0</v>
      </c>
      <c r="C822" s="19">
        <f t="shared" ref="C822:C824" si="213">0.0175*B822</f>
        <v>7000</v>
      </c>
      <c r="D822" s="20">
        <v>45839.0</v>
      </c>
      <c r="E822" s="17" t="s">
        <v>69</v>
      </c>
      <c r="F822" s="17" t="s">
        <v>28</v>
      </c>
      <c r="H822" s="17" t="s">
        <v>13</v>
      </c>
      <c r="I822" s="35" t="s">
        <v>30</v>
      </c>
    </row>
    <row r="823">
      <c r="A823" s="17" t="s">
        <v>840</v>
      </c>
      <c r="B823" s="18">
        <v>10000.0</v>
      </c>
      <c r="C823" s="19">
        <f t="shared" si="213"/>
        <v>175</v>
      </c>
      <c r="D823" s="20">
        <v>45839.0</v>
      </c>
      <c r="E823" s="17" t="s">
        <v>11</v>
      </c>
      <c r="F823" s="17" t="s">
        <v>28</v>
      </c>
      <c r="I823" s="35" t="s">
        <v>30</v>
      </c>
    </row>
    <row r="824">
      <c r="A824" s="17" t="s">
        <v>841</v>
      </c>
      <c r="B824" s="18">
        <v>25000.0</v>
      </c>
      <c r="C824" s="19">
        <f t="shared" si="213"/>
        <v>437.5</v>
      </c>
      <c r="D824" s="20">
        <v>45839.0</v>
      </c>
      <c r="E824" s="17" t="s">
        <v>11</v>
      </c>
      <c r="F824" s="17" t="s">
        <v>67</v>
      </c>
      <c r="I824" s="35" t="s">
        <v>30</v>
      </c>
    </row>
    <row r="825">
      <c r="A825" s="17" t="s">
        <v>842</v>
      </c>
      <c r="B825" s="18">
        <v>150000.0</v>
      </c>
      <c r="C825" s="19">
        <f t="shared" ref="C825:C829" si="214">0.0125*B825</f>
        <v>1875</v>
      </c>
      <c r="D825" s="20">
        <v>45840.0</v>
      </c>
      <c r="E825" s="17" t="s">
        <v>15</v>
      </c>
      <c r="F825" s="17" t="s">
        <v>12</v>
      </c>
      <c r="H825" s="31" t="s">
        <v>51</v>
      </c>
      <c r="K825" s="17">
        <v>750.0</v>
      </c>
    </row>
    <row r="826">
      <c r="A826" s="17" t="s">
        <v>353</v>
      </c>
      <c r="B826" s="18">
        <v>400000.0</v>
      </c>
      <c r="C826" s="19">
        <f t="shared" si="214"/>
        <v>5000</v>
      </c>
      <c r="D826" s="20">
        <v>45840.0</v>
      </c>
      <c r="E826" s="17" t="s">
        <v>11</v>
      </c>
      <c r="F826" s="17" t="s">
        <v>12</v>
      </c>
    </row>
    <row r="827">
      <c r="A827" s="17" t="s">
        <v>843</v>
      </c>
      <c r="B827" s="18">
        <v>110000.0</v>
      </c>
      <c r="C827" s="19">
        <f t="shared" si="214"/>
        <v>1375</v>
      </c>
      <c r="D827" s="20">
        <v>45840.0</v>
      </c>
      <c r="E827" s="17" t="s">
        <v>11</v>
      </c>
      <c r="F827" s="17" t="s">
        <v>12</v>
      </c>
    </row>
    <row r="828">
      <c r="A828" s="17" t="s">
        <v>844</v>
      </c>
      <c r="B828" s="18">
        <v>1435000.0</v>
      </c>
      <c r="C828" s="19">
        <f t="shared" si="214"/>
        <v>17937.5</v>
      </c>
      <c r="D828" s="20">
        <v>45840.0</v>
      </c>
      <c r="E828" s="17" t="s">
        <v>11</v>
      </c>
      <c r="F828" s="17" t="s">
        <v>12</v>
      </c>
    </row>
    <row r="829">
      <c r="A829" s="17" t="s">
        <v>845</v>
      </c>
      <c r="B829" s="18">
        <v>200000.0</v>
      </c>
      <c r="C829" s="19">
        <f t="shared" si="214"/>
        <v>2500</v>
      </c>
      <c r="D829" s="20">
        <v>45841.0</v>
      </c>
      <c r="E829" s="17" t="s">
        <v>40</v>
      </c>
      <c r="F829" s="17" t="s">
        <v>12</v>
      </c>
    </row>
    <row r="830">
      <c r="A830" s="17" t="s">
        <v>846</v>
      </c>
      <c r="B830" s="18">
        <v>100000.0</v>
      </c>
      <c r="C830" s="19">
        <f t="shared" ref="C830:C834" si="215">0.0175*B830</f>
        <v>1750</v>
      </c>
      <c r="D830" s="20">
        <v>45841.0</v>
      </c>
      <c r="E830" s="17" t="s">
        <v>11</v>
      </c>
      <c r="F830" s="17" t="s">
        <v>28</v>
      </c>
    </row>
    <row r="831">
      <c r="A831" s="17" t="s">
        <v>847</v>
      </c>
      <c r="B831" s="18">
        <v>300000.0</v>
      </c>
      <c r="C831" s="19">
        <f t="shared" si="215"/>
        <v>5250</v>
      </c>
      <c r="D831" s="20">
        <v>45841.0</v>
      </c>
      <c r="E831" s="17" t="s">
        <v>11</v>
      </c>
      <c r="F831" s="17" t="s">
        <v>28</v>
      </c>
    </row>
    <row r="832">
      <c r="A832" s="17" t="s">
        <v>848</v>
      </c>
      <c r="B832" s="18">
        <v>40000.0</v>
      </c>
      <c r="C832" s="19">
        <f t="shared" si="215"/>
        <v>700</v>
      </c>
      <c r="D832" s="20">
        <v>45841.0</v>
      </c>
      <c r="E832" s="17" t="s">
        <v>15</v>
      </c>
      <c r="F832" s="17" t="s">
        <v>28</v>
      </c>
      <c r="H832" s="31" t="s">
        <v>16</v>
      </c>
      <c r="K832" s="17">
        <v>160.0</v>
      </c>
    </row>
    <row r="833">
      <c r="A833" s="17" t="s">
        <v>698</v>
      </c>
      <c r="B833" s="18">
        <v>100000.0</v>
      </c>
      <c r="C833" s="19">
        <f t="shared" si="215"/>
        <v>1750</v>
      </c>
      <c r="D833" s="20">
        <v>45841.0</v>
      </c>
      <c r="E833" s="17" t="s">
        <v>118</v>
      </c>
      <c r="F833" s="17" t="s">
        <v>67</v>
      </c>
      <c r="H833" s="17" t="s">
        <v>22</v>
      </c>
    </row>
    <row r="834">
      <c r="A834" s="17" t="s">
        <v>849</v>
      </c>
      <c r="B834" s="18">
        <v>250000.0</v>
      </c>
      <c r="C834" s="19">
        <f t="shared" si="215"/>
        <v>4375</v>
      </c>
      <c r="D834" s="20">
        <v>45841.0</v>
      </c>
      <c r="E834" s="17" t="s">
        <v>15</v>
      </c>
      <c r="F834" s="17" t="s">
        <v>41</v>
      </c>
      <c r="H834" s="31" t="s">
        <v>51</v>
      </c>
      <c r="K834" s="17">
        <v>625.0</v>
      </c>
    </row>
    <row r="835">
      <c r="A835" s="17" t="s">
        <v>471</v>
      </c>
      <c r="B835" s="18">
        <v>150000.0</v>
      </c>
      <c r="C835" s="19">
        <f t="shared" ref="C835:C836" si="216">0.0125*B835</f>
        <v>1875</v>
      </c>
      <c r="D835" s="20">
        <v>45841.0</v>
      </c>
      <c r="E835" s="17" t="s">
        <v>11</v>
      </c>
      <c r="F835" s="17" t="s">
        <v>12</v>
      </c>
    </row>
    <row r="836">
      <c r="A836" s="17" t="s">
        <v>850</v>
      </c>
      <c r="B836" s="18">
        <v>70000.0</v>
      </c>
      <c r="C836" s="19">
        <f t="shared" si="216"/>
        <v>875</v>
      </c>
      <c r="D836" s="20">
        <v>45845.0</v>
      </c>
      <c r="E836" s="17" t="s">
        <v>11</v>
      </c>
      <c r="F836" s="17" t="s">
        <v>12</v>
      </c>
    </row>
    <row r="837">
      <c r="A837" s="17" t="s">
        <v>851</v>
      </c>
      <c r="B837" s="18">
        <v>35000.0</v>
      </c>
      <c r="C837" s="19">
        <f>0.0175*B837</f>
        <v>612.5</v>
      </c>
      <c r="D837" s="20">
        <v>45845.0</v>
      </c>
      <c r="E837" s="17" t="s">
        <v>60</v>
      </c>
      <c r="F837" s="17" t="s">
        <v>28</v>
      </c>
      <c r="I837" s="35" t="s">
        <v>30</v>
      </c>
    </row>
    <row r="838">
      <c r="A838" s="17" t="s">
        <v>852</v>
      </c>
      <c r="B838" s="18">
        <v>120000.0</v>
      </c>
      <c r="C838" s="19">
        <f t="shared" ref="C838:C839" si="217">0.0125*B838</f>
        <v>1500</v>
      </c>
      <c r="D838" s="20">
        <v>45846.0</v>
      </c>
      <c r="E838" s="17" t="s">
        <v>11</v>
      </c>
      <c r="F838" s="17" t="s">
        <v>67</v>
      </c>
    </row>
    <row r="839">
      <c r="A839" s="17" t="s">
        <v>237</v>
      </c>
      <c r="B839" s="18">
        <v>950000.0</v>
      </c>
      <c r="C839" s="19">
        <f t="shared" si="217"/>
        <v>11875</v>
      </c>
      <c r="D839" s="20">
        <v>45846.0</v>
      </c>
      <c r="E839" s="17" t="s">
        <v>853</v>
      </c>
      <c r="F839" s="17" t="s">
        <v>12</v>
      </c>
      <c r="H839" s="17" t="s">
        <v>797</v>
      </c>
    </row>
    <row r="840">
      <c r="A840" s="17" t="s">
        <v>854</v>
      </c>
      <c r="B840" s="18">
        <v>75000.0</v>
      </c>
      <c r="C840" s="19">
        <f>0.0175*B840</f>
        <v>1312.5</v>
      </c>
      <c r="D840" s="20">
        <v>45846.0</v>
      </c>
      <c r="E840" s="17" t="s">
        <v>15</v>
      </c>
      <c r="F840" s="17" t="s">
        <v>41</v>
      </c>
      <c r="H840" s="31" t="s">
        <v>98</v>
      </c>
    </row>
    <row r="841">
      <c r="A841" s="17" t="s">
        <v>747</v>
      </c>
      <c r="B841" s="18">
        <v>140000.0</v>
      </c>
      <c r="C841" s="19">
        <f>0.0125*B841</f>
        <v>1750</v>
      </c>
      <c r="D841" s="20">
        <v>45846.0</v>
      </c>
      <c r="E841" s="17" t="s">
        <v>73</v>
      </c>
      <c r="F841" s="17" t="s">
        <v>12</v>
      </c>
    </row>
    <row r="842">
      <c r="A842" s="17" t="s">
        <v>855</v>
      </c>
      <c r="B842" s="18">
        <v>200000.0</v>
      </c>
      <c r="C842" s="19">
        <f t="shared" ref="C842:C844" si="218">0.0175*B842</f>
        <v>3500</v>
      </c>
      <c r="D842" s="20">
        <v>45846.0</v>
      </c>
      <c r="E842" s="17" t="s">
        <v>60</v>
      </c>
      <c r="F842" s="17" t="s">
        <v>28</v>
      </c>
      <c r="I842" s="35" t="s">
        <v>30</v>
      </c>
    </row>
    <row r="843">
      <c r="A843" s="17" t="s">
        <v>856</v>
      </c>
      <c r="B843" s="18">
        <v>150000.0</v>
      </c>
      <c r="C843" s="19">
        <f t="shared" si="218"/>
        <v>2625</v>
      </c>
      <c r="D843" s="20">
        <v>45846.0</v>
      </c>
      <c r="E843" s="17" t="s">
        <v>11</v>
      </c>
      <c r="F843" s="17" t="s">
        <v>28</v>
      </c>
    </row>
    <row r="844">
      <c r="A844" s="17" t="s">
        <v>857</v>
      </c>
      <c r="B844" s="18">
        <v>750000.0</v>
      </c>
      <c r="C844" s="19">
        <f t="shared" si="218"/>
        <v>13125</v>
      </c>
      <c r="D844" s="20">
        <v>45846.0</v>
      </c>
      <c r="E844" s="17" t="s">
        <v>11</v>
      </c>
      <c r="F844" s="17" t="s">
        <v>28</v>
      </c>
      <c r="I844" s="35" t="s">
        <v>30</v>
      </c>
    </row>
    <row r="845">
      <c r="A845" s="17" t="s">
        <v>94</v>
      </c>
      <c r="B845" s="18">
        <v>80000.0</v>
      </c>
      <c r="C845" s="19">
        <f t="shared" ref="C845:C846" si="219">0.0125*B845</f>
        <v>1000</v>
      </c>
      <c r="D845" s="20">
        <v>45846.0</v>
      </c>
      <c r="E845" s="17" t="s">
        <v>15</v>
      </c>
      <c r="F845" s="17" t="s">
        <v>12</v>
      </c>
      <c r="H845" s="31" t="s">
        <v>16</v>
      </c>
      <c r="K845" s="17">
        <v>320.0</v>
      </c>
    </row>
    <row r="846">
      <c r="A846" s="17" t="s">
        <v>858</v>
      </c>
      <c r="B846" s="18">
        <v>150000.0</v>
      </c>
      <c r="C846" s="19">
        <f t="shared" si="219"/>
        <v>1875</v>
      </c>
      <c r="D846" s="20">
        <v>45846.0</v>
      </c>
      <c r="E846" s="17" t="s">
        <v>24</v>
      </c>
      <c r="F846" s="17" t="s">
        <v>12</v>
      </c>
    </row>
    <row r="847">
      <c r="A847" s="17" t="s">
        <v>859</v>
      </c>
      <c r="B847" s="18">
        <v>500000.0</v>
      </c>
      <c r="C847" s="19">
        <f t="shared" ref="C847:C848" si="220">0.0175*B847</f>
        <v>8750</v>
      </c>
      <c r="D847" s="20">
        <v>45846.0</v>
      </c>
      <c r="E847" s="17" t="s">
        <v>279</v>
      </c>
      <c r="F847" s="17" t="s">
        <v>67</v>
      </c>
    </row>
    <row r="848">
      <c r="A848" s="17" t="s">
        <v>860</v>
      </c>
      <c r="B848" s="18">
        <v>350000.0</v>
      </c>
      <c r="C848" s="19">
        <f t="shared" si="220"/>
        <v>6125</v>
      </c>
      <c r="D848" s="20">
        <v>45847.0</v>
      </c>
      <c r="E848" s="17" t="s">
        <v>24</v>
      </c>
      <c r="F848" s="17" t="s">
        <v>28</v>
      </c>
      <c r="H848" s="17" t="s">
        <v>642</v>
      </c>
      <c r="I848" s="35" t="s">
        <v>30</v>
      </c>
    </row>
    <row r="849">
      <c r="A849" s="17" t="s">
        <v>861</v>
      </c>
      <c r="B849" s="18">
        <v>125000.0</v>
      </c>
      <c r="C849" s="19">
        <f>0.0125*B849</f>
        <v>1562.5</v>
      </c>
      <c r="D849" s="20">
        <v>45847.0</v>
      </c>
      <c r="E849" s="17" t="s">
        <v>15</v>
      </c>
      <c r="F849" s="17" t="s">
        <v>12</v>
      </c>
      <c r="H849" s="31" t="s">
        <v>149</v>
      </c>
      <c r="K849" s="17">
        <v>312.5</v>
      </c>
    </row>
    <row r="850">
      <c r="A850" s="17" t="s">
        <v>862</v>
      </c>
      <c r="B850" s="32">
        <v>100000.0</v>
      </c>
      <c r="C850" s="33">
        <f t="shared" ref="C850:C852" si="221">0.0175*B850</f>
        <v>1750</v>
      </c>
      <c r="D850" s="20">
        <v>45847.0</v>
      </c>
      <c r="E850" s="17" t="s">
        <v>135</v>
      </c>
      <c r="F850" s="17" t="s">
        <v>28</v>
      </c>
      <c r="H850" s="17" t="s">
        <v>13</v>
      </c>
      <c r="I850" s="35" t="s">
        <v>30</v>
      </c>
    </row>
    <row r="851">
      <c r="A851" s="17" t="s">
        <v>331</v>
      </c>
      <c r="B851" s="32">
        <v>100000.0</v>
      </c>
      <c r="C851" s="33">
        <f t="shared" si="221"/>
        <v>1750</v>
      </c>
      <c r="D851" s="20">
        <v>45848.0</v>
      </c>
      <c r="E851" s="17" t="s">
        <v>180</v>
      </c>
      <c r="F851" s="17" t="s">
        <v>67</v>
      </c>
      <c r="H851" s="17" t="s">
        <v>13</v>
      </c>
      <c r="I851" s="35" t="s">
        <v>30</v>
      </c>
    </row>
    <row r="852">
      <c r="A852" s="17" t="s">
        <v>863</v>
      </c>
      <c r="B852" s="32">
        <v>50000.0</v>
      </c>
      <c r="C852" s="33">
        <f t="shared" si="221"/>
        <v>875</v>
      </c>
      <c r="D852" s="20">
        <v>45848.0</v>
      </c>
      <c r="E852" s="17" t="s">
        <v>118</v>
      </c>
      <c r="F852" s="17" t="s">
        <v>28</v>
      </c>
      <c r="H852" s="17" t="s">
        <v>13</v>
      </c>
      <c r="I852" s="35" t="s">
        <v>30</v>
      </c>
    </row>
    <row r="853">
      <c r="A853" s="17" t="s">
        <v>280</v>
      </c>
      <c r="B853" s="32">
        <v>105000.0</v>
      </c>
      <c r="C853" s="33">
        <f>0.0125*B853</f>
        <v>1312.5</v>
      </c>
      <c r="D853" s="20">
        <v>45848.0</v>
      </c>
      <c r="E853" s="17" t="s">
        <v>15</v>
      </c>
      <c r="F853" s="17" t="s">
        <v>12</v>
      </c>
      <c r="H853" s="31" t="s">
        <v>282</v>
      </c>
      <c r="K853" s="17">
        <v>105.0</v>
      </c>
    </row>
    <row r="854">
      <c r="A854" s="17" t="s">
        <v>864</v>
      </c>
      <c r="B854" s="32">
        <v>133700.0</v>
      </c>
      <c r="C854" s="33">
        <f t="shared" ref="C854:C856" si="222">0.0175*B854</f>
        <v>2339.75</v>
      </c>
      <c r="D854" s="20">
        <v>45848.0</v>
      </c>
      <c r="E854" s="17" t="s">
        <v>24</v>
      </c>
      <c r="F854" s="17" t="s">
        <v>28</v>
      </c>
      <c r="H854" s="17" t="s">
        <v>497</v>
      </c>
      <c r="I854" s="35" t="s">
        <v>30</v>
      </c>
    </row>
    <row r="855">
      <c r="A855" s="17" t="s">
        <v>865</v>
      </c>
      <c r="B855" s="32">
        <v>100000.0</v>
      </c>
      <c r="C855" s="33">
        <f t="shared" si="222"/>
        <v>1750</v>
      </c>
      <c r="D855" s="20">
        <v>45849.0</v>
      </c>
      <c r="E855" s="17" t="s">
        <v>11</v>
      </c>
      <c r="F855" s="17" t="s">
        <v>28</v>
      </c>
      <c r="I855" s="35" t="s">
        <v>30</v>
      </c>
    </row>
    <row r="856">
      <c r="A856" s="17" t="s">
        <v>866</v>
      </c>
      <c r="B856" s="32">
        <v>750000.0</v>
      </c>
      <c r="C856" s="33">
        <f t="shared" si="222"/>
        <v>13125</v>
      </c>
      <c r="D856" s="20">
        <v>45849.0</v>
      </c>
      <c r="E856" s="17" t="s">
        <v>118</v>
      </c>
      <c r="F856" s="17" t="s">
        <v>28</v>
      </c>
      <c r="H856" s="17" t="s">
        <v>13</v>
      </c>
      <c r="I856" s="35" t="s">
        <v>30</v>
      </c>
    </row>
    <row r="857">
      <c r="A857" s="17" t="s">
        <v>867</v>
      </c>
      <c r="B857" s="32">
        <v>125000.0</v>
      </c>
      <c r="C857" s="33">
        <f t="shared" ref="C857:C858" si="223">0.0125*B857</f>
        <v>1562.5</v>
      </c>
      <c r="D857" s="20">
        <v>45849.0</v>
      </c>
      <c r="E857" s="17" t="s">
        <v>11</v>
      </c>
      <c r="F857" s="17" t="s">
        <v>12</v>
      </c>
    </row>
    <row r="858">
      <c r="A858" s="17" t="s">
        <v>868</v>
      </c>
      <c r="B858" s="32">
        <v>600000.0</v>
      </c>
      <c r="C858" s="33">
        <f t="shared" si="223"/>
        <v>7500</v>
      </c>
      <c r="D858" s="20">
        <v>45849.0</v>
      </c>
      <c r="E858" s="17" t="s">
        <v>11</v>
      </c>
      <c r="F858" s="17" t="s">
        <v>12</v>
      </c>
    </row>
    <row r="859">
      <c r="A859" s="17" t="s">
        <v>869</v>
      </c>
      <c r="B859" s="32">
        <v>110000.0</v>
      </c>
      <c r="C859" s="33">
        <f>0.0175*B859</f>
        <v>1925</v>
      </c>
      <c r="D859" s="20">
        <v>45849.0</v>
      </c>
      <c r="E859" s="17" t="s">
        <v>11</v>
      </c>
      <c r="F859" s="17" t="s">
        <v>28</v>
      </c>
      <c r="I859" s="35" t="s">
        <v>30</v>
      </c>
    </row>
    <row r="860">
      <c r="A860" s="17" t="s">
        <v>870</v>
      </c>
      <c r="B860" s="32">
        <v>250000.0</v>
      </c>
      <c r="C860" s="33">
        <f>0.0125*B860</f>
        <v>3125</v>
      </c>
      <c r="D860" s="20">
        <v>45849.0</v>
      </c>
      <c r="E860" s="17" t="s">
        <v>15</v>
      </c>
      <c r="F860" s="17" t="s">
        <v>12</v>
      </c>
      <c r="H860" s="31" t="s">
        <v>35</v>
      </c>
      <c r="K860" s="17">
        <v>500.0</v>
      </c>
    </row>
    <row r="861">
      <c r="A861" s="17" t="s">
        <v>871</v>
      </c>
      <c r="B861" s="32">
        <v>150000.0</v>
      </c>
      <c r="C861" s="33">
        <f t="shared" ref="C861:C862" si="224">0.0175*B861</f>
        <v>2625</v>
      </c>
      <c r="D861" s="20">
        <v>45849.0</v>
      </c>
      <c r="E861" s="17" t="s">
        <v>180</v>
      </c>
      <c r="F861" s="17" t="s">
        <v>28</v>
      </c>
      <c r="H861" s="17" t="s">
        <v>13</v>
      </c>
      <c r="I861" s="35" t="s">
        <v>30</v>
      </c>
    </row>
    <row r="862">
      <c r="A862" s="17" t="s">
        <v>872</v>
      </c>
      <c r="B862" s="32">
        <v>140000.0</v>
      </c>
      <c r="C862" s="33">
        <f t="shared" si="224"/>
        <v>2450</v>
      </c>
      <c r="D862" s="20">
        <v>45852.0</v>
      </c>
      <c r="E862" s="17" t="s">
        <v>376</v>
      </c>
      <c r="F862" s="17" t="s">
        <v>28</v>
      </c>
      <c r="H862" s="17" t="s">
        <v>13</v>
      </c>
      <c r="I862" s="35" t="s">
        <v>30</v>
      </c>
    </row>
    <row r="863">
      <c r="A863" s="17" t="s">
        <v>873</v>
      </c>
      <c r="B863" s="32">
        <v>30000.0</v>
      </c>
      <c r="C863" s="33">
        <f t="shared" ref="C863:C865" si="225">0.0125*B863</f>
        <v>375</v>
      </c>
      <c r="D863" s="20">
        <v>45852.0</v>
      </c>
      <c r="E863" s="17" t="s">
        <v>15</v>
      </c>
      <c r="F863" s="17" t="s">
        <v>144</v>
      </c>
      <c r="H863" s="31" t="s">
        <v>98</v>
      </c>
      <c r="K863" s="17">
        <v>90.0</v>
      </c>
    </row>
    <row r="864">
      <c r="A864" s="17" t="s">
        <v>874</v>
      </c>
      <c r="B864" s="32">
        <v>150000.0</v>
      </c>
      <c r="C864" s="33">
        <f t="shared" si="225"/>
        <v>1875</v>
      </c>
      <c r="D864" s="20">
        <v>45852.0</v>
      </c>
      <c r="E864" s="17" t="s">
        <v>15</v>
      </c>
      <c r="F864" s="17" t="s">
        <v>12</v>
      </c>
      <c r="H864" s="31" t="s">
        <v>98</v>
      </c>
      <c r="K864" s="17">
        <v>450.0</v>
      </c>
    </row>
    <row r="865">
      <c r="A865" s="17" t="s">
        <v>671</v>
      </c>
      <c r="B865" s="32">
        <v>70000.0</v>
      </c>
      <c r="C865" s="33">
        <f t="shared" si="225"/>
        <v>875</v>
      </c>
      <c r="D865" s="20">
        <v>45852.0</v>
      </c>
      <c r="E865" s="17" t="s">
        <v>15</v>
      </c>
      <c r="F865" s="17" t="s">
        <v>144</v>
      </c>
      <c r="H865" s="31" t="s">
        <v>16</v>
      </c>
      <c r="K865" s="17">
        <v>280.0</v>
      </c>
    </row>
    <row r="866">
      <c r="A866" s="17" t="s">
        <v>875</v>
      </c>
      <c r="B866" s="32">
        <v>1000000.0</v>
      </c>
      <c r="C866" s="33">
        <f t="shared" ref="C866:C868" si="226">0.0175*B866</f>
        <v>17500</v>
      </c>
      <c r="D866" s="20">
        <v>45852.0</v>
      </c>
      <c r="E866" s="17" t="s">
        <v>40</v>
      </c>
      <c r="F866" s="17" t="s">
        <v>41</v>
      </c>
    </row>
    <row r="867">
      <c r="A867" s="17" t="s">
        <v>876</v>
      </c>
      <c r="B867" s="32">
        <v>300000.0</v>
      </c>
      <c r="C867" s="33">
        <f t="shared" si="226"/>
        <v>5250</v>
      </c>
      <c r="D867" s="20">
        <v>45852.0</v>
      </c>
      <c r="E867" s="17" t="s">
        <v>11</v>
      </c>
      <c r="F867" s="17" t="s">
        <v>28</v>
      </c>
      <c r="I867" s="35" t="s">
        <v>30</v>
      </c>
    </row>
    <row r="868">
      <c r="A868" s="17" t="s">
        <v>877</v>
      </c>
      <c r="B868" s="32">
        <v>1000000.0</v>
      </c>
      <c r="C868" s="33">
        <f t="shared" si="226"/>
        <v>17500</v>
      </c>
      <c r="D868" s="20">
        <v>45852.0</v>
      </c>
      <c r="E868" s="17" t="s">
        <v>118</v>
      </c>
      <c r="F868" s="17" t="s">
        <v>28</v>
      </c>
      <c r="H868" s="17" t="s">
        <v>13</v>
      </c>
      <c r="I868" s="35" t="s">
        <v>30</v>
      </c>
    </row>
    <row r="869">
      <c r="A869" s="17" t="s">
        <v>878</v>
      </c>
      <c r="B869" s="32">
        <v>400000.0</v>
      </c>
      <c r="C869" s="33">
        <f>0.0125*B869</f>
        <v>5000</v>
      </c>
      <c r="D869" s="20">
        <v>45852.0</v>
      </c>
      <c r="E869" s="17" t="s">
        <v>24</v>
      </c>
      <c r="F869" s="17" t="s">
        <v>144</v>
      </c>
      <c r="H869" s="17" t="s">
        <v>797</v>
      </c>
    </row>
    <row r="870">
      <c r="A870" s="17" t="s">
        <v>879</v>
      </c>
      <c r="B870" s="32">
        <v>175000.0</v>
      </c>
      <c r="C870" s="33">
        <f t="shared" ref="C870:C871" si="227">0.0175*B870</f>
        <v>3062.5</v>
      </c>
      <c r="D870" s="20">
        <v>45852.0</v>
      </c>
      <c r="E870" s="17" t="s">
        <v>24</v>
      </c>
      <c r="F870" s="17" t="s">
        <v>28</v>
      </c>
      <c r="H870" s="17" t="s">
        <v>642</v>
      </c>
      <c r="I870" s="35" t="s">
        <v>30</v>
      </c>
    </row>
    <row r="871">
      <c r="A871" s="17" t="s">
        <v>880</v>
      </c>
      <c r="B871" s="32">
        <v>250000.0</v>
      </c>
      <c r="C871" s="33">
        <f t="shared" si="227"/>
        <v>4375</v>
      </c>
      <c r="D871" s="20">
        <v>45853.0</v>
      </c>
      <c r="E871" s="17" t="s">
        <v>24</v>
      </c>
      <c r="F871" s="17" t="s">
        <v>28</v>
      </c>
      <c r="H871" s="17" t="s">
        <v>642</v>
      </c>
      <c r="I871" s="35" t="s">
        <v>30</v>
      </c>
    </row>
    <row r="872">
      <c r="A872" s="17" t="s">
        <v>475</v>
      </c>
      <c r="B872" s="32">
        <v>550000.0</v>
      </c>
      <c r="C872" s="33">
        <f>0.0125*B872</f>
        <v>6875</v>
      </c>
      <c r="D872" s="20">
        <v>45853.0</v>
      </c>
      <c r="E872" s="17" t="s">
        <v>75</v>
      </c>
      <c r="F872" s="17" t="s">
        <v>12</v>
      </c>
    </row>
    <row r="873">
      <c r="A873" s="17" t="s">
        <v>821</v>
      </c>
      <c r="B873" s="32">
        <v>10000.0</v>
      </c>
      <c r="C873" s="33">
        <f t="shared" ref="C873:C874" si="228">0.0175*B873</f>
        <v>175</v>
      </c>
      <c r="D873" s="20">
        <v>45853.0</v>
      </c>
      <c r="E873" s="17" t="s">
        <v>11</v>
      </c>
      <c r="F873" s="17" t="s">
        <v>67</v>
      </c>
      <c r="I873" s="35" t="s">
        <v>30</v>
      </c>
    </row>
    <row r="874">
      <c r="A874" s="17" t="s">
        <v>881</v>
      </c>
      <c r="B874" s="32">
        <v>40000.0</v>
      </c>
      <c r="C874" s="33">
        <f t="shared" si="228"/>
        <v>700</v>
      </c>
      <c r="D874" s="20">
        <v>45853.0</v>
      </c>
      <c r="E874" s="17" t="s">
        <v>11</v>
      </c>
      <c r="F874" s="17" t="s">
        <v>28</v>
      </c>
      <c r="I874" s="35" t="s">
        <v>30</v>
      </c>
    </row>
    <row r="875">
      <c r="A875" s="17" t="s">
        <v>882</v>
      </c>
      <c r="B875" s="32">
        <v>2000000.0</v>
      </c>
      <c r="C875" s="33">
        <f>0.0125*B875</f>
        <v>25000</v>
      </c>
      <c r="D875" s="20">
        <v>45853.0</v>
      </c>
      <c r="E875" s="17" t="s">
        <v>118</v>
      </c>
      <c r="F875" s="17" t="s">
        <v>12</v>
      </c>
      <c r="H875" s="17" t="s">
        <v>22</v>
      </c>
    </row>
    <row r="876">
      <c r="A876" s="17" t="s">
        <v>883</v>
      </c>
      <c r="B876" s="32">
        <v>175000.0</v>
      </c>
      <c r="C876" s="33">
        <f t="shared" ref="C876:C877" si="229">0.0175*B876</f>
        <v>3062.5</v>
      </c>
      <c r="D876" s="20">
        <v>45854.0</v>
      </c>
      <c r="E876" s="17" t="s">
        <v>92</v>
      </c>
      <c r="F876" s="17" t="s">
        <v>41</v>
      </c>
      <c r="I876" s="35" t="s">
        <v>30</v>
      </c>
    </row>
    <row r="877">
      <c r="A877" s="17" t="s">
        <v>884</v>
      </c>
      <c r="B877" s="32">
        <v>30000.0</v>
      </c>
      <c r="C877" s="33">
        <f t="shared" si="229"/>
        <v>525</v>
      </c>
      <c r="D877" s="20">
        <v>45854.0</v>
      </c>
      <c r="E877" s="17" t="s">
        <v>21</v>
      </c>
      <c r="F877" s="17" t="s">
        <v>28</v>
      </c>
      <c r="H877" s="17" t="s">
        <v>13</v>
      </c>
      <c r="I877" s="35" t="s">
        <v>30</v>
      </c>
    </row>
    <row r="878">
      <c r="A878" s="17" t="s">
        <v>201</v>
      </c>
      <c r="B878" s="32">
        <v>52500.0</v>
      </c>
      <c r="C878" s="33">
        <f t="shared" ref="C878:C879" si="230">0.0125*B878</f>
        <v>656.25</v>
      </c>
      <c r="D878" s="20">
        <v>45854.0</v>
      </c>
      <c r="E878" s="17" t="s">
        <v>11</v>
      </c>
      <c r="F878" s="17" t="s">
        <v>12</v>
      </c>
    </row>
    <row r="879">
      <c r="A879" s="17" t="s">
        <v>885</v>
      </c>
      <c r="B879" s="32">
        <v>85000.0</v>
      </c>
      <c r="C879" s="33">
        <f t="shared" si="230"/>
        <v>1062.5</v>
      </c>
      <c r="D879" s="20">
        <v>45854.0</v>
      </c>
      <c r="E879" s="17" t="s">
        <v>24</v>
      </c>
      <c r="F879" s="17" t="s">
        <v>12</v>
      </c>
      <c r="H879" s="17" t="s">
        <v>619</v>
      </c>
    </row>
    <row r="880">
      <c r="A880" s="17" t="s">
        <v>886</v>
      </c>
      <c r="B880" s="32">
        <v>50000.0</v>
      </c>
      <c r="C880" s="33">
        <f t="shared" ref="C880:C882" si="231">0.0175*B880</f>
        <v>875</v>
      </c>
      <c r="D880" s="20">
        <v>45855.0</v>
      </c>
      <c r="E880" s="17" t="s">
        <v>11</v>
      </c>
      <c r="F880" s="17" t="s">
        <v>28</v>
      </c>
      <c r="I880" s="35" t="s">
        <v>30</v>
      </c>
    </row>
    <row r="881">
      <c r="A881" s="17" t="s">
        <v>887</v>
      </c>
      <c r="B881" s="32">
        <v>500000.0</v>
      </c>
      <c r="C881" s="33">
        <f t="shared" si="231"/>
        <v>8750</v>
      </c>
      <c r="D881" s="20">
        <v>45855.0</v>
      </c>
      <c r="E881" s="17" t="s">
        <v>231</v>
      </c>
      <c r="F881" s="17" t="s">
        <v>41</v>
      </c>
      <c r="H881" s="17" t="s">
        <v>13</v>
      </c>
      <c r="I881" s="35" t="s">
        <v>30</v>
      </c>
    </row>
    <row r="882">
      <c r="A882" s="17" t="s">
        <v>888</v>
      </c>
      <c r="B882" s="32">
        <v>175000.0</v>
      </c>
      <c r="C882" s="33">
        <f t="shared" si="231"/>
        <v>3062.5</v>
      </c>
      <c r="D882" s="20">
        <v>45856.0</v>
      </c>
      <c r="E882" s="17" t="s">
        <v>118</v>
      </c>
      <c r="F882" s="17" t="s">
        <v>28</v>
      </c>
      <c r="H882" s="17" t="s">
        <v>13</v>
      </c>
      <c r="I882" s="35" t="s">
        <v>30</v>
      </c>
    </row>
    <row r="883">
      <c r="A883" s="17" t="s">
        <v>889</v>
      </c>
      <c r="B883" s="32">
        <v>150000.0</v>
      </c>
      <c r="C883" s="33">
        <f t="shared" ref="C883:C884" si="232">0.0125*B883</f>
        <v>1875</v>
      </c>
      <c r="D883" s="20">
        <v>45856.0</v>
      </c>
      <c r="E883" s="17" t="s">
        <v>11</v>
      </c>
      <c r="F883" s="17" t="s">
        <v>12</v>
      </c>
    </row>
    <row r="884">
      <c r="A884" s="17" t="s">
        <v>129</v>
      </c>
      <c r="B884" s="32">
        <v>750000.0</v>
      </c>
      <c r="C884" s="33">
        <f t="shared" si="232"/>
        <v>9375</v>
      </c>
      <c r="D884" s="20">
        <v>45856.0</v>
      </c>
      <c r="E884" s="17" t="s">
        <v>24</v>
      </c>
      <c r="F884" s="17" t="s">
        <v>12</v>
      </c>
      <c r="H884" s="17" t="s">
        <v>797</v>
      </c>
    </row>
    <row r="885">
      <c r="A885" s="17" t="s">
        <v>890</v>
      </c>
      <c r="B885" s="32">
        <v>50000.0</v>
      </c>
      <c r="C885" s="33">
        <f>0.0175*B885</f>
        <v>875</v>
      </c>
      <c r="D885" s="20">
        <v>45856.0</v>
      </c>
      <c r="E885" s="17" t="s">
        <v>11</v>
      </c>
      <c r="F885" s="17" t="s">
        <v>28</v>
      </c>
      <c r="I885" s="35" t="s">
        <v>30</v>
      </c>
    </row>
    <row r="886">
      <c r="A886" s="17" t="s">
        <v>32</v>
      </c>
      <c r="B886" s="32">
        <v>11000.0</v>
      </c>
      <c r="C886" s="33">
        <f t="shared" ref="C886:C887" si="233">0.0125*B886</f>
        <v>137.5</v>
      </c>
      <c r="D886" s="20">
        <v>45856.0</v>
      </c>
      <c r="E886" s="17" t="s">
        <v>15</v>
      </c>
      <c r="F886" s="17" t="s">
        <v>144</v>
      </c>
      <c r="H886" s="31" t="s">
        <v>98</v>
      </c>
      <c r="K886" s="17">
        <v>33.0</v>
      </c>
    </row>
    <row r="887">
      <c r="A887" s="17" t="s">
        <v>891</v>
      </c>
      <c r="B887" s="32">
        <v>60000.0</v>
      </c>
      <c r="C887" s="33">
        <f t="shared" si="233"/>
        <v>750</v>
      </c>
      <c r="D887" s="20">
        <v>45856.0</v>
      </c>
      <c r="E887" s="17" t="s">
        <v>15</v>
      </c>
      <c r="F887" s="17" t="s">
        <v>144</v>
      </c>
      <c r="H887" s="31" t="s">
        <v>149</v>
      </c>
      <c r="K887" s="17">
        <v>150.0</v>
      </c>
    </row>
    <row r="888">
      <c r="A888" s="17" t="s">
        <v>892</v>
      </c>
      <c r="B888" s="32">
        <v>50000.0</v>
      </c>
      <c r="C888" s="33">
        <f t="shared" ref="C888:C889" si="234">0.0175*B888</f>
        <v>875</v>
      </c>
      <c r="D888" s="20">
        <v>45856.0</v>
      </c>
      <c r="E888" s="17" t="s">
        <v>92</v>
      </c>
      <c r="F888" s="17" t="s">
        <v>28</v>
      </c>
      <c r="I888" s="35" t="s">
        <v>30</v>
      </c>
    </row>
    <row r="889">
      <c r="A889" s="17" t="s">
        <v>893</v>
      </c>
      <c r="B889" s="32">
        <v>150000.0</v>
      </c>
      <c r="C889" s="33">
        <f t="shared" si="234"/>
        <v>2625</v>
      </c>
      <c r="D889" s="20">
        <v>45856.0</v>
      </c>
      <c r="E889" s="17" t="s">
        <v>461</v>
      </c>
      <c r="F889" s="17" t="s">
        <v>28</v>
      </c>
      <c r="H889" s="17" t="s">
        <v>13</v>
      </c>
      <c r="I889" s="35" t="s">
        <v>30</v>
      </c>
    </row>
    <row r="890">
      <c r="A890" s="17" t="s">
        <v>894</v>
      </c>
      <c r="B890" s="32">
        <v>155000.0</v>
      </c>
      <c r="C890" s="33">
        <f>0.0125*B890</f>
        <v>1937.5</v>
      </c>
      <c r="D890" s="20">
        <v>45856.0</v>
      </c>
      <c r="E890" s="17" t="s">
        <v>69</v>
      </c>
      <c r="F890" s="17" t="s">
        <v>12</v>
      </c>
      <c r="H890" s="17" t="s">
        <v>22</v>
      </c>
    </row>
    <row r="891">
      <c r="A891" s="17" t="s">
        <v>895</v>
      </c>
      <c r="B891" s="32">
        <v>50000.0</v>
      </c>
      <c r="C891" s="33">
        <f>0.0175*B891</f>
        <v>875</v>
      </c>
      <c r="D891" s="20">
        <v>45859.0</v>
      </c>
      <c r="E891" s="17" t="s">
        <v>896</v>
      </c>
      <c r="F891" s="17" t="s">
        <v>28</v>
      </c>
      <c r="H891" s="31" t="s">
        <v>54</v>
      </c>
      <c r="K891" s="17">
        <v>300.0</v>
      </c>
    </row>
    <row r="892">
      <c r="A892" s="17" t="s">
        <v>897</v>
      </c>
      <c r="B892" s="32">
        <v>500000.0</v>
      </c>
      <c r="C892" s="33">
        <f>0.0125*B892</f>
        <v>6250</v>
      </c>
      <c r="D892" s="20">
        <v>45859.0</v>
      </c>
      <c r="E892" s="17" t="s">
        <v>69</v>
      </c>
      <c r="F892" s="17" t="s">
        <v>12</v>
      </c>
      <c r="H892" s="17" t="s">
        <v>22</v>
      </c>
    </row>
    <row r="893">
      <c r="A893" s="17" t="s">
        <v>898</v>
      </c>
      <c r="B893" s="32">
        <v>450000.0</v>
      </c>
      <c r="C893" s="33">
        <f t="shared" ref="C893:C894" si="235">0.0175*B893</f>
        <v>7875</v>
      </c>
      <c r="D893" s="20">
        <v>45859.0</v>
      </c>
      <c r="E893" s="17" t="s">
        <v>899</v>
      </c>
      <c r="F893" s="17" t="s">
        <v>28</v>
      </c>
      <c r="I893" s="35" t="s">
        <v>30</v>
      </c>
    </row>
    <row r="894">
      <c r="A894" s="17" t="s">
        <v>900</v>
      </c>
      <c r="B894" s="32">
        <v>75000.0</v>
      </c>
      <c r="C894" s="33">
        <f t="shared" si="235"/>
        <v>1312.5</v>
      </c>
      <c r="D894" s="20">
        <v>45860.0</v>
      </c>
      <c r="E894" s="17" t="s">
        <v>11</v>
      </c>
      <c r="F894" s="17" t="s">
        <v>28</v>
      </c>
      <c r="I894" s="35" t="s">
        <v>30</v>
      </c>
    </row>
    <row r="895">
      <c r="A895" s="17" t="s">
        <v>156</v>
      </c>
      <c r="B895" s="32">
        <v>110000.0</v>
      </c>
      <c r="C895" s="33">
        <f t="shared" ref="C895:C897" si="236">0.0125*B895</f>
        <v>1375</v>
      </c>
      <c r="D895" s="20">
        <v>45860.0</v>
      </c>
      <c r="E895" s="17" t="s">
        <v>15</v>
      </c>
      <c r="F895" s="17" t="s">
        <v>12</v>
      </c>
      <c r="H895" s="31" t="s">
        <v>220</v>
      </c>
      <c r="K895" s="17">
        <v>385.0</v>
      </c>
    </row>
    <row r="896">
      <c r="A896" s="17" t="s">
        <v>639</v>
      </c>
      <c r="B896" s="32">
        <v>230000.0</v>
      </c>
      <c r="C896" s="33">
        <f t="shared" si="236"/>
        <v>2875</v>
      </c>
      <c r="D896" s="20">
        <v>45860.0</v>
      </c>
      <c r="E896" s="17" t="s">
        <v>11</v>
      </c>
      <c r="F896" s="17" t="s">
        <v>12</v>
      </c>
    </row>
    <row r="897">
      <c r="A897" s="17" t="s">
        <v>901</v>
      </c>
      <c r="B897" s="32">
        <v>300000.0</v>
      </c>
      <c r="C897" s="33">
        <f t="shared" si="236"/>
        <v>3750</v>
      </c>
      <c r="D897" s="20">
        <v>45860.0</v>
      </c>
      <c r="E897" s="17" t="s">
        <v>902</v>
      </c>
      <c r="F897" s="17" t="s">
        <v>12</v>
      </c>
    </row>
    <row r="898">
      <c r="A898" s="17" t="s">
        <v>903</v>
      </c>
      <c r="B898" s="32">
        <v>100000.0</v>
      </c>
      <c r="C898" s="33">
        <f t="shared" ref="C898:C899" si="237">0.0175*B898</f>
        <v>1750</v>
      </c>
      <c r="D898" s="20">
        <v>45861.0</v>
      </c>
      <c r="E898" s="17" t="s">
        <v>135</v>
      </c>
      <c r="F898" s="17" t="s">
        <v>28</v>
      </c>
      <c r="H898" s="17" t="s">
        <v>13</v>
      </c>
      <c r="I898" s="35" t="s">
        <v>30</v>
      </c>
    </row>
    <row r="899">
      <c r="A899" s="17" t="s">
        <v>904</v>
      </c>
      <c r="B899" s="32">
        <v>90000.0</v>
      </c>
      <c r="C899" s="33">
        <f t="shared" si="237"/>
        <v>1575</v>
      </c>
      <c r="D899" s="20">
        <v>45862.0</v>
      </c>
      <c r="E899" s="17" t="s">
        <v>394</v>
      </c>
      <c r="F899" s="17" t="s">
        <v>28</v>
      </c>
      <c r="H899" s="31" t="s">
        <v>98</v>
      </c>
      <c r="K899" s="17">
        <v>270.0</v>
      </c>
    </row>
    <row r="900">
      <c r="A900" s="17" t="s">
        <v>905</v>
      </c>
      <c r="B900" s="32">
        <v>1100000.0</v>
      </c>
      <c r="C900" s="33">
        <f t="shared" ref="C900:C906" si="238">0.0125*B900</f>
        <v>13750</v>
      </c>
      <c r="D900" s="20">
        <v>45862.0</v>
      </c>
      <c r="E900" s="17" t="s">
        <v>11</v>
      </c>
      <c r="F900" s="17" t="s">
        <v>12</v>
      </c>
    </row>
    <row r="901">
      <c r="A901" s="17" t="s">
        <v>906</v>
      </c>
      <c r="B901" s="32">
        <v>300000.0</v>
      </c>
      <c r="C901" s="33">
        <f t="shared" si="238"/>
        <v>3750</v>
      </c>
      <c r="D901" s="20">
        <v>45862.0</v>
      </c>
      <c r="E901" s="17" t="s">
        <v>24</v>
      </c>
      <c r="F901" s="17" t="s">
        <v>12</v>
      </c>
      <c r="H901" s="17" t="s">
        <v>797</v>
      </c>
    </row>
    <row r="902">
      <c r="A902" s="17" t="s">
        <v>199</v>
      </c>
      <c r="B902" s="32">
        <v>250000.0</v>
      </c>
      <c r="C902" s="33">
        <f t="shared" si="238"/>
        <v>3125</v>
      </c>
      <c r="D902" s="20">
        <v>45862.0</v>
      </c>
      <c r="E902" s="17" t="s">
        <v>11</v>
      </c>
      <c r="F902" s="17" t="s">
        <v>12</v>
      </c>
    </row>
    <row r="903">
      <c r="A903" s="17" t="s">
        <v>907</v>
      </c>
      <c r="B903" s="32">
        <v>45000.0</v>
      </c>
      <c r="C903" s="33">
        <f t="shared" si="238"/>
        <v>562.5</v>
      </c>
      <c r="D903" s="20">
        <v>45862.0</v>
      </c>
      <c r="E903" s="17" t="s">
        <v>60</v>
      </c>
      <c r="F903" s="17" t="s">
        <v>12</v>
      </c>
    </row>
    <row r="904">
      <c r="A904" s="17" t="s">
        <v>908</v>
      </c>
      <c r="B904" s="32">
        <v>60000.0</v>
      </c>
      <c r="C904" s="33">
        <f t="shared" si="238"/>
        <v>750</v>
      </c>
      <c r="D904" s="20">
        <v>45862.0</v>
      </c>
      <c r="E904" s="17" t="s">
        <v>11</v>
      </c>
      <c r="F904" s="17" t="s">
        <v>12</v>
      </c>
    </row>
    <row r="905">
      <c r="A905" s="17" t="s">
        <v>688</v>
      </c>
      <c r="B905" s="32">
        <v>75000.0</v>
      </c>
      <c r="C905" s="33">
        <f t="shared" si="238"/>
        <v>937.5</v>
      </c>
      <c r="D905" s="20">
        <v>45862.0</v>
      </c>
      <c r="E905" s="17" t="s">
        <v>11</v>
      </c>
      <c r="F905" s="17" t="s">
        <v>12</v>
      </c>
    </row>
    <row r="906">
      <c r="A906" s="17" t="s">
        <v>909</v>
      </c>
      <c r="B906" s="32">
        <v>43500.0</v>
      </c>
      <c r="C906" s="33">
        <f t="shared" si="238"/>
        <v>543.75</v>
      </c>
      <c r="D906" s="20">
        <v>45862.0</v>
      </c>
      <c r="E906" s="17" t="s">
        <v>11</v>
      </c>
      <c r="F906" s="17" t="s">
        <v>12</v>
      </c>
      <c r="H906" s="17"/>
      <c r="I906" s="35"/>
      <c r="K906" s="17"/>
    </row>
    <row r="907">
      <c r="A907" s="17" t="s">
        <v>910</v>
      </c>
      <c r="B907" s="32">
        <v>1250000.0</v>
      </c>
      <c r="C907" s="33">
        <f t="shared" ref="C907:C908" si="239">0.0175*B907</f>
        <v>21875</v>
      </c>
      <c r="D907" s="20">
        <v>45862.0</v>
      </c>
      <c r="E907" s="17" t="s">
        <v>911</v>
      </c>
      <c r="F907" s="17" t="s">
        <v>28</v>
      </c>
      <c r="H907" s="17" t="s">
        <v>912</v>
      </c>
      <c r="I907" s="35" t="s">
        <v>30</v>
      </c>
      <c r="K907" s="17">
        <v>625.0</v>
      </c>
    </row>
    <row r="908">
      <c r="A908" s="17" t="s">
        <v>913</v>
      </c>
      <c r="B908" s="32">
        <v>60000.0</v>
      </c>
      <c r="C908" s="33">
        <f t="shared" si="239"/>
        <v>1050</v>
      </c>
      <c r="D908" s="20">
        <v>45862.0</v>
      </c>
      <c r="E908" s="17" t="s">
        <v>11</v>
      </c>
      <c r="F908" s="17" t="s">
        <v>28</v>
      </c>
      <c r="I908" s="35" t="s">
        <v>30</v>
      </c>
    </row>
    <row r="909">
      <c r="A909" s="17" t="s">
        <v>914</v>
      </c>
      <c r="B909" s="18">
        <v>125000.0</v>
      </c>
      <c r="C909" s="19">
        <f>0.0125*B909</f>
        <v>1562.5</v>
      </c>
      <c r="D909" s="20">
        <v>45863.0</v>
      </c>
      <c r="E909" s="17" t="s">
        <v>15</v>
      </c>
      <c r="F909" s="17" t="s">
        <v>12</v>
      </c>
      <c r="H909" s="31" t="s">
        <v>51</v>
      </c>
      <c r="K909" s="17">
        <v>625.0</v>
      </c>
    </row>
    <row r="910">
      <c r="A910" s="17" t="s">
        <v>915</v>
      </c>
      <c r="B910" s="18">
        <v>350000.0</v>
      </c>
      <c r="C910" s="19">
        <f t="shared" ref="C910:C915" si="240">0.0175*B910</f>
        <v>6125</v>
      </c>
      <c r="D910" s="20">
        <v>45863.0</v>
      </c>
      <c r="E910" s="17" t="s">
        <v>916</v>
      </c>
      <c r="F910" s="17" t="s">
        <v>28</v>
      </c>
      <c r="I910" s="35" t="s">
        <v>30</v>
      </c>
    </row>
    <row r="911">
      <c r="A911" s="17" t="s">
        <v>917</v>
      </c>
      <c r="B911" s="18">
        <v>500000.0</v>
      </c>
      <c r="C911" s="19">
        <f t="shared" si="240"/>
        <v>8750</v>
      </c>
      <c r="D911" s="20">
        <v>45863.0</v>
      </c>
      <c r="E911" s="17" t="s">
        <v>24</v>
      </c>
      <c r="F911" s="17" t="s">
        <v>28</v>
      </c>
      <c r="H911" s="17" t="s">
        <v>642</v>
      </c>
      <c r="I911" s="35" t="s">
        <v>30</v>
      </c>
    </row>
    <row r="912">
      <c r="A912" s="17" t="s">
        <v>918</v>
      </c>
      <c r="B912" s="18">
        <v>200000.0</v>
      </c>
      <c r="C912" s="19">
        <f t="shared" si="240"/>
        <v>3500</v>
      </c>
      <c r="D912" s="20">
        <v>45863.0</v>
      </c>
      <c r="E912" s="17" t="s">
        <v>11</v>
      </c>
      <c r="F912" s="17" t="s">
        <v>28</v>
      </c>
      <c r="I912" s="35" t="s">
        <v>30</v>
      </c>
    </row>
    <row r="913">
      <c r="A913" s="17" t="s">
        <v>919</v>
      </c>
      <c r="B913" s="18">
        <v>25000.0</v>
      </c>
      <c r="C913" s="19">
        <f t="shared" si="240"/>
        <v>437.5</v>
      </c>
      <c r="D913" s="20">
        <v>45863.0</v>
      </c>
      <c r="E913" s="17" t="s">
        <v>60</v>
      </c>
      <c r="F913" s="17" t="s">
        <v>28</v>
      </c>
      <c r="I913" s="35" t="s">
        <v>30</v>
      </c>
    </row>
    <row r="914">
      <c r="A914" s="17" t="s">
        <v>920</v>
      </c>
      <c r="B914" s="18">
        <v>250000.0</v>
      </c>
      <c r="C914" s="19">
        <f t="shared" si="240"/>
        <v>4375</v>
      </c>
      <c r="D914" s="20">
        <v>45863.0</v>
      </c>
      <c r="E914" s="17" t="s">
        <v>24</v>
      </c>
      <c r="F914" s="17" t="s">
        <v>28</v>
      </c>
      <c r="H914" s="17" t="s">
        <v>642</v>
      </c>
      <c r="I914" s="35" t="s">
        <v>30</v>
      </c>
    </row>
    <row r="915">
      <c r="A915" s="17" t="s">
        <v>597</v>
      </c>
      <c r="B915" s="18">
        <v>80000.0</v>
      </c>
      <c r="C915" s="19">
        <f t="shared" si="240"/>
        <v>1400</v>
      </c>
      <c r="D915" s="20">
        <v>45863.0</v>
      </c>
      <c r="E915" s="17" t="s">
        <v>11</v>
      </c>
      <c r="F915" s="17" t="s">
        <v>41</v>
      </c>
    </row>
    <row r="916">
      <c r="A916" s="17" t="s">
        <v>921</v>
      </c>
      <c r="B916" s="18">
        <v>300000.0</v>
      </c>
      <c r="C916" s="19">
        <f>0.0125*B916</f>
        <v>3750</v>
      </c>
      <c r="D916" s="20">
        <v>45863.0</v>
      </c>
      <c r="E916" s="17" t="s">
        <v>75</v>
      </c>
      <c r="F916" s="17" t="s">
        <v>12</v>
      </c>
    </row>
    <row r="917">
      <c r="A917" s="17" t="s">
        <v>922</v>
      </c>
      <c r="B917" s="18">
        <v>75000.0</v>
      </c>
      <c r="C917" s="19">
        <f>0.0175*B917</f>
        <v>1312.5</v>
      </c>
      <c r="D917" s="20">
        <v>45866.0</v>
      </c>
      <c r="E917" s="17" t="s">
        <v>24</v>
      </c>
      <c r="F917" s="17" t="s">
        <v>28</v>
      </c>
      <c r="H917" s="17" t="s">
        <v>642</v>
      </c>
      <c r="I917" s="35" t="s">
        <v>30</v>
      </c>
    </row>
    <row r="918">
      <c r="A918" s="17" t="s">
        <v>112</v>
      </c>
      <c r="B918" s="18">
        <v>120000.0</v>
      </c>
      <c r="C918" s="19">
        <f>0.0125*B918</f>
        <v>1500</v>
      </c>
      <c r="D918" s="20">
        <v>45866.0</v>
      </c>
      <c r="E918" s="17" t="s">
        <v>11</v>
      </c>
      <c r="F918" s="17" t="s">
        <v>12</v>
      </c>
    </row>
    <row r="919">
      <c r="A919" s="17" t="s">
        <v>923</v>
      </c>
      <c r="B919" s="18">
        <v>30000.0</v>
      </c>
      <c r="C919" s="19">
        <f t="shared" ref="C919:C925" si="241">0.0175*B919</f>
        <v>525</v>
      </c>
      <c r="D919" s="20">
        <v>45867.0</v>
      </c>
      <c r="E919" s="17" t="s">
        <v>24</v>
      </c>
      <c r="F919" s="17" t="s">
        <v>28</v>
      </c>
      <c r="H919" s="17" t="s">
        <v>924</v>
      </c>
      <c r="I919" s="35" t="s">
        <v>30</v>
      </c>
    </row>
    <row r="920">
      <c r="A920" s="17" t="s">
        <v>925</v>
      </c>
      <c r="B920" s="18">
        <v>1050000.0</v>
      </c>
      <c r="C920" s="19">
        <f t="shared" si="241"/>
        <v>18375</v>
      </c>
      <c r="D920" s="20">
        <v>45867.0</v>
      </c>
      <c r="E920" s="17" t="s">
        <v>926</v>
      </c>
      <c r="F920" s="17" t="s">
        <v>12</v>
      </c>
    </row>
    <row r="921">
      <c r="A921" s="17" t="s">
        <v>927</v>
      </c>
      <c r="B921" s="18">
        <v>150000.0</v>
      </c>
      <c r="C921" s="19">
        <f t="shared" si="241"/>
        <v>2625</v>
      </c>
      <c r="D921" s="20">
        <v>45867.0</v>
      </c>
      <c r="E921" s="17" t="s">
        <v>24</v>
      </c>
      <c r="F921" s="17" t="s">
        <v>28</v>
      </c>
      <c r="H921" s="17" t="s">
        <v>642</v>
      </c>
      <c r="I921" s="35" t="s">
        <v>30</v>
      </c>
    </row>
    <row r="922">
      <c r="A922" s="17" t="s">
        <v>928</v>
      </c>
      <c r="B922" s="18">
        <v>125000.0</v>
      </c>
      <c r="C922" s="19">
        <f t="shared" si="241"/>
        <v>2187.5</v>
      </c>
      <c r="D922" s="20">
        <v>45867.0</v>
      </c>
      <c r="E922" s="17" t="s">
        <v>11</v>
      </c>
      <c r="F922" s="17" t="s">
        <v>28</v>
      </c>
      <c r="I922" s="35" t="s">
        <v>30</v>
      </c>
    </row>
    <row r="923">
      <c r="A923" s="17" t="s">
        <v>929</v>
      </c>
      <c r="B923" s="18">
        <v>60000.0</v>
      </c>
      <c r="C923" s="19">
        <f t="shared" si="241"/>
        <v>1050</v>
      </c>
      <c r="D923" s="20">
        <v>45867.0</v>
      </c>
      <c r="E923" s="17" t="s">
        <v>60</v>
      </c>
      <c r="F923" s="17" t="s">
        <v>41</v>
      </c>
    </row>
    <row r="924">
      <c r="A924" s="17" t="s">
        <v>930</v>
      </c>
      <c r="B924" s="18">
        <v>300000.0</v>
      </c>
      <c r="C924" s="19">
        <f t="shared" si="241"/>
        <v>5250</v>
      </c>
      <c r="D924" s="20">
        <v>45867.0</v>
      </c>
      <c r="E924" s="17" t="s">
        <v>21</v>
      </c>
      <c r="F924" s="17" t="s">
        <v>41</v>
      </c>
    </row>
    <row r="925">
      <c r="A925" s="17" t="s">
        <v>931</v>
      </c>
      <c r="B925" s="18">
        <v>100000.0</v>
      </c>
      <c r="C925" s="19">
        <f t="shared" si="241"/>
        <v>1750</v>
      </c>
      <c r="D925" s="20">
        <v>45867.0</v>
      </c>
      <c r="E925" s="17" t="s">
        <v>11</v>
      </c>
      <c r="F925" s="17" t="s">
        <v>41</v>
      </c>
    </row>
    <row r="926">
      <c r="A926" s="17" t="s">
        <v>932</v>
      </c>
      <c r="B926" s="18">
        <v>450000.0</v>
      </c>
      <c r="C926" s="19">
        <f t="shared" ref="C926:C927" si="242">0.0125*B926</f>
        <v>5625</v>
      </c>
      <c r="D926" s="20">
        <v>45867.0</v>
      </c>
      <c r="E926" s="17" t="s">
        <v>116</v>
      </c>
      <c r="F926" s="17" t="s">
        <v>12</v>
      </c>
      <c r="H926" s="17" t="s">
        <v>22</v>
      </c>
    </row>
    <row r="927">
      <c r="A927" s="17" t="s">
        <v>933</v>
      </c>
      <c r="B927" s="32">
        <v>300000.0</v>
      </c>
      <c r="C927" s="33">
        <f t="shared" si="242"/>
        <v>3750</v>
      </c>
      <c r="D927" s="20">
        <v>45867.0</v>
      </c>
      <c r="E927" s="17" t="s">
        <v>60</v>
      </c>
      <c r="F927" s="17" t="s">
        <v>12</v>
      </c>
    </row>
    <row r="928">
      <c r="A928" s="17" t="s">
        <v>934</v>
      </c>
      <c r="B928" s="32">
        <v>500000.0</v>
      </c>
      <c r="C928" s="33">
        <f>0.0175*B928</f>
        <v>8750</v>
      </c>
      <c r="D928" s="20">
        <v>45868.0</v>
      </c>
      <c r="E928" s="17" t="s">
        <v>935</v>
      </c>
      <c r="F928" s="17" t="s">
        <v>41</v>
      </c>
      <c r="H928" s="17" t="s">
        <v>22</v>
      </c>
    </row>
    <row r="929">
      <c r="A929" s="17" t="s">
        <v>798</v>
      </c>
      <c r="B929" s="32">
        <v>67000.0</v>
      </c>
      <c r="C929" s="33">
        <f t="shared" ref="C929:C931" si="243">0.0125*B929</f>
        <v>837.5</v>
      </c>
      <c r="D929" s="20">
        <v>45868.0</v>
      </c>
      <c r="E929" s="17" t="s">
        <v>24</v>
      </c>
      <c r="F929" s="17" t="s">
        <v>12</v>
      </c>
      <c r="H929" s="17" t="s">
        <v>936</v>
      </c>
    </row>
    <row r="930">
      <c r="A930" s="17" t="s">
        <v>937</v>
      </c>
      <c r="B930" s="32">
        <v>1200000.0</v>
      </c>
      <c r="C930" s="33">
        <f t="shared" si="243"/>
        <v>15000</v>
      </c>
      <c r="D930" s="20">
        <v>45868.0</v>
      </c>
      <c r="E930" s="17" t="s">
        <v>21</v>
      </c>
      <c r="F930" s="17" t="s">
        <v>12</v>
      </c>
    </row>
    <row r="931">
      <c r="A931" s="17" t="s">
        <v>633</v>
      </c>
      <c r="B931" s="32">
        <v>17500.0</v>
      </c>
      <c r="C931" s="33">
        <f t="shared" si="243"/>
        <v>218.75</v>
      </c>
      <c r="D931" s="20">
        <v>45868.0</v>
      </c>
      <c r="E931" s="17" t="s">
        <v>15</v>
      </c>
      <c r="F931" s="17" t="s">
        <v>12</v>
      </c>
      <c r="H931" s="31" t="s">
        <v>54</v>
      </c>
      <c r="K931" s="17">
        <v>105.0</v>
      </c>
    </row>
    <row r="932">
      <c r="A932" s="17" t="s">
        <v>938</v>
      </c>
      <c r="B932" s="32">
        <v>500000.0</v>
      </c>
      <c r="C932" s="33">
        <f>0.0175*B932</f>
        <v>8750</v>
      </c>
      <c r="D932" s="20">
        <v>45868.0</v>
      </c>
      <c r="E932" s="17" t="s">
        <v>939</v>
      </c>
      <c r="F932" s="17" t="s">
        <v>28</v>
      </c>
      <c r="H932" s="17" t="s">
        <v>13</v>
      </c>
      <c r="I932" s="35" t="s">
        <v>30</v>
      </c>
    </row>
    <row r="933">
      <c r="A933" s="17" t="s">
        <v>940</v>
      </c>
      <c r="B933" s="32">
        <v>350000.0</v>
      </c>
      <c r="C933" s="33">
        <f>0.0125*B933</f>
        <v>4375</v>
      </c>
      <c r="D933" s="20">
        <v>45868.0</v>
      </c>
      <c r="E933" s="17" t="s">
        <v>11</v>
      </c>
      <c r="F933" s="17" t="s">
        <v>12</v>
      </c>
    </row>
    <row r="934">
      <c r="A934" s="17" t="s">
        <v>941</v>
      </c>
      <c r="B934" s="32">
        <v>100000.0</v>
      </c>
      <c r="C934" s="33">
        <f>0.0175*B934</f>
        <v>1750</v>
      </c>
      <c r="D934" s="20">
        <v>45868.0</v>
      </c>
      <c r="E934" s="17" t="s">
        <v>15</v>
      </c>
      <c r="F934" s="17" t="s">
        <v>28</v>
      </c>
      <c r="H934" s="31" t="s">
        <v>98</v>
      </c>
      <c r="K934" s="17">
        <v>300.0</v>
      </c>
    </row>
    <row r="935">
      <c r="A935" s="17" t="s">
        <v>942</v>
      </c>
      <c r="B935" s="32">
        <v>450000.0</v>
      </c>
      <c r="C935" s="32">
        <v>0.0</v>
      </c>
      <c r="D935" s="20">
        <v>45868.0</v>
      </c>
      <c r="E935" s="17" t="s">
        <v>943</v>
      </c>
      <c r="F935" s="17" t="s">
        <v>28</v>
      </c>
      <c r="H935" s="17" t="s">
        <v>944</v>
      </c>
    </row>
    <row r="936">
      <c r="A936" s="17" t="s">
        <v>945</v>
      </c>
      <c r="B936" s="32">
        <v>300000.0</v>
      </c>
      <c r="C936" s="33">
        <f>0.0175*B936</f>
        <v>5250</v>
      </c>
      <c r="D936" s="20">
        <v>45868.0</v>
      </c>
      <c r="E936" s="17" t="s">
        <v>899</v>
      </c>
      <c r="F936" s="17" t="s">
        <v>28</v>
      </c>
      <c r="I936" s="35" t="s">
        <v>30</v>
      </c>
    </row>
    <row r="937">
      <c r="A937" s="17" t="s">
        <v>946</v>
      </c>
      <c r="B937" s="32">
        <v>200000.0</v>
      </c>
      <c r="C937" s="33">
        <f>0.0125*B937</f>
        <v>2500</v>
      </c>
      <c r="D937" s="20">
        <v>45868.0</v>
      </c>
      <c r="E937" s="17" t="s">
        <v>15</v>
      </c>
      <c r="F937" s="17" t="s">
        <v>12</v>
      </c>
      <c r="H937" s="31" t="s">
        <v>51</v>
      </c>
      <c r="K937" s="17">
        <v>1000.0</v>
      </c>
    </row>
    <row r="938">
      <c r="A938" s="17" t="s">
        <v>813</v>
      </c>
      <c r="B938" s="32">
        <v>100000.0</v>
      </c>
      <c r="C938" s="33">
        <f t="shared" ref="C938:C939" si="244">0.0175*B938</f>
        <v>1750</v>
      </c>
      <c r="D938" s="20">
        <v>45869.0</v>
      </c>
      <c r="E938" s="17" t="s">
        <v>11</v>
      </c>
      <c r="F938" s="17" t="s">
        <v>67</v>
      </c>
      <c r="I938" s="35" t="s">
        <v>30</v>
      </c>
    </row>
    <row r="939">
      <c r="A939" s="17" t="s">
        <v>947</v>
      </c>
      <c r="B939" s="32">
        <v>50000.0</v>
      </c>
      <c r="C939" s="33">
        <f t="shared" si="244"/>
        <v>875</v>
      </c>
      <c r="D939" s="20">
        <v>45869.0</v>
      </c>
      <c r="E939" s="17" t="s">
        <v>11</v>
      </c>
      <c r="F939" s="17" t="s">
        <v>28</v>
      </c>
      <c r="I939" s="35" t="s">
        <v>30</v>
      </c>
    </row>
    <row r="940">
      <c r="A940" s="17" t="s">
        <v>467</v>
      </c>
      <c r="B940" s="32">
        <v>60000.0</v>
      </c>
      <c r="C940" s="33">
        <f>0.0125*B940</f>
        <v>750</v>
      </c>
      <c r="D940" s="20">
        <v>45869.0</v>
      </c>
      <c r="E940" s="17" t="s">
        <v>24</v>
      </c>
      <c r="F940" s="17" t="s">
        <v>12</v>
      </c>
      <c r="H940" s="17" t="s">
        <v>948</v>
      </c>
    </row>
    <row r="941">
      <c r="A941" s="17" t="s">
        <v>949</v>
      </c>
      <c r="B941" s="32">
        <v>60000.0</v>
      </c>
      <c r="C941" s="33">
        <f t="shared" ref="C941:C944" si="245">0.0175*B941</f>
        <v>1050</v>
      </c>
      <c r="D941" s="20">
        <v>45869.0</v>
      </c>
      <c r="E941" s="17" t="s">
        <v>60</v>
      </c>
      <c r="F941" s="17" t="s">
        <v>67</v>
      </c>
    </row>
    <row r="942">
      <c r="A942" s="17" t="s">
        <v>950</v>
      </c>
      <c r="B942" s="32">
        <v>25000.0</v>
      </c>
      <c r="C942" s="33">
        <f t="shared" si="245"/>
        <v>437.5</v>
      </c>
      <c r="D942" s="20">
        <v>45869.0</v>
      </c>
      <c r="E942" s="17" t="s">
        <v>951</v>
      </c>
      <c r="F942" s="17" t="s">
        <v>28</v>
      </c>
      <c r="H942" s="17" t="s">
        <v>13</v>
      </c>
      <c r="I942" s="35" t="s">
        <v>30</v>
      </c>
    </row>
    <row r="943">
      <c r="A943" s="17" t="s">
        <v>952</v>
      </c>
      <c r="B943" s="32">
        <v>50000.0</v>
      </c>
      <c r="C943" s="33">
        <f t="shared" si="245"/>
        <v>875</v>
      </c>
      <c r="D943" s="20">
        <v>45869.0</v>
      </c>
      <c r="E943" s="17" t="s">
        <v>15</v>
      </c>
      <c r="F943" s="17" t="s">
        <v>28</v>
      </c>
      <c r="H943" s="31" t="s">
        <v>51</v>
      </c>
      <c r="K943" s="17">
        <v>250.0</v>
      </c>
    </row>
    <row r="944">
      <c r="A944" s="17" t="s">
        <v>953</v>
      </c>
      <c r="B944" s="32">
        <v>15000.0</v>
      </c>
      <c r="C944" s="33">
        <f t="shared" si="245"/>
        <v>262.5</v>
      </c>
      <c r="D944" s="20">
        <v>45869.0</v>
      </c>
      <c r="E944" s="17" t="s">
        <v>15</v>
      </c>
      <c r="F944" s="17" t="s">
        <v>28</v>
      </c>
      <c r="H944" s="31" t="s">
        <v>54</v>
      </c>
      <c r="I944" s="35" t="s">
        <v>30</v>
      </c>
      <c r="K944" s="17">
        <v>90.0</v>
      </c>
    </row>
    <row r="945">
      <c r="A945" s="17" t="s">
        <v>603</v>
      </c>
      <c r="B945" s="32">
        <v>107500.0</v>
      </c>
      <c r="C945" s="33">
        <f>0.0125*B945</f>
        <v>1343.75</v>
      </c>
      <c r="D945" s="20">
        <v>45869.0</v>
      </c>
      <c r="E945" s="17" t="s">
        <v>11</v>
      </c>
      <c r="F945" s="17" t="s">
        <v>12</v>
      </c>
    </row>
    <row r="946">
      <c r="A946" s="17" t="s">
        <v>954</v>
      </c>
      <c r="B946" s="32">
        <v>135000.0</v>
      </c>
      <c r="C946" s="33">
        <f>0.0175*B946</f>
        <v>2362.5</v>
      </c>
      <c r="D946" s="20">
        <v>45869.0</v>
      </c>
      <c r="E946" s="17" t="s">
        <v>24</v>
      </c>
      <c r="F946" s="17" t="s">
        <v>28</v>
      </c>
      <c r="H946" s="17" t="s">
        <v>642</v>
      </c>
    </row>
    <row r="947">
      <c r="A947" s="17" t="s">
        <v>955</v>
      </c>
      <c r="B947" s="32">
        <v>220000.0</v>
      </c>
      <c r="C947" s="33">
        <f t="shared" ref="C947:C948" si="246">0.0125*B947</f>
        <v>2750</v>
      </c>
      <c r="D947" s="20">
        <v>45869.0</v>
      </c>
      <c r="E947" s="17" t="s">
        <v>935</v>
      </c>
      <c r="F947" s="17" t="s">
        <v>12</v>
      </c>
      <c r="H947" s="17" t="s">
        <v>22</v>
      </c>
    </row>
    <row r="948">
      <c r="A948" s="17" t="s">
        <v>956</v>
      </c>
      <c r="B948" s="32">
        <v>45000.0</v>
      </c>
      <c r="C948" s="33">
        <f t="shared" si="246"/>
        <v>562.5</v>
      </c>
      <c r="D948" s="20">
        <v>45869.0</v>
      </c>
      <c r="E948" s="17" t="s">
        <v>60</v>
      </c>
      <c r="F948" s="17" t="s">
        <v>12</v>
      </c>
    </row>
    <row r="949">
      <c r="A949" s="12">
        <v>45870.0</v>
      </c>
      <c r="B949" s="13">
        <f t="shared" ref="B949:C949" si="247">SUM(B950:B1078)</f>
        <v>29383500</v>
      </c>
      <c r="C949" s="13">
        <f t="shared" si="247"/>
        <v>425153.75</v>
      </c>
      <c r="D949" s="14"/>
      <c r="E949" s="15"/>
      <c r="F949" s="15"/>
      <c r="G949" s="15"/>
      <c r="H949" s="16"/>
      <c r="I949" s="16"/>
      <c r="J949" s="16"/>
      <c r="K949" s="16"/>
    </row>
    <row r="950">
      <c r="A950" s="17" t="s">
        <v>499</v>
      </c>
      <c r="B950" s="32">
        <v>500000.0</v>
      </c>
      <c r="C950" s="33">
        <f t="shared" ref="C950:C951" si="248">0.0125*B950</f>
        <v>6250</v>
      </c>
      <c r="D950" s="20">
        <v>45870.0</v>
      </c>
      <c r="E950" s="17" t="s">
        <v>15</v>
      </c>
      <c r="F950" s="17" t="s">
        <v>12</v>
      </c>
      <c r="H950" s="31" t="s">
        <v>149</v>
      </c>
      <c r="K950" s="17">
        <v>1250.0</v>
      </c>
    </row>
    <row r="951">
      <c r="A951" s="17" t="s">
        <v>957</v>
      </c>
      <c r="B951" s="32">
        <v>41000.0</v>
      </c>
      <c r="C951" s="33">
        <f t="shared" si="248"/>
        <v>512.5</v>
      </c>
      <c r="D951" s="20">
        <v>45870.0</v>
      </c>
      <c r="E951" s="17" t="s">
        <v>15</v>
      </c>
      <c r="F951" s="17" t="s">
        <v>12</v>
      </c>
      <c r="H951" s="31" t="s">
        <v>54</v>
      </c>
      <c r="K951" s="17">
        <v>246.0</v>
      </c>
    </row>
    <row r="952">
      <c r="A952" s="17" t="s">
        <v>958</v>
      </c>
      <c r="B952" s="32">
        <v>600000.0</v>
      </c>
      <c r="C952" s="33">
        <f t="shared" ref="C952:C958" si="249">0.0175*B952</f>
        <v>10500</v>
      </c>
      <c r="D952" s="20">
        <v>45870.0</v>
      </c>
      <c r="E952" s="17" t="s">
        <v>24</v>
      </c>
      <c r="F952" s="17" t="s">
        <v>28</v>
      </c>
      <c r="H952" s="17" t="s">
        <v>642</v>
      </c>
      <c r="I952" s="35" t="s">
        <v>30</v>
      </c>
    </row>
    <row r="953">
      <c r="A953" s="17" t="s">
        <v>959</v>
      </c>
      <c r="B953" s="32">
        <v>50000.0</v>
      </c>
      <c r="C953" s="33">
        <f t="shared" si="249"/>
        <v>875</v>
      </c>
      <c r="D953" s="20">
        <v>45870.0</v>
      </c>
      <c r="E953" s="17" t="s">
        <v>11</v>
      </c>
      <c r="F953" s="17" t="s">
        <v>28</v>
      </c>
      <c r="I953" s="35" t="s">
        <v>30</v>
      </c>
    </row>
    <row r="954">
      <c r="A954" s="17" t="s">
        <v>960</v>
      </c>
      <c r="B954" s="32">
        <v>160000.0</v>
      </c>
      <c r="C954" s="33">
        <f t="shared" si="249"/>
        <v>2800</v>
      </c>
      <c r="D954" s="20">
        <v>45870.0</v>
      </c>
      <c r="E954" s="17" t="s">
        <v>15</v>
      </c>
      <c r="F954" s="17" t="s">
        <v>28</v>
      </c>
      <c r="H954" s="31" t="s">
        <v>149</v>
      </c>
      <c r="I954" s="35" t="s">
        <v>30</v>
      </c>
      <c r="K954" s="17">
        <v>412.5</v>
      </c>
    </row>
    <row r="955">
      <c r="A955" s="17" t="s">
        <v>961</v>
      </c>
      <c r="B955" s="32">
        <v>95000.0</v>
      </c>
      <c r="C955" s="33">
        <f t="shared" si="249"/>
        <v>1662.5</v>
      </c>
      <c r="D955" s="20">
        <v>45870.0</v>
      </c>
      <c r="E955" s="17" t="s">
        <v>15</v>
      </c>
      <c r="F955" s="17" t="s">
        <v>28</v>
      </c>
      <c r="H955" s="31" t="s">
        <v>149</v>
      </c>
      <c r="I955" s="35" t="s">
        <v>30</v>
      </c>
      <c r="K955" s="17">
        <v>237.5</v>
      </c>
    </row>
    <row r="956">
      <c r="A956" s="17" t="s">
        <v>962</v>
      </c>
      <c r="B956" s="32">
        <v>95000.0</v>
      </c>
      <c r="C956" s="33">
        <f t="shared" si="249"/>
        <v>1662.5</v>
      </c>
      <c r="D956" s="20">
        <v>45870.0</v>
      </c>
      <c r="E956" s="17" t="s">
        <v>15</v>
      </c>
      <c r="F956" s="17" t="s">
        <v>28</v>
      </c>
      <c r="H956" s="31" t="s">
        <v>149</v>
      </c>
      <c r="I956" s="35" t="s">
        <v>30</v>
      </c>
      <c r="K956" s="17">
        <v>237.5</v>
      </c>
    </row>
    <row r="957">
      <c r="A957" s="17" t="s">
        <v>963</v>
      </c>
      <c r="B957" s="32">
        <v>300000.0</v>
      </c>
      <c r="C957" s="33">
        <f t="shared" si="249"/>
        <v>5250</v>
      </c>
      <c r="D957" s="20">
        <v>45873.0</v>
      </c>
      <c r="E957" s="17" t="s">
        <v>60</v>
      </c>
      <c r="F957" s="17" t="s">
        <v>28</v>
      </c>
      <c r="I957" s="35" t="s">
        <v>30</v>
      </c>
    </row>
    <row r="958">
      <c r="A958" s="17" t="s">
        <v>964</v>
      </c>
      <c r="B958" s="18">
        <v>250000.0</v>
      </c>
      <c r="C958" s="19">
        <f t="shared" si="249"/>
        <v>4375</v>
      </c>
      <c r="D958" s="20">
        <v>45873.0</v>
      </c>
      <c r="E958" s="17" t="s">
        <v>24</v>
      </c>
      <c r="F958" s="17" t="s">
        <v>41</v>
      </c>
      <c r="H958" s="17" t="s">
        <v>642</v>
      </c>
    </row>
    <row r="959">
      <c r="A959" s="17" t="s">
        <v>543</v>
      </c>
      <c r="B959" s="18">
        <v>30000.0</v>
      </c>
      <c r="C959" s="19">
        <f>0.0125*B959</f>
        <v>375</v>
      </c>
      <c r="D959" s="20">
        <v>45873.0</v>
      </c>
      <c r="E959" s="17" t="s">
        <v>73</v>
      </c>
      <c r="F959" s="17" t="s">
        <v>12</v>
      </c>
    </row>
    <row r="960">
      <c r="A960" s="17" t="s">
        <v>965</v>
      </c>
      <c r="B960" s="18">
        <v>20000.0</v>
      </c>
      <c r="C960" s="19">
        <f t="shared" ref="C960:C961" si="250">0.0175*B960</f>
        <v>350</v>
      </c>
      <c r="D960" s="20">
        <v>45873.0</v>
      </c>
      <c r="E960" s="17" t="s">
        <v>135</v>
      </c>
      <c r="F960" s="17" t="s">
        <v>28</v>
      </c>
      <c r="H960" s="17" t="s">
        <v>13</v>
      </c>
      <c r="I960" s="35" t="s">
        <v>30</v>
      </c>
    </row>
    <row r="961">
      <c r="A961" s="17" t="s">
        <v>966</v>
      </c>
      <c r="B961" s="18">
        <v>400000.0</v>
      </c>
      <c r="C961" s="19">
        <f t="shared" si="250"/>
        <v>7000</v>
      </c>
      <c r="D961" s="20">
        <v>45873.0</v>
      </c>
      <c r="E961" s="17" t="s">
        <v>40</v>
      </c>
      <c r="F961" s="17" t="s">
        <v>28</v>
      </c>
      <c r="I961" s="35" t="s">
        <v>30</v>
      </c>
    </row>
    <row r="962">
      <c r="A962" s="17" t="s">
        <v>967</v>
      </c>
      <c r="B962" s="18">
        <v>235000.0</v>
      </c>
      <c r="C962" s="19">
        <f t="shared" ref="C962:C964" si="251">0.0125*B962</f>
        <v>2937.5</v>
      </c>
      <c r="D962" s="20">
        <v>45873.0</v>
      </c>
      <c r="E962" s="17" t="s">
        <v>11</v>
      </c>
      <c r="F962" s="17" t="s">
        <v>12</v>
      </c>
    </row>
    <row r="963">
      <c r="A963" s="17" t="s">
        <v>968</v>
      </c>
      <c r="B963" s="18">
        <v>105000.0</v>
      </c>
      <c r="C963" s="19">
        <f t="shared" si="251"/>
        <v>1312.5</v>
      </c>
      <c r="D963" s="20">
        <v>45873.0</v>
      </c>
      <c r="E963" s="17" t="s">
        <v>15</v>
      </c>
      <c r="F963" s="17" t="s">
        <v>12</v>
      </c>
      <c r="H963" s="31" t="s">
        <v>54</v>
      </c>
      <c r="K963" s="17">
        <v>630.0</v>
      </c>
    </row>
    <row r="964">
      <c r="A964" s="17" t="s">
        <v>969</v>
      </c>
      <c r="B964" s="18">
        <v>85000.0</v>
      </c>
      <c r="C964" s="19">
        <f t="shared" si="251"/>
        <v>1062.5</v>
      </c>
      <c r="D964" s="20">
        <v>45873.0</v>
      </c>
      <c r="E964" s="17" t="s">
        <v>15</v>
      </c>
      <c r="F964" s="17" t="s">
        <v>12</v>
      </c>
      <c r="H964" s="31" t="s">
        <v>51</v>
      </c>
      <c r="K964" s="17">
        <v>425.0</v>
      </c>
    </row>
    <row r="965">
      <c r="A965" s="17" t="s">
        <v>970</v>
      </c>
      <c r="B965" s="18">
        <v>175000.0</v>
      </c>
      <c r="C965" s="19">
        <f t="shared" ref="C965:C966" si="252">0.0175*B965</f>
        <v>3062.5</v>
      </c>
      <c r="D965" s="20">
        <v>45874.0</v>
      </c>
      <c r="E965" s="17" t="s">
        <v>60</v>
      </c>
      <c r="F965" s="17" t="s">
        <v>28</v>
      </c>
      <c r="I965" s="35" t="s">
        <v>30</v>
      </c>
    </row>
    <row r="966">
      <c r="A966" s="17" t="s">
        <v>865</v>
      </c>
      <c r="B966" s="18">
        <v>100000.0</v>
      </c>
      <c r="C966" s="19">
        <f t="shared" si="252"/>
        <v>1750</v>
      </c>
      <c r="D966" s="20">
        <v>45874.0</v>
      </c>
      <c r="E966" s="17" t="s">
        <v>11</v>
      </c>
      <c r="F966" s="17" t="s">
        <v>28</v>
      </c>
      <c r="I966" s="35" t="s">
        <v>30</v>
      </c>
    </row>
    <row r="967">
      <c r="A967" s="17" t="s">
        <v>971</v>
      </c>
      <c r="B967" s="18">
        <v>500000.0</v>
      </c>
      <c r="C967" s="19">
        <f t="shared" ref="C967:C970" si="253">0.0125*B967</f>
        <v>6250</v>
      </c>
      <c r="D967" s="20">
        <v>45874.0</v>
      </c>
      <c r="E967" s="17" t="s">
        <v>60</v>
      </c>
      <c r="F967" s="17" t="s">
        <v>12</v>
      </c>
    </row>
    <row r="968">
      <c r="A968" s="17" t="s">
        <v>972</v>
      </c>
      <c r="B968" s="18">
        <v>30000.0</v>
      </c>
      <c r="C968" s="19">
        <f t="shared" si="253"/>
        <v>375</v>
      </c>
      <c r="D968" s="20">
        <v>45874.0</v>
      </c>
      <c r="E968" s="17" t="s">
        <v>11</v>
      </c>
      <c r="F968" s="17" t="s">
        <v>12</v>
      </c>
    </row>
    <row r="969">
      <c r="A969" s="17" t="s">
        <v>236</v>
      </c>
      <c r="B969" s="18">
        <v>20000.0</v>
      </c>
      <c r="C969" s="19">
        <f t="shared" si="253"/>
        <v>250</v>
      </c>
      <c r="D969" s="20">
        <v>45874.0</v>
      </c>
      <c r="E969" s="17" t="s">
        <v>15</v>
      </c>
      <c r="F969" s="17" t="s">
        <v>12</v>
      </c>
      <c r="H969" s="31" t="s">
        <v>54</v>
      </c>
      <c r="K969" s="17">
        <v>120.0</v>
      </c>
    </row>
    <row r="970">
      <c r="A970" s="17" t="s">
        <v>973</v>
      </c>
      <c r="B970" s="18">
        <v>35000.0</v>
      </c>
      <c r="C970" s="19">
        <f t="shared" si="253"/>
        <v>437.5</v>
      </c>
      <c r="D970" s="20">
        <v>45874.0</v>
      </c>
      <c r="E970" s="17" t="s">
        <v>15</v>
      </c>
      <c r="F970" s="17" t="s">
        <v>144</v>
      </c>
      <c r="H970" s="31" t="s">
        <v>54</v>
      </c>
      <c r="K970" s="17">
        <v>210.0</v>
      </c>
    </row>
    <row r="971">
      <c r="A971" s="17" t="s">
        <v>974</v>
      </c>
      <c r="B971" s="18">
        <v>30000.0</v>
      </c>
      <c r="C971" s="19">
        <f>0.0175*B971</f>
        <v>525</v>
      </c>
      <c r="D971" s="20">
        <v>45875.0</v>
      </c>
      <c r="E971" s="17" t="s">
        <v>939</v>
      </c>
      <c r="F971" s="17" t="s">
        <v>28</v>
      </c>
      <c r="H971" s="17" t="s">
        <v>13</v>
      </c>
      <c r="I971" s="35" t="s">
        <v>30</v>
      </c>
    </row>
    <row r="972">
      <c r="A972" s="17" t="s">
        <v>975</v>
      </c>
      <c r="B972" s="18">
        <v>170000.0</v>
      </c>
      <c r="C972" s="19">
        <f>0.0125*B972</f>
        <v>2125</v>
      </c>
      <c r="D972" s="20">
        <v>45875.0</v>
      </c>
      <c r="E972" s="17" t="s">
        <v>15</v>
      </c>
      <c r="F972" s="17" t="s">
        <v>12</v>
      </c>
      <c r="H972" s="31" t="s">
        <v>51</v>
      </c>
      <c r="K972" s="17">
        <v>850.0</v>
      </c>
    </row>
    <row r="973">
      <c r="A973" s="17" t="s">
        <v>976</v>
      </c>
      <c r="B973" s="18">
        <v>50000.0</v>
      </c>
      <c r="C973" s="19">
        <f>0.0175*B973</f>
        <v>875</v>
      </c>
      <c r="D973" s="20">
        <v>45875.0</v>
      </c>
      <c r="E973" s="17" t="s">
        <v>15</v>
      </c>
      <c r="F973" s="17" t="s">
        <v>28</v>
      </c>
      <c r="H973" s="31" t="s">
        <v>149</v>
      </c>
      <c r="K973" s="17">
        <v>125.0</v>
      </c>
    </row>
    <row r="974">
      <c r="A974" s="17" t="s">
        <v>977</v>
      </c>
      <c r="B974" s="18">
        <v>50000.0</v>
      </c>
      <c r="C974" s="19">
        <f>0.0125*B974</f>
        <v>625</v>
      </c>
      <c r="D974" s="20">
        <v>45875.0</v>
      </c>
      <c r="E974" s="17" t="s">
        <v>21</v>
      </c>
      <c r="F974" s="17" t="s">
        <v>144</v>
      </c>
      <c r="H974" s="17" t="s">
        <v>22</v>
      </c>
    </row>
    <row r="975">
      <c r="A975" s="17" t="s">
        <v>978</v>
      </c>
      <c r="B975" s="32">
        <v>75000.0</v>
      </c>
      <c r="C975" s="33">
        <f>0.0175*B975</f>
        <v>1312.5</v>
      </c>
      <c r="D975" s="20">
        <v>45875.0</v>
      </c>
      <c r="E975" s="17" t="s">
        <v>376</v>
      </c>
      <c r="F975" s="17" t="s">
        <v>28</v>
      </c>
      <c r="H975" s="17" t="s">
        <v>13</v>
      </c>
      <c r="I975" s="35" t="s">
        <v>30</v>
      </c>
    </row>
    <row r="976">
      <c r="A976" s="17" t="s">
        <v>86</v>
      </c>
      <c r="B976" s="32">
        <v>660000.0</v>
      </c>
      <c r="C976" s="33">
        <f t="shared" ref="C976:C977" si="254">0.0125*B976</f>
        <v>8250</v>
      </c>
      <c r="D976" s="20">
        <v>45875.0</v>
      </c>
      <c r="E976" s="17" t="s">
        <v>11</v>
      </c>
      <c r="F976" s="17" t="s">
        <v>12</v>
      </c>
    </row>
    <row r="977">
      <c r="A977" s="17" t="s">
        <v>979</v>
      </c>
      <c r="B977" s="32">
        <v>150000.0</v>
      </c>
      <c r="C977" s="33">
        <f t="shared" si="254"/>
        <v>1875</v>
      </c>
      <c r="D977" s="20">
        <v>45875.0</v>
      </c>
      <c r="E977" s="17" t="s">
        <v>896</v>
      </c>
      <c r="F977" s="17" t="s">
        <v>12</v>
      </c>
      <c r="H977" s="31" t="s">
        <v>16</v>
      </c>
      <c r="K977" s="17">
        <v>600.0</v>
      </c>
    </row>
    <row r="978">
      <c r="A978" s="17" t="s">
        <v>980</v>
      </c>
      <c r="B978" s="32">
        <v>750000.0</v>
      </c>
      <c r="C978" s="33">
        <f t="shared" ref="C978:C980" si="255">0.0175*B978</f>
        <v>13125</v>
      </c>
      <c r="D978" s="20">
        <v>45875.0</v>
      </c>
      <c r="E978" s="17" t="s">
        <v>11</v>
      </c>
      <c r="F978" s="17" t="s">
        <v>28</v>
      </c>
      <c r="I978" s="35" t="s">
        <v>30</v>
      </c>
    </row>
    <row r="979">
      <c r="A979" s="17" t="s">
        <v>981</v>
      </c>
      <c r="B979" s="32">
        <v>300000.0</v>
      </c>
      <c r="C979" s="33">
        <f t="shared" si="255"/>
        <v>5250</v>
      </c>
      <c r="D979" s="20">
        <v>45876.0</v>
      </c>
      <c r="E979" s="17" t="s">
        <v>982</v>
      </c>
      <c r="F979" s="17" t="s">
        <v>28</v>
      </c>
      <c r="I979" s="35" t="s">
        <v>30</v>
      </c>
    </row>
    <row r="980">
      <c r="A980" s="17" t="s">
        <v>983</v>
      </c>
      <c r="B980" s="32">
        <v>100000.0</v>
      </c>
      <c r="C980" s="33">
        <f t="shared" si="255"/>
        <v>1750</v>
      </c>
      <c r="D980" s="20">
        <v>45876.0</v>
      </c>
      <c r="E980" s="17" t="s">
        <v>11</v>
      </c>
      <c r="F980" s="17" t="s">
        <v>28</v>
      </c>
      <c r="I980" s="35" t="s">
        <v>30</v>
      </c>
    </row>
    <row r="981">
      <c r="A981" s="17" t="s">
        <v>299</v>
      </c>
      <c r="B981" s="32">
        <v>165000.0</v>
      </c>
      <c r="C981" s="33">
        <f t="shared" ref="C981:C982" si="256">0.0125*B981</f>
        <v>2062.5</v>
      </c>
      <c r="D981" s="20">
        <v>45876.0</v>
      </c>
      <c r="E981" s="17" t="s">
        <v>11</v>
      </c>
      <c r="F981" s="17" t="s">
        <v>12</v>
      </c>
    </row>
    <row r="982">
      <c r="A982" s="17" t="s">
        <v>984</v>
      </c>
      <c r="B982" s="32">
        <v>40000.0</v>
      </c>
      <c r="C982" s="33">
        <f t="shared" si="256"/>
        <v>500</v>
      </c>
      <c r="D982" s="20">
        <v>45876.0</v>
      </c>
      <c r="E982" s="17" t="s">
        <v>15</v>
      </c>
      <c r="F982" s="17" t="s">
        <v>12</v>
      </c>
      <c r="H982" s="31" t="s">
        <v>54</v>
      </c>
      <c r="K982" s="17">
        <v>240.0</v>
      </c>
    </row>
    <row r="983">
      <c r="A983" s="17" t="s">
        <v>207</v>
      </c>
      <c r="B983" s="32">
        <v>20000.0</v>
      </c>
      <c r="C983" s="33">
        <f t="shared" ref="C983:C984" si="257">0.0175*B983</f>
        <v>350</v>
      </c>
      <c r="D983" s="20">
        <v>45876.0</v>
      </c>
      <c r="E983" s="17" t="s">
        <v>15</v>
      </c>
      <c r="F983" s="17" t="s">
        <v>649</v>
      </c>
      <c r="H983" s="31" t="s">
        <v>54</v>
      </c>
      <c r="K983" s="17">
        <v>120.0</v>
      </c>
    </row>
    <row r="984">
      <c r="A984" s="17" t="s">
        <v>985</v>
      </c>
      <c r="B984" s="32">
        <v>175000.0</v>
      </c>
      <c r="C984" s="33">
        <f t="shared" si="257"/>
        <v>3062.5</v>
      </c>
      <c r="D984" s="20">
        <v>45877.0</v>
      </c>
      <c r="E984" s="17" t="s">
        <v>60</v>
      </c>
      <c r="F984" s="17" t="s">
        <v>67</v>
      </c>
      <c r="I984" s="35" t="s">
        <v>30</v>
      </c>
    </row>
    <row r="985">
      <c r="A985" s="17" t="s">
        <v>986</v>
      </c>
      <c r="B985" s="32">
        <v>10500.0</v>
      </c>
      <c r="C985" s="33">
        <f>0.1075*B985</f>
        <v>1128.75</v>
      </c>
      <c r="D985" s="20">
        <v>45877.0</v>
      </c>
      <c r="E985" s="17" t="s">
        <v>21</v>
      </c>
      <c r="F985" s="17" t="s">
        <v>28</v>
      </c>
      <c r="H985" s="17" t="s">
        <v>13</v>
      </c>
      <c r="I985" s="35" t="s">
        <v>30</v>
      </c>
    </row>
    <row r="986">
      <c r="A986" s="17" t="s">
        <v>987</v>
      </c>
      <c r="B986" s="32">
        <v>465000.0</v>
      </c>
      <c r="C986" s="33">
        <f>0.0125*B986</f>
        <v>5812.5</v>
      </c>
      <c r="D986" s="20">
        <v>45877.0</v>
      </c>
      <c r="E986" s="17" t="s">
        <v>15</v>
      </c>
      <c r="F986" s="17" t="s">
        <v>12</v>
      </c>
      <c r="H986" s="31" t="s">
        <v>172</v>
      </c>
      <c r="K986" s="17">
        <v>697.5</v>
      </c>
    </row>
    <row r="987">
      <c r="A987" s="17" t="s">
        <v>988</v>
      </c>
      <c r="B987" s="32">
        <v>100000.0</v>
      </c>
      <c r="C987" s="33">
        <f t="shared" ref="C987:C988" si="258">0.0175*B987</f>
        <v>1750</v>
      </c>
      <c r="D987" s="20">
        <v>45877.0</v>
      </c>
      <c r="E987" s="17" t="s">
        <v>60</v>
      </c>
      <c r="F987" s="17" t="s">
        <v>28</v>
      </c>
      <c r="I987" s="35" t="s">
        <v>30</v>
      </c>
    </row>
    <row r="988">
      <c r="A988" s="17" t="s">
        <v>989</v>
      </c>
      <c r="B988" s="32">
        <v>500000.0</v>
      </c>
      <c r="C988" s="33">
        <f t="shared" si="258"/>
        <v>8750</v>
      </c>
      <c r="D988" s="20">
        <v>45880.0</v>
      </c>
      <c r="E988" s="17" t="s">
        <v>943</v>
      </c>
      <c r="F988" s="17" t="s">
        <v>28</v>
      </c>
      <c r="H988" s="17" t="s">
        <v>13</v>
      </c>
      <c r="I988" s="35" t="s">
        <v>30</v>
      </c>
    </row>
    <row r="989">
      <c r="A989" s="17" t="s">
        <v>990</v>
      </c>
      <c r="B989" s="32">
        <v>40000.0</v>
      </c>
      <c r="C989" s="33">
        <f t="shared" ref="C989:C990" si="259">0.0125*B989</f>
        <v>500</v>
      </c>
      <c r="D989" s="20">
        <v>45880.0</v>
      </c>
      <c r="E989" s="17" t="s">
        <v>15</v>
      </c>
      <c r="F989" s="17" t="s">
        <v>12</v>
      </c>
      <c r="H989" s="31" t="s">
        <v>51</v>
      </c>
      <c r="K989" s="17">
        <v>200.0</v>
      </c>
    </row>
    <row r="990">
      <c r="A990" s="17" t="s">
        <v>89</v>
      </c>
      <c r="B990" s="32">
        <v>78500.0</v>
      </c>
      <c r="C990" s="33">
        <f t="shared" si="259"/>
        <v>981.25</v>
      </c>
      <c r="D990" s="20">
        <v>45880.0</v>
      </c>
      <c r="E990" s="17" t="s">
        <v>15</v>
      </c>
      <c r="F990" s="17" t="s">
        <v>12</v>
      </c>
      <c r="H990" s="31" t="s">
        <v>16</v>
      </c>
      <c r="K990" s="17">
        <v>314.0</v>
      </c>
    </row>
    <row r="991">
      <c r="A991" s="17" t="s">
        <v>991</v>
      </c>
      <c r="B991" s="32">
        <v>60000.0</v>
      </c>
      <c r="C991" s="33">
        <f>0.0175*B991</f>
        <v>1050</v>
      </c>
      <c r="D991" s="20">
        <v>45880.0</v>
      </c>
      <c r="E991" s="17" t="s">
        <v>899</v>
      </c>
      <c r="F991" s="17" t="s">
        <v>28</v>
      </c>
      <c r="I991" s="35" t="s">
        <v>30</v>
      </c>
    </row>
    <row r="992">
      <c r="A992" s="17" t="s">
        <v>277</v>
      </c>
      <c r="B992" s="32">
        <v>900000.0</v>
      </c>
      <c r="C992" s="33">
        <f t="shared" ref="C992:C993" si="260">0.0125*B992</f>
        <v>11250</v>
      </c>
      <c r="D992" s="20">
        <v>45880.0</v>
      </c>
      <c r="E992" s="17" t="s">
        <v>15</v>
      </c>
      <c r="F992" s="17" t="s">
        <v>12</v>
      </c>
      <c r="H992" s="31" t="s">
        <v>149</v>
      </c>
      <c r="K992" s="17">
        <v>2250.0</v>
      </c>
    </row>
    <row r="993">
      <c r="A993" s="17" t="s">
        <v>992</v>
      </c>
      <c r="B993" s="32">
        <v>140000.0</v>
      </c>
      <c r="C993" s="33">
        <f t="shared" si="260"/>
        <v>1750</v>
      </c>
      <c r="D993" s="20">
        <v>45881.0</v>
      </c>
      <c r="E993" s="17" t="s">
        <v>993</v>
      </c>
      <c r="F993" s="17" t="s">
        <v>12</v>
      </c>
      <c r="H993" s="31"/>
    </row>
    <row r="994">
      <c r="A994" s="17" t="s">
        <v>994</v>
      </c>
      <c r="B994" s="32">
        <v>130000.0</v>
      </c>
      <c r="C994" s="33">
        <f>0.0175*B994</f>
        <v>2275</v>
      </c>
      <c r="D994" s="20">
        <v>45881.0</v>
      </c>
      <c r="E994" s="17" t="s">
        <v>11</v>
      </c>
      <c r="F994" s="17" t="s">
        <v>28</v>
      </c>
      <c r="I994" s="35" t="s">
        <v>30</v>
      </c>
    </row>
    <row r="995">
      <c r="A995" s="17" t="s">
        <v>523</v>
      </c>
      <c r="B995" s="32">
        <v>75000.0</v>
      </c>
      <c r="C995" s="33">
        <f>0.0125*B995</f>
        <v>937.5</v>
      </c>
      <c r="D995" s="20">
        <v>45881.0</v>
      </c>
      <c r="E995" s="17" t="s">
        <v>11</v>
      </c>
      <c r="F995" s="17" t="s">
        <v>67</v>
      </c>
    </row>
    <row r="996">
      <c r="A996" s="17" t="s">
        <v>995</v>
      </c>
      <c r="B996" s="32">
        <v>30000.0</v>
      </c>
      <c r="C996" s="33">
        <f>0.0175*B996</f>
        <v>525</v>
      </c>
      <c r="D996" s="20">
        <v>45882.0</v>
      </c>
      <c r="E996" s="17" t="s">
        <v>11</v>
      </c>
      <c r="F996" s="17" t="s">
        <v>28</v>
      </c>
    </row>
    <row r="997">
      <c r="A997" s="17" t="s">
        <v>84</v>
      </c>
      <c r="B997" s="32">
        <v>995000.0</v>
      </c>
      <c r="C997" s="33">
        <f>0.0125*B997</f>
        <v>12437.5</v>
      </c>
      <c r="D997" s="20">
        <v>45882.0</v>
      </c>
      <c r="E997" s="17" t="s">
        <v>24</v>
      </c>
      <c r="F997" s="17" t="s">
        <v>12</v>
      </c>
      <c r="H997" s="17" t="s">
        <v>996</v>
      </c>
    </row>
    <row r="998">
      <c r="A998" s="17" t="s">
        <v>997</v>
      </c>
      <c r="B998" s="18">
        <v>30000.0</v>
      </c>
      <c r="C998" s="33">
        <f>0.0175*B998</f>
        <v>525</v>
      </c>
      <c r="D998" s="20">
        <v>45883.0</v>
      </c>
      <c r="E998" s="17" t="s">
        <v>60</v>
      </c>
      <c r="F998" s="17" t="s">
        <v>41</v>
      </c>
    </row>
    <row r="999">
      <c r="A999" s="17" t="s">
        <v>998</v>
      </c>
      <c r="B999" s="18">
        <v>40000.0</v>
      </c>
      <c r="C999" s="33">
        <f t="shared" ref="C999:C1000" si="261">0.0125*B999</f>
        <v>500</v>
      </c>
      <c r="D999" s="20">
        <v>45883.0</v>
      </c>
      <c r="E999" s="17" t="s">
        <v>60</v>
      </c>
      <c r="F999" s="17" t="s">
        <v>12</v>
      </c>
    </row>
    <row r="1000">
      <c r="A1000" s="17" t="s">
        <v>999</v>
      </c>
      <c r="B1000" s="32">
        <v>125000.0</v>
      </c>
      <c r="C1000" s="33">
        <f t="shared" si="261"/>
        <v>1562.5</v>
      </c>
      <c r="D1000" s="20">
        <v>45883.0</v>
      </c>
      <c r="E1000" s="17" t="s">
        <v>60</v>
      </c>
      <c r="F1000" s="17" t="s">
        <v>28</v>
      </c>
      <c r="I1000" s="35" t="s">
        <v>30</v>
      </c>
    </row>
    <row r="1001">
      <c r="A1001" s="17" t="s">
        <v>1000</v>
      </c>
      <c r="B1001" s="32">
        <v>380000.0</v>
      </c>
      <c r="C1001" s="33">
        <f>0.0175*B1001</f>
        <v>6650</v>
      </c>
      <c r="D1001" s="20">
        <v>45883.0</v>
      </c>
      <c r="E1001" s="17" t="s">
        <v>60</v>
      </c>
      <c r="F1001" s="17" t="s">
        <v>28</v>
      </c>
      <c r="I1001" s="35" t="s">
        <v>30</v>
      </c>
    </row>
    <row r="1002">
      <c r="A1002" s="17" t="s">
        <v>1001</v>
      </c>
      <c r="B1002" s="32">
        <v>50000.0</v>
      </c>
      <c r="C1002" s="33">
        <f>0.0125*B1002</f>
        <v>625</v>
      </c>
      <c r="D1002" s="20">
        <v>45883.0</v>
      </c>
      <c r="E1002" s="17" t="s">
        <v>15</v>
      </c>
      <c r="F1002" s="17" t="s">
        <v>12</v>
      </c>
      <c r="H1002" s="31" t="s">
        <v>54</v>
      </c>
      <c r="K1002" s="17">
        <v>300.0</v>
      </c>
    </row>
    <row r="1003">
      <c r="A1003" s="17" t="s">
        <v>1002</v>
      </c>
      <c r="B1003" s="32">
        <v>100000.0</v>
      </c>
      <c r="C1003" s="33">
        <f t="shared" ref="C1003:C1004" si="262">0.0175*B1003</f>
        <v>1750</v>
      </c>
      <c r="D1003" s="20">
        <v>45884.0</v>
      </c>
      <c r="E1003" s="17" t="s">
        <v>60</v>
      </c>
      <c r="F1003" s="17" t="s">
        <v>28</v>
      </c>
      <c r="I1003" s="35" t="s">
        <v>30</v>
      </c>
    </row>
    <row r="1004">
      <c r="A1004" s="17" t="s">
        <v>864</v>
      </c>
      <c r="B1004" s="32">
        <v>250000.0</v>
      </c>
      <c r="C1004" s="33">
        <f t="shared" si="262"/>
        <v>4375</v>
      </c>
      <c r="D1004" s="20">
        <v>45884.0</v>
      </c>
      <c r="E1004" s="17" t="s">
        <v>24</v>
      </c>
      <c r="F1004" s="17" t="s">
        <v>67</v>
      </c>
      <c r="H1004" s="17" t="s">
        <v>58</v>
      </c>
      <c r="I1004" s="35" t="s">
        <v>30</v>
      </c>
    </row>
    <row r="1005">
      <c r="A1005" s="17" t="s">
        <v>287</v>
      </c>
      <c r="B1005" s="32">
        <v>100000.0</v>
      </c>
      <c r="C1005" s="33">
        <f>0.0125*B1005</f>
        <v>1250</v>
      </c>
      <c r="D1005" s="20">
        <v>45884.0</v>
      </c>
      <c r="E1005" s="17" t="s">
        <v>11</v>
      </c>
      <c r="F1005" s="17" t="s">
        <v>12</v>
      </c>
    </row>
    <row r="1006">
      <c r="A1006" s="17" t="s">
        <v>1003</v>
      </c>
      <c r="B1006" s="32">
        <v>225000.0</v>
      </c>
      <c r="C1006" s="33">
        <f t="shared" ref="C1006:C1007" si="263">0.0175*B1006</f>
        <v>3937.5</v>
      </c>
      <c r="D1006" s="20">
        <v>45884.0</v>
      </c>
      <c r="E1006" s="17" t="s">
        <v>11</v>
      </c>
      <c r="F1006" s="17" t="s">
        <v>28</v>
      </c>
      <c r="I1006" s="35" t="s">
        <v>30</v>
      </c>
    </row>
    <row r="1007">
      <c r="A1007" s="17" t="s">
        <v>1004</v>
      </c>
      <c r="B1007" s="18">
        <v>115000.0</v>
      </c>
      <c r="C1007" s="19">
        <f t="shared" si="263"/>
        <v>2012.5</v>
      </c>
      <c r="D1007" s="20">
        <v>45884.0</v>
      </c>
      <c r="E1007" s="17" t="s">
        <v>943</v>
      </c>
      <c r="F1007" s="17" t="s">
        <v>28</v>
      </c>
      <c r="I1007" s="35" t="s">
        <v>30</v>
      </c>
    </row>
    <row r="1008">
      <c r="A1008" s="17" t="s">
        <v>1005</v>
      </c>
      <c r="B1008" s="18">
        <v>55000.0</v>
      </c>
      <c r="C1008" s="19">
        <f>0.0125*B1008</f>
        <v>687.5</v>
      </c>
      <c r="D1008" s="20">
        <v>45884.0</v>
      </c>
      <c r="E1008" s="17" t="s">
        <v>15</v>
      </c>
      <c r="F1008" s="17" t="s">
        <v>12</v>
      </c>
      <c r="H1008" s="31" t="s">
        <v>149</v>
      </c>
      <c r="I1008" s="36"/>
      <c r="K1008" s="17">
        <v>137.5</v>
      </c>
    </row>
    <row r="1009">
      <c r="A1009" s="17" t="s">
        <v>1006</v>
      </c>
      <c r="B1009" s="18">
        <v>75000.0</v>
      </c>
      <c r="C1009" s="19">
        <f t="shared" ref="C1009:C1011" si="264">0.0175*B1009</f>
        <v>1312.5</v>
      </c>
      <c r="D1009" s="20">
        <v>45887.0</v>
      </c>
      <c r="E1009" s="17" t="s">
        <v>135</v>
      </c>
      <c r="F1009" s="17" t="s">
        <v>28</v>
      </c>
      <c r="H1009" s="17" t="s">
        <v>1007</v>
      </c>
      <c r="I1009" s="35" t="s">
        <v>30</v>
      </c>
    </row>
    <row r="1010">
      <c r="A1010" s="17" t="s">
        <v>657</v>
      </c>
      <c r="B1010" s="18">
        <v>500000.0</v>
      </c>
      <c r="C1010" s="19">
        <f t="shared" si="264"/>
        <v>8750</v>
      </c>
      <c r="D1010" s="20">
        <v>45887.0</v>
      </c>
      <c r="E1010" s="17" t="s">
        <v>118</v>
      </c>
      <c r="F1010" s="17" t="s">
        <v>41</v>
      </c>
      <c r="H1010" s="17" t="s">
        <v>1008</v>
      </c>
    </row>
    <row r="1011">
      <c r="A1011" s="17" t="s">
        <v>1009</v>
      </c>
      <c r="B1011" s="18">
        <v>17500.0</v>
      </c>
      <c r="C1011" s="19">
        <f t="shared" si="264"/>
        <v>306.25</v>
      </c>
      <c r="D1011" s="20">
        <v>45887.0</v>
      </c>
      <c r="E1011" s="17" t="s">
        <v>15</v>
      </c>
      <c r="F1011" s="17" t="s">
        <v>67</v>
      </c>
      <c r="H1011" s="31" t="s">
        <v>54</v>
      </c>
      <c r="K1011" s="17">
        <v>105.0</v>
      </c>
    </row>
    <row r="1012">
      <c r="A1012" s="17" t="s">
        <v>1010</v>
      </c>
      <c r="B1012" s="18">
        <v>175000.0</v>
      </c>
      <c r="C1012" s="19">
        <f t="shared" ref="C1012:C1021" si="265">0.0125*B1012</f>
        <v>2187.5</v>
      </c>
      <c r="D1012" s="20">
        <v>45888.0</v>
      </c>
      <c r="E1012" s="17" t="s">
        <v>11</v>
      </c>
      <c r="F1012" s="17" t="s">
        <v>12</v>
      </c>
    </row>
    <row r="1013">
      <c r="A1013" s="17" t="s">
        <v>1011</v>
      </c>
      <c r="B1013" s="18">
        <v>560000.0</v>
      </c>
      <c r="C1013" s="19">
        <f t="shared" si="265"/>
        <v>7000</v>
      </c>
      <c r="D1013" s="20">
        <v>45888.0</v>
      </c>
      <c r="E1013" s="17" t="s">
        <v>135</v>
      </c>
      <c r="F1013" s="17" t="s">
        <v>12</v>
      </c>
      <c r="H1013" s="17" t="s">
        <v>22</v>
      </c>
    </row>
    <row r="1014">
      <c r="A1014" s="17" t="s">
        <v>1012</v>
      </c>
      <c r="B1014" s="18">
        <v>85000.0</v>
      </c>
      <c r="C1014" s="19">
        <f t="shared" si="265"/>
        <v>1062.5</v>
      </c>
      <c r="D1014" s="20">
        <v>45888.0</v>
      </c>
      <c r="E1014" s="17" t="s">
        <v>11</v>
      </c>
      <c r="F1014" s="17" t="s">
        <v>12</v>
      </c>
      <c r="H1014" s="31"/>
      <c r="K1014" s="17"/>
    </row>
    <row r="1015">
      <c r="A1015" s="17" t="s">
        <v>1013</v>
      </c>
      <c r="B1015" s="18">
        <v>65000.0</v>
      </c>
      <c r="C1015" s="19">
        <f t="shared" si="265"/>
        <v>812.5</v>
      </c>
      <c r="D1015" s="20">
        <v>45888.0</v>
      </c>
      <c r="E1015" s="17" t="s">
        <v>11</v>
      </c>
      <c r="F1015" s="17" t="s">
        <v>12</v>
      </c>
      <c r="H1015" s="31"/>
      <c r="K1015" s="17"/>
    </row>
    <row r="1016">
      <c r="A1016" s="17" t="s">
        <v>1014</v>
      </c>
      <c r="B1016" s="18">
        <v>415000.0</v>
      </c>
      <c r="C1016" s="19">
        <f t="shared" si="265"/>
        <v>5187.5</v>
      </c>
      <c r="D1016" s="20">
        <v>45889.0</v>
      </c>
      <c r="E1016" s="17" t="s">
        <v>15</v>
      </c>
      <c r="F1016" s="17" t="s">
        <v>12</v>
      </c>
      <c r="H1016" s="31" t="s">
        <v>1015</v>
      </c>
      <c r="K1016" s="17">
        <v>1245.0</v>
      </c>
    </row>
    <row r="1017">
      <c r="A1017" s="17" t="s">
        <v>249</v>
      </c>
      <c r="B1017" s="18">
        <v>25000.0</v>
      </c>
      <c r="C1017" s="19">
        <f t="shared" si="265"/>
        <v>312.5</v>
      </c>
      <c r="D1017" s="20">
        <v>45889.0</v>
      </c>
      <c r="E1017" s="17" t="s">
        <v>15</v>
      </c>
      <c r="F1017" s="17" t="s">
        <v>12</v>
      </c>
      <c r="H1017" s="31" t="s">
        <v>54</v>
      </c>
    </row>
    <row r="1018">
      <c r="A1018" s="17" t="s">
        <v>940</v>
      </c>
      <c r="B1018" s="18">
        <v>250000.0</v>
      </c>
      <c r="C1018" s="19">
        <f t="shared" si="265"/>
        <v>3125</v>
      </c>
      <c r="D1018" s="20">
        <v>45889.0</v>
      </c>
      <c r="E1018" s="17" t="s">
        <v>11</v>
      </c>
      <c r="F1018" s="17" t="s">
        <v>12</v>
      </c>
    </row>
    <row r="1019">
      <c r="A1019" s="17" t="s">
        <v>528</v>
      </c>
      <c r="B1019" s="18">
        <v>37000.0</v>
      </c>
      <c r="C1019" s="19">
        <f t="shared" si="265"/>
        <v>462.5</v>
      </c>
      <c r="D1019" s="20">
        <v>45889.0</v>
      </c>
      <c r="E1019" s="17" t="s">
        <v>11</v>
      </c>
      <c r="F1019" s="17" t="s">
        <v>12</v>
      </c>
    </row>
    <row r="1020">
      <c r="A1020" s="17" t="s">
        <v>1016</v>
      </c>
      <c r="B1020" s="18">
        <v>1200000.0</v>
      </c>
      <c r="C1020" s="19">
        <f t="shared" si="265"/>
        <v>15000</v>
      </c>
      <c r="D1020" s="20">
        <v>45889.0</v>
      </c>
      <c r="E1020" s="17" t="s">
        <v>92</v>
      </c>
      <c r="F1020" s="17" t="s">
        <v>12</v>
      </c>
    </row>
    <row r="1021">
      <c r="A1021" s="17" t="s">
        <v>873</v>
      </c>
      <c r="B1021" s="18">
        <v>30000.0</v>
      </c>
      <c r="C1021" s="19">
        <f t="shared" si="265"/>
        <v>375</v>
      </c>
      <c r="D1021" s="20">
        <v>45889.0</v>
      </c>
      <c r="E1021" s="17" t="s">
        <v>15</v>
      </c>
      <c r="F1021" s="17" t="s">
        <v>12</v>
      </c>
      <c r="H1021" s="31" t="s">
        <v>98</v>
      </c>
      <c r="K1021" s="17">
        <v>90.0</v>
      </c>
    </row>
    <row r="1022">
      <c r="A1022" s="17" t="s">
        <v>1017</v>
      </c>
      <c r="B1022" s="18">
        <v>1400000.0</v>
      </c>
      <c r="C1022" s="19">
        <f>0.0175*B1022</f>
        <v>24500</v>
      </c>
      <c r="D1022" s="20">
        <v>45889.0</v>
      </c>
      <c r="E1022" s="17" t="s">
        <v>1018</v>
      </c>
      <c r="F1022" s="17" t="s">
        <v>28</v>
      </c>
      <c r="H1022" s="17" t="s">
        <v>13</v>
      </c>
      <c r="I1022" s="35" t="s">
        <v>30</v>
      </c>
    </row>
    <row r="1023">
      <c r="A1023" s="17" t="s">
        <v>1019</v>
      </c>
      <c r="B1023" s="18">
        <v>400000.0</v>
      </c>
      <c r="C1023" s="19">
        <f>0.0125*B1023</f>
        <v>5000</v>
      </c>
      <c r="D1023" s="20">
        <v>45890.0</v>
      </c>
      <c r="E1023" s="17" t="s">
        <v>24</v>
      </c>
      <c r="F1023" s="17" t="s">
        <v>12</v>
      </c>
      <c r="H1023" s="17" t="s">
        <v>996</v>
      </c>
    </row>
    <row r="1024">
      <c r="A1024" s="17" t="s">
        <v>1020</v>
      </c>
      <c r="B1024" s="18">
        <v>175000.0</v>
      </c>
      <c r="C1024" s="19">
        <f>0.0175*B1024</f>
        <v>3062.5</v>
      </c>
      <c r="D1024" s="20">
        <v>45890.0</v>
      </c>
      <c r="E1024" s="17" t="s">
        <v>926</v>
      </c>
      <c r="F1024" s="17" t="s">
        <v>41</v>
      </c>
      <c r="I1024" s="35" t="s">
        <v>30</v>
      </c>
    </row>
    <row r="1025">
      <c r="A1025" s="17" t="s">
        <v>510</v>
      </c>
      <c r="B1025" s="18">
        <v>350000.0</v>
      </c>
      <c r="C1025" s="19">
        <f t="shared" ref="C1025:C1026" si="266">0.0125*B1025</f>
        <v>4375</v>
      </c>
      <c r="D1025" s="20">
        <v>45890.0</v>
      </c>
      <c r="E1025" s="17" t="s">
        <v>24</v>
      </c>
      <c r="F1025" s="17" t="s">
        <v>12</v>
      </c>
      <c r="H1025" s="17" t="s">
        <v>996</v>
      </c>
    </row>
    <row r="1026">
      <c r="A1026" s="17" t="s">
        <v>937</v>
      </c>
      <c r="B1026" s="18">
        <v>650000.0</v>
      </c>
      <c r="C1026" s="19">
        <f t="shared" si="266"/>
        <v>8125</v>
      </c>
      <c r="D1026" s="20">
        <v>45890.0</v>
      </c>
      <c r="E1026" s="17" t="s">
        <v>21</v>
      </c>
      <c r="F1026" s="17" t="s">
        <v>12</v>
      </c>
      <c r="H1026" s="17" t="s">
        <v>22</v>
      </c>
    </row>
    <row r="1027">
      <c r="A1027" s="17" t="s">
        <v>1021</v>
      </c>
      <c r="B1027" s="18">
        <v>65000.0</v>
      </c>
      <c r="C1027" s="19">
        <f>0.0175*B1027</f>
        <v>1137.5</v>
      </c>
      <c r="D1027" s="20">
        <v>45890.0</v>
      </c>
      <c r="E1027" s="17" t="s">
        <v>60</v>
      </c>
      <c r="F1027" s="17" t="s">
        <v>28</v>
      </c>
      <c r="I1027" s="35" t="s">
        <v>30</v>
      </c>
    </row>
    <row r="1028">
      <c r="A1028" s="17" t="s">
        <v>1022</v>
      </c>
      <c r="B1028" s="18">
        <v>30000.0</v>
      </c>
      <c r="C1028" s="19">
        <f>0.0125*B1028</f>
        <v>375</v>
      </c>
      <c r="D1028" s="20">
        <v>45890.0</v>
      </c>
      <c r="E1028" s="17" t="s">
        <v>11</v>
      </c>
      <c r="F1028" s="17" t="s">
        <v>12</v>
      </c>
    </row>
    <row r="1029">
      <c r="A1029" s="17" t="s">
        <v>1023</v>
      </c>
      <c r="B1029" s="18">
        <v>100000.0</v>
      </c>
      <c r="C1029" s="19">
        <f>0.0175*B1029</f>
        <v>1750</v>
      </c>
      <c r="D1029" s="20">
        <v>45890.0</v>
      </c>
      <c r="E1029" s="17" t="s">
        <v>118</v>
      </c>
      <c r="F1029" s="17" t="s">
        <v>28</v>
      </c>
      <c r="H1029" s="17" t="s">
        <v>13</v>
      </c>
      <c r="I1029" s="35" t="s">
        <v>30</v>
      </c>
    </row>
    <row r="1030">
      <c r="A1030" s="17" t="s">
        <v>1024</v>
      </c>
      <c r="B1030" s="18">
        <v>460000.0</v>
      </c>
      <c r="C1030" s="19">
        <f t="shared" ref="C1030:C1032" si="267">0.0125*B1030</f>
        <v>5750</v>
      </c>
      <c r="D1030" s="20">
        <v>45891.0</v>
      </c>
      <c r="E1030" s="17" t="s">
        <v>11</v>
      </c>
      <c r="F1030" s="17" t="s">
        <v>12</v>
      </c>
    </row>
    <row r="1031">
      <c r="A1031" s="17" t="s">
        <v>1025</v>
      </c>
      <c r="B1031" s="18">
        <v>325000.0</v>
      </c>
      <c r="C1031" s="19">
        <f t="shared" si="267"/>
        <v>4062.5</v>
      </c>
      <c r="D1031" s="20">
        <v>45891.0</v>
      </c>
      <c r="E1031" s="17" t="s">
        <v>60</v>
      </c>
      <c r="F1031" s="17" t="s">
        <v>12</v>
      </c>
    </row>
    <row r="1032">
      <c r="A1032" s="17" t="s">
        <v>1026</v>
      </c>
      <c r="B1032" s="18">
        <v>150000.0</v>
      </c>
      <c r="C1032" s="19">
        <f t="shared" si="267"/>
        <v>1875</v>
      </c>
      <c r="D1032" s="20">
        <v>45891.0</v>
      </c>
      <c r="E1032" s="17" t="s">
        <v>24</v>
      </c>
      <c r="F1032" s="17" t="s">
        <v>12</v>
      </c>
      <c r="H1032" s="17" t="s">
        <v>619</v>
      </c>
    </row>
    <row r="1033">
      <c r="A1033" s="17" t="s">
        <v>1027</v>
      </c>
      <c r="B1033" s="18">
        <v>75000.0</v>
      </c>
      <c r="C1033" s="19">
        <f>0.0175*B1033</f>
        <v>1312.5</v>
      </c>
      <c r="D1033" s="20">
        <v>45891.0</v>
      </c>
      <c r="E1033" s="17" t="s">
        <v>24</v>
      </c>
      <c r="F1033" s="17" t="s">
        <v>28</v>
      </c>
      <c r="H1033" s="17" t="s">
        <v>642</v>
      </c>
      <c r="I1033" s="35" t="s">
        <v>30</v>
      </c>
    </row>
    <row r="1034">
      <c r="A1034" s="17" t="s">
        <v>630</v>
      </c>
      <c r="B1034" s="18">
        <v>45000.0</v>
      </c>
      <c r="C1034" s="19">
        <f>0.0125*B1034</f>
        <v>562.5</v>
      </c>
      <c r="D1034" s="20">
        <v>45894.0</v>
      </c>
      <c r="E1034" s="17" t="s">
        <v>11</v>
      </c>
      <c r="F1034" s="17" t="s">
        <v>12</v>
      </c>
    </row>
    <row r="1035">
      <c r="A1035" s="17" t="s">
        <v>1028</v>
      </c>
      <c r="B1035" s="18">
        <v>110000.0</v>
      </c>
      <c r="C1035" s="19">
        <f t="shared" ref="C1035:C1036" si="268">0.0175*B1035</f>
        <v>1925</v>
      </c>
      <c r="D1035" s="20">
        <v>45894.0</v>
      </c>
      <c r="E1035" s="17" t="s">
        <v>11</v>
      </c>
      <c r="F1035" s="17" t="s">
        <v>28</v>
      </c>
      <c r="I1035" s="35" t="s">
        <v>30</v>
      </c>
    </row>
    <row r="1036">
      <c r="A1036" s="17" t="s">
        <v>1029</v>
      </c>
      <c r="B1036" s="18">
        <v>100000.0</v>
      </c>
      <c r="C1036" s="19">
        <f t="shared" si="268"/>
        <v>1750</v>
      </c>
      <c r="D1036" s="20">
        <v>45894.0</v>
      </c>
      <c r="E1036" s="17" t="s">
        <v>461</v>
      </c>
      <c r="F1036" s="17" t="s">
        <v>28</v>
      </c>
      <c r="H1036" s="17" t="s">
        <v>13</v>
      </c>
      <c r="I1036" s="35" t="s">
        <v>30</v>
      </c>
    </row>
    <row r="1037">
      <c r="A1037" s="17" t="s">
        <v>1030</v>
      </c>
      <c r="B1037" s="18">
        <v>900000.0</v>
      </c>
      <c r="C1037" s="19">
        <f t="shared" ref="C1037:C1038" si="269">0.0125*B1037</f>
        <v>11250</v>
      </c>
      <c r="D1037" s="20">
        <v>45894.0</v>
      </c>
      <c r="E1037" s="17" t="s">
        <v>118</v>
      </c>
      <c r="F1037" s="17" t="s">
        <v>12</v>
      </c>
    </row>
    <row r="1038">
      <c r="A1038" s="17" t="s">
        <v>728</v>
      </c>
      <c r="B1038" s="18">
        <v>65000.0</v>
      </c>
      <c r="C1038" s="19">
        <f t="shared" si="269"/>
        <v>812.5</v>
      </c>
      <c r="D1038" s="20">
        <v>45895.0</v>
      </c>
      <c r="E1038" s="17" t="s">
        <v>11</v>
      </c>
      <c r="F1038" s="17" t="s">
        <v>12</v>
      </c>
    </row>
    <row r="1039">
      <c r="A1039" s="17" t="s">
        <v>1031</v>
      </c>
      <c r="B1039" s="18">
        <v>500000.0</v>
      </c>
      <c r="C1039" s="19">
        <f t="shared" ref="C1039:C1043" si="270">0.0175*B1039</f>
        <v>8750</v>
      </c>
      <c r="D1039" s="20">
        <v>45895.0</v>
      </c>
      <c r="E1039" s="17" t="s">
        <v>11</v>
      </c>
      <c r="F1039" s="17" t="s">
        <v>28</v>
      </c>
      <c r="I1039" s="35" t="s">
        <v>30</v>
      </c>
    </row>
    <row r="1040">
      <c r="A1040" s="17" t="s">
        <v>1032</v>
      </c>
      <c r="B1040" s="18">
        <v>85000.0</v>
      </c>
      <c r="C1040" s="19">
        <f t="shared" si="270"/>
        <v>1487.5</v>
      </c>
      <c r="D1040" s="20">
        <v>45895.0</v>
      </c>
      <c r="E1040" s="17" t="s">
        <v>60</v>
      </c>
      <c r="F1040" s="17" t="s">
        <v>28</v>
      </c>
      <c r="I1040" s="35" t="s">
        <v>30</v>
      </c>
    </row>
    <row r="1041">
      <c r="A1041" s="17" t="s">
        <v>1033</v>
      </c>
      <c r="B1041" s="18">
        <v>100000.0</v>
      </c>
      <c r="C1041" s="19">
        <f t="shared" si="270"/>
        <v>1750</v>
      </c>
      <c r="D1041" s="20">
        <v>45895.0</v>
      </c>
      <c r="E1041" s="17" t="s">
        <v>24</v>
      </c>
      <c r="F1041" s="17" t="s">
        <v>28</v>
      </c>
      <c r="H1041" s="17" t="s">
        <v>642</v>
      </c>
      <c r="I1041" s="35" t="s">
        <v>30</v>
      </c>
    </row>
    <row r="1042">
      <c r="A1042" s="17" t="s">
        <v>1034</v>
      </c>
      <c r="B1042" s="18">
        <v>250000.0</v>
      </c>
      <c r="C1042" s="19">
        <f t="shared" si="270"/>
        <v>4375</v>
      </c>
      <c r="D1042" s="20">
        <v>45895.0</v>
      </c>
      <c r="E1042" s="17" t="s">
        <v>60</v>
      </c>
      <c r="F1042" s="17" t="s">
        <v>28</v>
      </c>
      <c r="I1042" s="35" t="s">
        <v>30</v>
      </c>
    </row>
    <row r="1043">
      <c r="A1043" s="17" t="s">
        <v>1035</v>
      </c>
      <c r="B1043" s="18">
        <v>200000.0</v>
      </c>
      <c r="C1043" s="19">
        <f t="shared" si="270"/>
        <v>3500</v>
      </c>
      <c r="D1043" s="20">
        <v>45895.0</v>
      </c>
      <c r="E1043" s="17" t="s">
        <v>11</v>
      </c>
      <c r="F1043" s="17" t="s">
        <v>28</v>
      </c>
      <c r="I1043" s="35" t="s">
        <v>30</v>
      </c>
    </row>
    <row r="1044">
      <c r="A1044" s="17" t="s">
        <v>81</v>
      </c>
      <c r="B1044" s="18">
        <v>120000.0</v>
      </c>
      <c r="C1044" s="19">
        <f t="shared" ref="C1044:C1045" si="271">0.0125*B1044</f>
        <v>1500</v>
      </c>
      <c r="D1044" s="20">
        <v>45895.0</v>
      </c>
      <c r="E1044" s="17" t="s">
        <v>11</v>
      </c>
      <c r="F1044" s="17" t="s">
        <v>12</v>
      </c>
    </row>
    <row r="1045">
      <c r="A1045" s="17" t="s">
        <v>1036</v>
      </c>
      <c r="B1045" s="18">
        <v>1475000.0</v>
      </c>
      <c r="C1045" s="19">
        <f t="shared" si="271"/>
        <v>18437.5</v>
      </c>
      <c r="D1045" s="20">
        <v>45895.0</v>
      </c>
      <c r="E1045" s="17" t="s">
        <v>11</v>
      </c>
      <c r="F1045" s="17" t="s">
        <v>12</v>
      </c>
    </row>
    <row r="1046">
      <c r="A1046" s="17" t="s">
        <v>1037</v>
      </c>
      <c r="B1046" s="18">
        <v>40000.0</v>
      </c>
      <c r="C1046" s="19">
        <f>0.0175*B1046</f>
        <v>700</v>
      </c>
      <c r="D1046" s="20">
        <v>45896.0</v>
      </c>
      <c r="E1046" s="17" t="s">
        <v>15</v>
      </c>
      <c r="F1046" s="17" t="s">
        <v>28</v>
      </c>
      <c r="H1046" s="31" t="s">
        <v>220</v>
      </c>
      <c r="K1046" s="17">
        <v>140.0</v>
      </c>
    </row>
    <row r="1047">
      <c r="A1047" s="17" t="s">
        <v>1038</v>
      </c>
      <c r="B1047" s="18">
        <v>1150000.0</v>
      </c>
      <c r="C1047" s="19">
        <f>0.0125*B1047</f>
        <v>14375</v>
      </c>
      <c r="D1047" s="20">
        <v>45896.0</v>
      </c>
      <c r="E1047" s="17" t="s">
        <v>118</v>
      </c>
      <c r="F1047" s="17" t="s">
        <v>12</v>
      </c>
    </row>
    <row r="1048">
      <c r="A1048" s="17" t="s">
        <v>1039</v>
      </c>
      <c r="B1048" s="18">
        <v>40000.0</v>
      </c>
      <c r="C1048" s="19">
        <f>0.0175*B1048</f>
        <v>700</v>
      </c>
      <c r="D1048" s="20">
        <v>45896.0</v>
      </c>
      <c r="E1048" s="17" t="s">
        <v>11</v>
      </c>
      <c r="F1048" s="17" t="s">
        <v>67</v>
      </c>
      <c r="I1048" s="35" t="s">
        <v>30</v>
      </c>
    </row>
    <row r="1049">
      <c r="A1049" s="17" t="s">
        <v>1040</v>
      </c>
      <c r="B1049" s="18">
        <v>80000.0</v>
      </c>
      <c r="C1049" s="19">
        <f>0.0125*B1049</f>
        <v>1000</v>
      </c>
      <c r="D1049" s="20">
        <v>45896.0</v>
      </c>
      <c r="E1049" s="17" t="s">
        <v>11</v>
      </c>
      <c r="F1049" s="17" t="s">
        <v>12</v>
      </c>
    </row>
    <row r="1050">
      <c r="A1050" s="17" t="s">
        <v>1041</v>
      </c>
      <c r="B1050" s="18">
        <v>50000.0</v>
      </c>
      <c r="C1050" s="19">
        <f t="shared" ref="C1050:C1053" si="272">0.0175*B1050</f>
        <v>875</v>
      </c>
      <c r="D1050" s="20">
        <v>45896.0</v>
      </c>
      <c r="E1050" s="17" t="s">
        <v>24</v>
      </c>
      <c r="F1050" s="17" t="s">
        <v>28</v>
      </c>
      <c r="H1050" s="17" t="s">
        <v>924</v>
      </c>
      <c r="I1050" s="35" t="s">
        <v>30</v>
      </c>
    </row>
    <row r="1051">
      <c r="A1051" s="17" t="s">
        <v>1042</v>
      </c>
      <c r="B1051" s="18">
        <v>200000.0</v>
      </c>
      <c r="C1051" s="19">
        <f t="shared" si="272"/>
        <v>3500</v>
      </c>
      <c r="D1051" s="20">
        <v>45896.0</v>
      </c>
      <c r="E1051" s="17" t="s">
        <v>21</v>
      </c>
      <c r="F1051" s="17" t="s">
        <v>67</v>
      </c>
      <c r="I1051" s="35" t="s">
        <v>30</v>
      </c>
    </row>
    <row r="1052">
      <c r="A1052" s="17" t="s">
        <v>794</v>
      </c>
      <c r="B1052" s="18">
        <v>150000.0</v>
      </c>
      <c r="C1052" s="19">
        <f t="shared" si="272"/>
        <v>2625</v>
      </c>
      <c r="D1052" s="20">
        <v>45896.0</v>
      </c>
      <c r="E1052" s="17" t="s">
        <v>118</v>
      </c>
      <c r="F1052" s="17" t="s">
        <v>67</v>
      </c>
      <c r="I1052" s="35" t="s">
        <v>30</v>
      </c>
    </row>
    <row r="1053">
      <c r="A1053" s="17" t="s">
        <v>1043</v>
      </c>
      <c r="B1053" s="18">
        <v>60000.0</v>
      </c>
      <c r="C1053" s="19">
        <f t="shared" si="272"/>
        <v>1050</v>
      </c>
      <c r="D1053" s="20">
        <v>45896.0</v>
      </c>
      <c r="E1053" s="17" t="s">
        <v>11</v>
      </c>
      <c r="F1053" s="17" t="s">
        <v>28</v>
      </c>
      <c r="I1053" s="35" t="s">
        <v>30</v>
      </c>
    </row>
    <row r="1054">
      <c r="A1054" s="17" t="s">
        <v>1044</v>
      </c>
      <c r="B1054" s="18">
        <v>550000.0</v>
      </c>
      <c r="C1054" s="19">
        <f t="shared" ref="C1054:C1058" si="273">0.0125*B1054</f>
        <v>6875</v>
      </c>
      <c r="D1054" s="20">
        <v>45896.0</v>
      </c>
      <c r="E1054" s="17" t="s">
        <v>60</v>
      </c>
      <c r="F1054" s="17" t="s">
        <v>12</v>
      </c>
    </row>
    <row r="1055">
      <c r="A1055" s="17" t="s">
        <v>143</v>
      </c>
      <c r="B1055" s="32">
        <v>350000.0</v>
      </c>
      <c r="C1055" s="33">
        <f t="shared" si="273"/>
        <v>4375</v>
      </c>
      <c r="D1055" s="20">
        <v>45896.0</v>
      </c>
      <c r="E1055" s="17" t="s">
        <v>24</v>
      </c>
      <c r="F1055" s="17" t="s">
        <v>12</v>
      </c>
      <c r="H1055" s="17" t="s">
        <v>996</v>
      </c>
    </row>
    <row r="1056">
      <c r="A1056" s="17" t="s">
        <v>1045</v>
      </c>
      <c r="B1056" s="32">
        <v>114000.0</v>
      </c>
      <c r="C1056" s="33">
        <f t="shared" si="273"/>
        <v>1425</v>
      </c>
      <c r="D1056" s="20">
        <v>45896.0</v>
      </c>
      <c r="E1056" s="17" t="s">
        <v>11</v>
      </c>
      <c r="F1056" s="17" t="s">
        <v>12</v>
      </c>
    </row>
    <row r="1057">
      <c r="A1057" s="17" t="s">
        <v>474</v>
      </c>
      <c r="B1057" s="32">
        <v>80000.0</v>
      </c>
      <c r="C1057" s="33">
        <f t="shared" si="273"/>
        <v>1000</v>
      </c>
      <c r="D1057" s="20">
        <v>45896.0</v>
      </c>
      <c r="E1057" s="17" t="s">
        <v>11</v>
      </c>
      <c r="F1057" s="17" t="s">
        <v>12</v>
      </c>
    </row>
    <row r="1058">
      <c r="A1058" s="17" t="s">
        <v>1046</v>
      </c>
      <c r="B1058" s="32">
        <v>1100000.0</v>
      </c>
      <c r="C1058" s="33">
        <f t="shared" si="273"/>
        <v>13750</v>
      </c>
      <c r="D1058" s="20">
        <v>45897.0</v>
      </c>
      <c r="E1058" s="17" t="s">
        <v>24</v>
      </c>
      <c r="F1058" s="17" t="s">
        <v>12</v>
      </c>
      <c r="H1058" s="17" t="s">
        <v>1047</v>
      </c>
    </row>
    <row r="1059">
      <c r="A1059" s="17" t="s">
        <v>1048</v>
      </c>
      <c r="B1059" s="32">
        <v>15000.0</v>
      </c>
      <c r="C1059" s="33">
        <f>0.0175*B1059</f>
        <v>262.5</v>
      </c>
      <c r="D1059" s="20">
        <v>45897.0</v>
      </c>
      <c r="E1059" s="17" t="s">
        <v>11</v>
      </c>
      <c r="F1059" s="17" t="s">
        <v>28</v>
      </c>
      <c r="I1059" s="35" t="s">
        <v>30</v>
      </c>
    </row>
    <row r="1060">
      <c r="A1060" s="17" t="s">
        <v>1049</v>
      </c>
      <c r="B1060" s="32">
        <v>150000.0</v>
      </c>
      <c r="C1060" s="33">
        <f>0.0125*B1060</f>
        <v>1875</v>
      </c>
      <c r="D1060" s="20">
        <v>45897.0</v>
      </c>
      <c r="E1060" s="17" t="s">
        <v>11</v>
      </c>
      <c r="F1060" s="17" t="s">
        <v>12</v>
      </c>
    </row>
    <row r="1061">
      <c r="A1061" s="17" t="s">
        <v>1050</v>
      </c>
      <c r="B1061" s="32">
        <v>50000.0</v>
      </c>
      <c r="C1061" s="33">
        <f t="shared" ref="C1061:C1063" si="274">0.0175*B1061</f>
        <v>875</v>
      </c>
      <c r="D1061" s="20">
        <v>45897.0</v>
      </c>
      <c r="E1061" s="17" t="s">
        <v>11</v>
      </c>
      <c r="F1061" s="17" t="s">
        <v>28</v>
      </c>
      <c r="I1061" s="35" t="s">
        <v>30</v>
      </c>
    </row>
    <row r="1062">
      <c r="A1062" s="17" t="s">
        <v>1051</v>
      </c>
      <c r="B1062" s="18">
        <v>60000.0</v>
      </c>
      <c r="C1062" s="19">
        <f t="shared" si="274"/>
        <v>1050</v>
      </c>
      <c r="D1062" s="20">
        <v>45897.0</v>
      </c>
      <c r="E1062" s="17" t="s">
        <v>15</v>
      </c>
      <c r="F1062" s="17" t="s">
        <v>28</v>
      </c>
      <c r="H1062" s="31" t="s">
        <v>98</v>
      </c>
      <c r="K1062" s="17">
        <v>180.0</v>
      </c>
    </row>
    <row r="1063">
      <c r="A1063" s="17" t="s">
        <v>1052</v>
      </c>
      <c r="B1063" s="18">
        <v>250000.0</v>
      </c>
      <c r="C1063" s="19">
        <f t="shared" si="274"/>
        <v>4375</v>
      </c>
      <c r="D1063" s="20">
        <v>45897.0</v>
      </c>
      <c r="E1063" s="17" t="s">
        <v>11</v>
      </c>
      <c r="F1063" s="17" t="s">
        <v>28</v>
      </c>
    </row>
    <row r="1064">
      <c r="A1064" s="17" t="s">
        <v>1053</v>
      </c>
      <c r="B1064" s="18">
        <v>50000.0</v>
      </c>
      <c r="C1064" s="19">
        <f>0.0125*B1064</f>
        <v>625</v>
      </c>
      <c r="D1064" s="20">
        <v>45897.0</v>
      </c>
      <c r="E1064" s="17" t="s">
        <v>11</v>
      </c>
      <c r="F1064" s="17" t="s">
        <v>12</v>
      </c>
    </row>
    <row r="1065">
      <c r="A1065" s="17" t="s">
        <v>1054</v>
      </c>
      <c r="B1065" s="18">
        <v>100000.0</v>
      </c>
      <c r="C1065" s="19">
        <f t="shared" ref="C1065:C1067" si="275">0.0175*B1065</f>
        <v>1750</v>
      </c>
      <c r="D1065" s="20">
        <v>45897.0</v>
      </c>
      <c r="E1065" s="17" t="s">
        <v>118</v>
      </c>
      <c r="F1065" s="17" t="s">
        <v>28</v>
      </c>
      <c r="I1065" s="35" t="s">
        <v>30</v>
      </c>
    </row>
    <row r="1066">
      <c r="A1066" s="17" t="s">
        <v>1055</v>
      </c>
      <c r="B1066" s="18">
        <v>350000.0</v>
      </c>
      <c r="C1066" s="19">
        <f t="shared" si="275"/>
        <v>6125</v>
      </c>
      <c r="D1066" s="20">
        <v>45897.0</v>
      </c>
      <c r="E1066" s="17" t="s">
        <v>21</v>
      </c>
      <c r="F1066" s="17" t="s">
        <v>28</v>
      </c>
      <c r="H1066" s="17" t="s">
        <v>13</v>
      </c>
      <c r="I1066" s="35" t="s">
        <v>30</v>
      </c>
    </row>
    <row r="1067">
      <c r="A1067" s="17" t="s">
        <v>1056</v>
      </c>
      <c r="B1067" s="18">
        <v>100000.0</v>
      </c>
      <c r="C1067" s="33">
        <f t="shared" si="275"/>
        <v>1750</v>
      </c>
      <c r="D1067" s="20">
        <v>45897.0</v>
      </c>
      <c r="E1067" s="17" t="s">
        <v>11</v>
      </c>
      <c r="F1067" s="17" t="s">
        <v>28</v>
      </c>
      <c r="I1067" s="35" t="s">
        <v>30</v>
      </c>
    </row>
    <row r="1068">
      <c r="A1068" s="17" t="s">
        <v>1057</v>
      </c>
      <c r="B1068" s="18">
        <v>250000.0</v>
      </c>
      <c r="C1068" s="33">
        <f t="shared" ref="C1068:C1071" si="276">0.0125*B1068</f>
        <v>3125</v>
      </c>
      <c r="D1068" s="20">
        <v>45898.0</v>
      </c>
      <c r="E1068" s="17" t="s">
        <v>11</v>
      </c>
      <c r="F1068" s="17" t="s">
        <v>12</v>
      </c>
    </row>
    <row r="1069">
      <c r="A1069" s="17" t="s">
        <v>1058</v>
      </c>
      <c r="B1069" s="18">
        <v>175000.0</v>
      </c>
      <c r="C1069" s="33">
        <f t="shared" si="276"/>
        <v>2187.5</v>
      </c>
      <c r="D1069" s="20">
        <v>45898.0</v>
      </c>
      <c r="E1069" s="17" t="s">
        <v>11</v>
      </c>
      <c r="F1069" s="17" t="s">
        <v>12</v>
      </c>
    </row>
    <row r="1070">
      <c r="A1070" s="17" t="s">
        <v>249</v>
      </c>
      <c r="B1070" s="18">
        <v>10000.0</v>
      </c>
      <c r="C1070" s="33">
        <f t="shared" si="276"/>
        <v>125</v>
      </c>
      <c r="D1070" s="20">
        <v>45898.0</v>
      </c>
      <c r="E1070" s="17" t="s">
        <v>15</v>
      </c>
      <c r="F1070" s="17" t="s">
        <v>144</v>
      </c>
      <c r="H1070" s="31" t="s">
        <v>54</v>
      </c>
      <c r="K1070" s="17">
        <v>60.0</v>
      </c>
    </row>
    <row r="1071">
      <c r="A1071" s="17" t="s">
        <v>248</v>
      </c>
      <c r="B1071" s="18">
        <v>75000.0</v>
      </c>
      <c r="C1071" s="19">
        <f t="shared" si="276"/>
        <v>937.5</v>
      </c>
      <c r="D1071" s="20">
        <v>45898.0</v>
      </c>
      <c r="E1071" s="17" t="s">
        <v>15</v>
      </c>
      <c r="F1071" s="17" t="s">
        <v>12</v>
      </c>
      <c r="H1071" s="31" t="s">
        <v>16</v>
      </c>
      <c r="K1071" s="17">
        <v>300.0</v>
      </c>
    </row>
    <row r="1072">
      <c r="A1072" s="17" t="s">
        <v>1059</v>
      </c>
      <c r="B1072" s="18">
        <v>75000.0</v>
      </c>
      <c r="C1072" s="19">
        <f>0.0175*B1072</f>
        <v>1312.5</v>
      </c>
      <c r="D1072" s="20">
        <v>45898.0</v>
      </c>
      <c r="E1072" s="17" t="s">
        <v>15</v>
      </c>
      <c r="F1072" s="17" t="s">
        <v>28</v>
      </c>
      <c r="H1072" s="31" t="s">
        <v>149</v>
      </c>
      <c r="I1072" s="35" t="s">
        <v>30</v>
      </c>
      <c r="K1072" s="17">
        <v>187.5</v>
      </c>
    </row>
    <row r="1073">
      <c r="A1073" s="17" t="s">
        <v>314</v>
      </c>
      <c r="B1073" s="18">
        <v>60000.0</v>
      </c>
      <c r="C1073" s="19">
        <f t="shared" ref="C1073:C1074" si="277">0.0125*B1073</f>
        <v>750</v>
      </c>
      <c r="D1073" s="20">
        <v>45898.0</v>
      </c>
      <c r="E1073" s="17" t="s">
        <v>60</v>
      </c>
      <c r="F1073" s="17" t="s">
        <v>12</v>
      </c>
    </row>
    <row r="1074">
      <c r="A1074" s="17" t="s">
        <v>473</v>
      </c>
      <c r="B1074" s="18">
        <v>115000.0</v>
      </c>
      <c r="C1074" s="19">
        <f t="shared" si="277"/>
        <v>1437.5</v>
      </c>
      <c r="D1074" s="20">
        <v>45898.0</v>
      </c>
      <c r="E1074" s="17" t="s">
        <v>40</v>
      </c>
      <c r="F1074" s="17" t="s">
        <v>12</v>
      </c>
    </row>
    <row r="1075">
      <c r="A1075" s="17" t="s">
        <v>1060</v>
      </c>
      <c r="B1075" s="18">
        <v>275000.0</v>
      </c>
      <c r="C1075" s="19">
        <f t="shared" ref="C1075:C1078" si="278">0.0175*B1075</f>
        <v>4812.5</v>
      </c>
      <c r="D1075" s="20">
        <v>45898.0</v>
      </c>
      <c r="E1075" s="17" t="s">
        <v>60</v>
      </c>
      <c r="F1075" s="17" t="s">
        <v>28</v>
      </c>
      <c r="I1075" s="35" t="s">
        <v>30</v>
      </c>
    </row>
    <row r="1076">
      <c r="A1076" s="17" t="s">
        <v>1061</v>
      </c>
      <c r="B1076" s="18">
        <v>10000.0</v>
      </c>
      <c r="C1076" s="19">
        <f t="shared" si="278"/>
        <v>175</v>
      </c>
      <c r="D1076" s="20">
        <v>45898.0</v>
      </c>
      <c r="E1076" s="17" t="s">
        <v>135</v>
      </c>
      <c r="F1076" s="17" t="s">
        <v>67</v>
      </c>
      <c r="H1076" s="17" t="s">
        <v>13</v>
      </c>
      <c r="I1076" s="35" t="s">
        <v>30</v>
      </c>
    </row>
    <row r="1077">
      <c r="A1077" s="17" t="s">
        <v>1062</v>
      </c>
      <c r="B1077" s="18">
        <v>100000.0</v>
      </c>
      <c r="C1077" s="19">
        <f t="shared" si="278"/>
        <v>1750</v>
      </c>
      <c r="D1077" s="20">
        <v>45898.0</v>
      </c>
      <c r="E1077" s="17" t="s">
        <v>1063</v>
      </c>
      <c r="F1077" s="17" t="s">
        <v>28</v>
      </c>
      <c r="I1077" s="35" t="s">
        <v>30</v>
      </c>
    </row>
    <row r="1078">
      <c r="A1078" s="17" t="s">
        <v>1064</v>
      </c>
      <c r="B1078" s="18">
        <v>30000.0</v>
      </c>
      <c r="C1078" s="19">
        <f t="shared" si="278"/>
        <v>525</v>
      </c>
      <c r="D1078" s="20">
        <v>45898.0</v>
      </c>
      <c r="E1078" s="17" t="s">
        <v>11</v>
      </c>
      <c r="F1078" s="17" t="s">
        <v>28</v>
      </c>
      <c r="I1078" s="35" t="s">
        <v>30</v>
      </c>
    </row>
    <row r="1079">
      <c r="A1079" s="12">
        <v>45901.0</v>
      </c>
      <c r="B1079" s="13">
        <f t="shared" ref="B1079:C1079" si="279">SUM(B1080:B1237)</f>
        <v>35550300</v>
      </c>
      <c r="C1079" s="13">
        <f t="shared" si="279"/>
        <v>522668.75</v>
      </c>
      <c r="D1079" s="14"/>
      <c r="E1079" s="15"/>
      <c r="F1079" s="15"/>
      <c r="G1079" s="15"/>
      <c r="H1079" s="16"/>
      <c r="I1079" s="16"/>
      <c r="J1079" s="16"/>
      <c r="K1079" s="16"/>
    </row>
    <row r="1080">
      <c r="A1080" s="17" t="s">
        <v>32</v>
      </c>
      <c r="B1080" s="18">
        <v>45000.0</v>
      </c>
      <c r="C1080" s="19">
        <f>0.0125*B1080</f>
        <v>562.5</v>
      </c>
      <c r="D1080" s="20">
        <v>45902.0</v>
      </c>
      <c r="E1080" s="17" t="s">
        <v>15</v>
      </c>
      <c r="F1080" s="17" t="s">
        <v>12</v>
      </c>
      <c r="H1080" s="31" t="s">
        <v>98</v>
      </c>
      <c r="K1080" s="17">
        <v>135.0</v>
      </c>
    </row>
    <row r="1081">
      <c r="A1081" s="17" t="s">
        <v>1065</v>
      </c>
      <c r="B1081" s="18">
        <v>175000.0</v>
      </c>
      <c r="C1081" s="19">
        <f t="shared" ref="C1081:C1083" si="280">0.0175*B1081</f>
        <v>3062.5</v>
      </c>
      <c r="D1081" s="20">
        <v>45902.0</v>
      </c>
      <c r="E1081" s="17" t="s">
        <v>461</v>
      </c>
      <c r="F1081" s="17" t="s">
        <v>28</v>
      </c>
      <c r="H1081" s="17" t="s">
        <v>1008</v>
      </c>
      <c r="I1081" s="35" t="s">
        <v>30</v>
      </c>
    </row>
    <row r="1082">
      <c r="A1082" s="17" t="s">
        <v>1066</v>
      </c>
      <c r="B1082" s="18">
        <v>30000.0</v>
      </c>
      <c r="C1082" s="19">
        <f t="shared" si="280"/>
        <v>525</v>
      </c>
      <c r="D1082" s="20">
        <v>45902.0</v>
      </c>
      <c r="E1082" s="17" t="s">
        <v>60</v>
      </c>
      <c r="F1082" s="17" t="s">
        <v>28</v>
      </c>
      <c r="I1082" s="35" t="s">
        <v>30</v>
      </c>
    </row>
    <row r="1083">
      <c r="A1083" s="17" t="s">
        <v>667</v>
      </c>
      <c r="B1083" s="18">
        <v>900000.0</v>
      </c>
      <c r="C1083" s="19">
        <f t="shared" si="280"/>
        <v>15750</v>
      </c>
      <c r="D1083" s="20">
        <v>45902.0</v>
      </c>
      <c r="E1083" s="17" t="s">
        <v>11</v>
      </c>
      <c r="F1083" s="17" t="s">
        <v>67</v>
      </c>
    </row>
    <row r="1084">
      <c r="A1084" s="17" t="s">
        <v>1067</v>
      </c>
      <c r="B1084" s="18">
        <v>150000.0</v>
      </c>
      <c r="C1084" s="19">
        <f>0.0125*B1084</f>
        <v>1875</v>
      </c>
      <c r="D1084" s="20">
        <v>45903.0</v>
      </c>
      <c r="E1084" s="17" t="s">
        <v>11</v>
      </c>
      <c r="F1084" s="17" t="s">
        <v>12</v>
      </c>
    </row>
    <row r="1085">
      <c r="A1085" s="17" t="s">
        <v>1068</v>
      </c>
      <c r="B1085" s="18">
        <v>125000.0</v>
      </c>
      <c r="C1085" s="19">
        <f t="shared" ref="C1085:C1090" si="281">0.0175*B1085</f>
        <v>2187.5</v>
      </c>
      <c r="D1085" s="20">
        <v>45903.0</v>
      </c>
      <c r="E1085" s="17" t="s">
        <v>768</v>
      </c>
      <c r="F1085" s="17" t="s">
        <v>28</v>
      </c>
    </row>
    <row r="1086">
      <c r="A1086" s="17" t="s">
        <v>1069</v>
      </c>
      <c r="B1086" s="18">
        <v>100000.0</v>
      </c>
      <c r="C1086" s="19">
        <f t="shared" si="281"/>
        <v>1750</v>
      </c>
      <c r="D1086" s="20">
        <v>45903.0</v>
      </c>
      <c r="E1086" s="17" t="s">
        <v>15</v>
      </c>
      <c r="F1086" s="17" t="s">
        <v>28</v>
      </c>
      <c r="H1086" s="31" t="s">
        <v>35</v>
      </c>
      <c r="I1086" s="35" t="s">
        <v>30</v>
      </c>
      <c r="K1086" s="17">
        <v>200.0</v>
      </c>
    </row>
    <row r="1087">
      <c r="A1087" s="17" t="s">
        <v>1070</v>
      </c>
      <c r="B1087" s="18">
        <v>25000.0</v>
      </c>
      <c r="C1087" s="19">
        <f t="shared" si="281"/>
        <v>437.5</v>
      </c>
      <c r="D1087" s="20">
        <v>45903.0</v>
      </c>
      <c r="E1087" s="17" t="s">
        <v>24</v>
      </c>
      <c r="F1087" s="17" t="s">
        <v>28</v>
      </c>
      <c r="H1087" s="17" t="s">
        <v>1071</v>
      </c>
      <c r="I1087" s="35" t="s">
        <v>30</v>
      </c>
    </row>
    <row r="1088">
      <c r="A1088" s="17" t="s">
        <v>1072</v>
      </c>
      <c r="B1088" s="18">
        <v>23000.0</v>
      </c>
      <c r="C1088" s="19">
        <f t="shared" si="281"/>
        <v>402.5</v>
      </c>
      <c r="D1088" s="20">
        <v>45903.0</v>
      </c>
      <c r="E1088" s="17" t="s">
        <v>15</v>
      </c>
      <c r="F1088" s="17" t="s">
        <v>28</v>
      </c>
      <c r="H1088" s="31" t="s">
        <v>54</v>
      </c>
      <c r="I1088" s="35" t="s">
        <v>30</v>
      </c>
      <c r="K1088" s="17">
        <v>138.0</v>
      </c>
    </row>
    <row r="1089">
      <c r="A1089" s="17" t="s">
        <v>1073</v>
      </c>
      <c r="B1089" s="18">
        <v>25000.0</v>
      </c>
      <c r="C1089" s="19">
        <f t="shared" si="281"/>
        <v>437.5</v>
      </c>
      <c r="D1089" s="20">
        <v>45903.0</v>
      </c>
      <c r="E1089" s="17" t="s">
        <v>60</v>
      </c>
      <c r="F1089" s="17" t="s">
        <v>28</v>
      </c>
      <c r="I1089" s="35" t="s">
        <v>30</v>
      </c>
    </row>
    <row r="1090">
      <c r="A1090" s="17" t="s">
        <v>1074</v>
      </c>
      <c r="B1090" s="18">
        <v>200000.0</v>
      </c>
      <c r="C1090" s="19">
        <f t="shared" si="281"/>
        <v>3500</v>
      </c>
      <c r="D1090" s="20">
        <v>45903.0</v>
      </c>
      <c r="E1090" s="17" t="s">
        <v>15</v>
      </c>
      <c r="F1090" s="17" t="s">
        <v>28</v>
      </c>
      <c r="H1090" s="31" t="s">
        <v>172</v>
      </c>
      <c r="I1090" s="35" t="s">
        <v>30</v>
      </c>
      <c r="K1090" s="17">
        <v>300.0</v>
      </c>
    </row>
    <row r="1091">
      <c r="A1091" s="17" t="s">
        <v>1075</v>
      </c>
      <c r="B1091" s="18">
        <v>80000.0</v>
      </c>
      <c r="C1091" s="19">
        <f t="shared" ref="C1091:C1092" si="282">0.0125*B1091</f>
        <v>1000</v>
      </c>
      <c r="D1091" s="20">
        <v>45903.0</v>
      </c>
      <c r="E1091" s="17" t="s">
        <v>15</v>
      </c>
      <c r="F1091" s="17" t="s">
        <v>12</v>
      </c>
      <c r="H1091" s="31" t="s">
        <v>29</v>
      </c>
      <c r="K1091" s="17">
        <v>360.0</v>
      </c>
    </row>
    <row r="1092">
      <c r="A1092" s="17" t="s">
        <v>1076</v>
      </c>
      <c r="B1092" s="18">
        <v>550000.0</v>
      </c>
      <c r="C1092" s="19">
        <f t="shared" si="282"/>
        <v>6875</v>
      </c>
      <c r="D1092" s="20">
        <v>45904.0</v>
      </c>
      <c r="E1092" s="17" t="s">
        <v>24</v>
      </c>
      <c r="F1092" s="17" t="s">
        <v>12</v>
      </c>
      <c r="H1092" s="17" t="s">
        <v>996</v>
      </c>
    </row>
    <row r="1093">
      <c r="A1093" s="17" t="s">
        <v>1077</v>
      </c>
      <c r="B1093" s="18">
        <v>450000.0</v>
      </c>
      <c r="C1093" s="19">
        <f t="shared" ref="C1093:C1094" si="283">0.0175*B1093</f>
        <v>7875</v>
      </c>
      <c r="D1093" s="20">
        <v>45904.0</v>
      </c>
      <c r="E1093" s="17" t="s">
        <v>376</v>
      </c>
      <c r="F1093" s="17" t="s">
        <v>28</v>
      </c>
      <c r="H1093" s="17" t="s">
        <v>13</v>
      </c>
      <c r="I1093" s="35" t="s">
        <v>30</v>
      </c>
    </row>
    <row r="1094">
      <c r="A1094" s="17" t="s">
        <v>1078</v>
      </c>
      <c r="B1094" s="18">
        <v>350000.0</v>
      </c>
      <c r="C1094" s="19">
        <f t="shared" si="283"/>
        <v>6125</v>
      </c>
      <c r="D1094" s="20">
        <v>45904.0</v>
      </c>
      <c r="E1094" s="17" t="s">
        <v>69</v>
      </c>
      <c r="F1094" s="17" t="s">
        <v>28</v>
      </c>
      <c r="H1094" s="17" t="s">
        <v>13</v>
      </c>
      <c r="I1094" s="35" t="s">
        <v>30</v>
      </c>
    </row>
    <row r="1095">
      <c r="A1095" s="17" t="s">
        <v>1079</v>
      </c>
      <c r="B1095" s="18">
        <v>75000.0</v>
      </c>
      <c r="C1095" s="19">
        <f t="shared" ref="C1095:C1096" si="284">0.0125*B1095</f>
        <v>937.5</v>
      </c>
      <c r="D1095" s="20">
        <v>45904.0</v>
      </c>
      <c r="E1095" s="17" t="s">
        <v>11</v>
      </c>
      <c r="F1095" s="17" t="s">
        <v>12</v>
      </c>
    </row>
    <row r="1096">
      <c r="A1096" s="17" t="s">
        <v>1080</v>
      </c>
      <c r="B1096" s="18">
        <v>71000.0</v>
      </c>
      <c r="C1096" s="19">
        <f t="shared" si="284"/>
        <v>887.5</v>
      </c>
      <c r="D1096" s="20">
        <v>45904.0</v>
      </c>
      <c r="E1096" s="17" t="s">
        <v>15</v>
      </c>
      <c r="F1096" s="17" t="s">
        <v>12</v>
      </c>
      <c r="H1096" s="31" t="s">
        <v>16</v>
      </c>
      <c r="K1096" s="17">
        <v>284.0</v>
      </c>
    </row>
    <row r="1097">
      <c r="A1097" s="17" t="s">
        <v>1081</v>
      </c>
      <c r="B1097" s="18">
        <v>75000.0</v>
      </c>
      <c r="C1097" s="19">
        <f>0.0175*B1097</f>
        <v>1312.5</v>
      </c>
      <c r="D1097" s="20">
        <v>45904.0</v>
      </c>
      <c r="E1097" s="17" t="s">
        <v>15</v>
      </c>
      <c r="F1097" s="17" t="s">
        <v>28</v>
      </c>
      <c r="H1097" s="31" t="s">
        <v>35</v>
      </c>
      <c r="I1097" s="35" t="s">
        <v>30</v>
      </c>
    </row>
    <row r="1098">
      <c r="A1098" s="17" t="s">
        <v>1076</v>
      </c>
      <c r="B1098" s="18">
        <v>470000.0</v>
      </c>
      <c r="C1098" s="19">
        <f>0.0125*B1098</f>
        <v>5875</v>
      </c>
      <c r="D1098" s="20">
        <v>45905.0</v>
      </c>
      <c r="E1098" s="17" t="s">
        <v>24</v>
      </c>
      <c r="F1098" s="17" t="s">
        <v>12</v>
      </c>
      <c r="H1098" s="17" t="s">
        <v>996</v>
      </c>
    </row>
    <row r="1099">
      <c r="A1099" s="17" t="s">
        <v>1082</v>
      </c>
      <c r="B1099" s="18">
        <v>400000.0</v>
      </c>
      <c r="C1099" s="19">
        <f>0.0175*B1099</f>
        <v>7000</v>
      </c>
      <c r="D1099" s="20">
        <v>45905.0</v>
      </c>
      <c r="E1099" s="17" t="s">
        <v>118</v>
      </c>
      <c r="F1099" s="17" t="s">
        <v>28</v>
      </c>
      <c r="H1099" s="17" t="s">
        <v>13</v>
      </c>
      <c r="I1099" s="35" t="s">
        <v>30</v>
      </c>
    </row>
    <row r="1100">
      <c r="A1100" s="17" t="s">
        <v>1083</v>
      </c>
      <c r="B1100" s="18">
        <v>180000.0</v>
      </c>
      <c r="C1100" s="19">
        <f>0.0125*B1100</f>
        <v>2250</v>
      </c>
      <c r="D1100" s="20">
        <v>45905.0</v>
      </c>
      <c r="E1100" s="17" t="s">
        <v>60</v>
      </c>
      <c r="F1100" s="17" t="s">
        <v>12</v>
      </c>
    </row>
    <row r="1101">
      <c r="A1101" s="17" t="s">
        <v>1084</v>
      </c>
      <c r="B1101" s="18">
        <v>250000.0</v>
      </c>
      <c r="C1101" s="19">
        <f t="shared" ref="C1101:C1104" si="285">0.0175*B1101</f>
        <v>4375</v>
      </c>
      <c r="D1101" s="20">
        <v>45905.0</v>
      </c>
      <c r="E1101" s="17" t="s">
        <v>24</v>
      </c>
      <c r="F1101" s="17" t="s">
        <v>67</v>
      </c>
      <c r="H1101" s="17" t="s">
        <v>642</v>
      </c>
    </row>
    <row r="1102">
      <c r="A1102" s="17" t="s">
        <v>1085</v>
      </c>
      <c r="B1102" s="18">
        <v>675000.0</v>
      </c>
      <c r="C1102" s="19">
        <f t="shared" si="285"/>
        <v>11812.5</v>
      </c>
      <c r="D1102" s="20">
        <v>45905.0</v>
      </c>
      <c r="E1102" s="17" t="s">
        <v>804</v>
      </c>
      <c r="F1102" s="17" t="s">
        <v>28</v>
      </c>
      <c r="H1102" s="17" t="s">
        <v>13</v>
      </c>
      <c r="I1102" s="35" t="s">
        <v>30</v>
      </c>
    </row>
    <row r="1103">
      <c r="A1103" s="17" t="s">
        <v>1086</v>
      </c>
      <c r="B1103" s="18">
        <v>185000.0</v>
      </c>
      <c r="C1103" s="19">
        <f t="shared" si="285"/>
        <v>3237.5</v>
      </c>
      <c r="D1103" s="20">
        <v>45908.0</v>
      </c>
      <c r="E1103" s="17" t="s">
        <v>60</v>
      </c>
      <c r="F1103" s="17" t="s">
        <v>28</v>
      </c>
      <c r="I1103" s="35" t="s">
        <v>30</v>
      </c>
    </row>
    <row r="1104">
      <c r="A1104" s="17" t="s">
        <v>1087</v>
      </c>
      <c r="B1104" s="18">
        <v>50000.0</v>
      </c>
      <c r="C1104" s="19">
        <f t="shared" si="285"/>
        <v>875</v>
      </c>
      <c r="D1104" s="20">
        <v>45908.0</v>
      </c>
      <c r="E1104" s="17" t="s">
        <v>15</v>
      </c>
      <c r="F1104" s="17" t="s">
        <v>28</v>
      </c>
      <c r="H1104" s="31" t="s">
        <v>16</v>
      </c>
      <c r="I1104" s="35" t="s">
        <v>30</v>
      </c>
      <c r="K1104" s="17">
        <v>200.0</v>
      </c>
    </row>
    <row r="1105">
      <c r="A1105" s="17" t="s">
        <v>1088</v>
      </c>
      <c r="B1105" s="18">
        <v>80000.0</v>
      </c>
      <c r="C1105" s="19">
        <f>0.0125*B1105</f>
        <v>1000</v>
      </c>
      <c r="D1105" s="20">
        <v>45908.0</v>
      </c>
      <c r="E1105" s="17" t="s">
        <v>21</v>
      </c>
      <c r="F1105" s="17" t="s">
        <v>12</v>
      </c>
      <c r="H1105" s="17" t="s">
        <v>22</v>
      </c>
    </row>
    <row r="1106">
      <c r="A1106" s="17" t="s">
        <v>1089</v>
      </c>
      <c r="B1106" s="18">
        <v>65000.0</v>
      </c>
      <c r="C1106" s="19">
        <f t="shared" ref="C1106:C1107" si="286">0.0175*B1106</f>
        <v>1137.5</v>
      </c>
      <c r="D1106" s="20">
        <v>45909.0</v>
      </c>
      <c r="E1106" s="17" t="s">
        <v>24</v>
      </c>
      <c r="F1106" s="17" t="s">
        <v>28</v>
      </c>
      <c r="H1106" s="17" t="s">
        <v>642</v>
      </c>
      <c r="I1106" s="35" t="s">
        <v>30</v>
      </c>
    </row>
    <row r="1107">
      <c r="A1107" s="17" t="s">
        <v>1090</v>
      </c>
      <c r="B1107" s="18">
        <v>2000000.0</v>
      </c>
      <c r="C1107" s="19">
        <f t="shared" si="286"/>
        <v>35000</v>
      </c>
      <c r="D1107" s="20">
        <v>45909.0</v>
      </c>
      <c r="E1107" s="17" t="s">
        <v>118</v>
      </c>
      <c r="F1107" s="17" t="s">
        <v>28</v>
      </c>
      <c r="H1107" s="17" t="s">
        <v>13</v>
      </c>
      <c r="I1107" s="35" t="s">
        <v>30</v>
      </c>
    </row>
    <row r="1108">
      <c r="A1108" s="17" t="s">
        <v>543</v>
      </c>
      <c r="B1108" s="18">
        <v>124000.0</v>
      </c>
      <c r="C1108" s="19">
        <f>0.0125*B1108</f>
        <v>1550</v>
      </c>
      <c r="D1108" s="20">
        <v>45909.0</v>
      </c>
      <c r="E1108" s="17" t="s">
        <v>73</v>
      </c>
      <c r="F1108" s="17" t="s">
        <v>12</v>
      </c>
    </row>
    <row r="1109">
      <c r="A1109" s="17" t="s">
        <v>1091</v>
      </c>
      <c r="B1109" s="18">
        <v>250000.0</v>
      </c>
      <c r="C1109" s="19">
        <f>0.0175*B1109</f>
        <v>4375</v>
      </c>
      <c r="D1109" s="20">
        <v>45909.0</v>
      </c>
      <c r="E1109" s="17" t="s">
        <v>15</v>
      </c>
      <c r="F1109" s="17" t="s">
        <v>28</v>
      </c>
      <c r="H1109" s="31" t="s">
        <v>220</v>
      </c>
      <c r="I1109" s="35" t="s">
        <v>30</v>
      </c>
      <c r="K1109" s="17">
        <v>875.0</v>
      </c>
    </row>
    <row r="1110">
      <c r="A1110" s="17" t="s">
        <v>1092</v>
      </c>
      <c r="B1110" s="18">
        <v>65000.0</v>
      </c>
      <c r="C1110" s="19">
        <f>0.0125*B1110</f>
        <v>812.5</v>
      </c>
      <c r="D1110" s="20">
        <v>45909.0</v>
      </c>
      <c r="E1110" s="17" t="s">
        <v>73</v>
      </c>
      <c r="F1110" s="17" t="s">
        <v>12</v>
      </c>
      <c r="H1110" s="31"/>
    </row>
    <row r="1111">
      <c r="A1111" s="17" t="s">
        <v>1093</v>
      </c>
      <c r="B1111" s="18">
        <v>80000.0</v>
      </c>
      <c r="C1111" s="33">
        <f t="shared" ref="C1111:C1120" si="287">0.0175*B1111</f>
        <v>1400</v>
      </c>
      <c r="D1111" s="20">
        <v>45909.0</v>
      </c>
      <c r="E1111" s="17" t="s">
        <v>15</v>
      </c>
      <c r="F1111" s="17" t="s">
        <v>28</v>
      </c>
      <c r="H1111" s="31" t="s">
        <v>282</v>
      </c>
      <c r="I1111" s="35" t="s">
        <v>30</v>
      </c>
      <c r="K1111" s="17">
        <v>80.0</v>
      </c>
    </row>
    <row r="1112">
      <c r="A1112" s="17" t="s">
        <v>1094</v>
      </c>
      <c r="B1112" s="18">
        <v>80000.0</v>
      </c>
      <c r="C1112" s="19">
        <f t="shared" si="287"/>
        <v>1400</v>
      </c>
      <c r="D1112" s="20">
        <v>45909.0</v>
      </c>
      <c r="E1112" s="17" t="s">
        <v>15</v>
      </c>
      <c r="F1112" s="17" t="s">
        <v>144</v>
      </c>
      <c r="H1112" s="31" t="s">
        <v>16</v>
      </c>
      <c r="K1112" s="17">
        <v>320.0</v>
      </c>
    </row>
    <row r="1113">
      <c r="A1113" s="17" t="s">
        <v>1095</v>
      </c>
      <c r="B1113" s="18">
        <v>30000.0</v>
      </c>
      <c r="C1113" s="19">
        <f t="shared" si="287"/>
        <v>525</v>
      </c>
      <c r="D1113" s="20">
        <v>45909.0</v>
      </c>
      <c r="E1113" s="17" t="s">
        <v>15</v>
      </c>
      <c r="F1113" s="17" t="s">
        <v>28</v>
      </c>
      <c r="H1113" s="31" t="s">
        <v>54</v>
      </c>
      <c r="I1113" s="35" t="s">
        <v>30</v>
      </c>
      <c r="K1113" s="17">
        <v>180.0</v>
      </c>
    </row>
    <row r="1114">
      <c r="A1114" s="17" t="s">
        <v>1096</v>
      </c>
      <c r="B1114" s="18">
        <v>30000.0</v>
      </c>
      <c r="C1114" s="19">
        <f t="shared" si="287"/>
        <v>525</v>
      </c>
      <c r="D1114" s="20">
        <v>45909.0</v>
      </c>
      <c r="E1114" s="17" t="s">
        <v>804</v>
      </c>
      <c r="F1114" s="17" t="s">
        <v>28</v>
      </c>
      <c r="H1114" s="17" t="s">
        <v>13</v>
      </c>
      <c r="I1114" s="35" t="s">
        <v>30</v>
      </c>
    </row>
    <row r="1115">
      <c r="A1115" s="17" t="s">
        <v>1097</v>
      </c>
      <c r="B1115" s="18">
        <v>20000.0</v>
      </c>
      <c r="C1115" s="19">
        <f t="shared" si="287"/>
        <v>350</v>
      </c>
      <c r="D1115" s="20">
        <v>45909.0</v>
      </c>
      <c r="E1115" s="17" t="s">
        <v>15</v>
      </c>
      <c r="F1115" s="17" t="s">
        <v>12</v>
      </c>
      <c r="H1115" s="31" t="s">
        <v>98</v>
      </c>
      <c r="K1115" s="17">
        <v>60.0</v>
      </c>
    </row>
    <row r="1116">
      <c r="A1116" s="17" t="s">
        <v>1098</v>
      </c>
      <c r="B1116" s="18">
        <v>85000.0</v>
      </c>
      <c r="C1116" s="19">
        <f t="shared" si="287"/>
        <v>1487.5</v>
      </c>
      <c r="D1116" s="20">
        <v>45909.0</v>
      </c>
      <c r="E1116" s="17" t="s">
        <v>60</v>
      </c>
      <c r="F1116" s="17" t="s">
        <v>28</v>
      </c>
      <c r="I1116" s="35" t="s">
        <v>30</v>
      </c>
    </row>
    <row r="1117">
      <c r="A1117" s="17" t="s">
        <v>1099</v>
      </c>
      <c r="B1117" s="18">
        <v>150000.0</v>
      </c>
      <c r="C1117" s="19">
        <f t="shared" si="287"/>
        <v>2625</v>
      </c>
      <c r="D1117" s="20">
        <v>45909.0</v>
      </c>
      <c r="E1117" s="17" t="s">
        <v>11</v>
      </c>
      <c r="F1117" s="17" t="s">
        <v>28</v>
      </c>
      <c r="I1117" s="35" t="s">
        <v>30</v>
      </c>
    </row>
    <row r="1118">
      <c r="A1118" s="17" t="s">
        <v>1100</v>
      </c>
      <c r="B1118" s="18">
        <v>100000.0</v>
      </c>
      <c r="C1118" s="19">
        <f t="shared" si="287"/>
        <v>1750</v>
      </c>
      <c r="D1118" s="20">
        <v>45909.0</v>
      </c>
      <c r="E1118" s="17" t="s">
        <v>73</v>
      </c>
      <c r="F1118" s="17" t="s">
        <v>28</v>
      </c>
      <c r="H1118" s="17" t="s">
        <v>1101</v>
      </c>
    </row>
    <row r="1119">
      <c r="A1119" s="17" t="s">
        <v>1102</v>
      </c>
      <c r="B1119" s="18">
        <v>80000.0</v>
      </c>
      <c r="C1119" s="19">
        <f t="shared" si="287"/>
        <v>1400</v>
      </c>
      <c r="D1119" s="20">
        <v>45909.0</v>
      </c>
      <c r="E1119" s="17" t="s">
        <v>24</v>
      </c>
      <c r="F1119" s="17" t="s">
        <v>28</v>
      </c>
      <c r="H1119" s="17" t="s">
        <v>642</v>
      </c>
      <c r="I1119" s="35" t="s">
        <v>30</v>
      </c>
    </row>
    <row r="1120">
      <c r="A1120" s="17" t="s">
        <v>1103</v>
      </c>
      <c r="B1120" s="18">
        <v>100000.0</v>
      </c>
      <c r="C1120" s="19">
        <f t="shared" si="287"/>
        <v>1750</v>
      </c>
      <c r="D1120" s="20">
        <v>45909.0</v>
      </c>
      <c r="E1120" s="17" t="s">
        <v>24</v>
      </c>
      <c r="F1120" s="17" t="s">
        <v>28</v>
      </c>
      <c r="H1120" s="17" t="s">
        <v>642</v>
      </c>
      <c r="I1120" s="35" t="s">
        <v>30</v>
      </c>
    </row>
    <row r="1121">
      <c r="A1121" s="17" t="s">
        <v>1104</v>
      </c>
      <c r="B1121" s="18">
        <v>250000.0</v>
      </c>
      <c r="C1121" s="19">
        <f>0.0125*B1121</f>
        <v>3125</v>
      </c>
      <c r="D1121" s="20">
        <v>45909.0</v>
      </c>
      <c r="E1121" s="17" t="s">
        <v>11</v>
      </c>
      <c r="F1121" s="17" t="s">
        <v>12</v>
      </c>
    </row>
    <row r="1122">
      <c r="A1122" s="17" t="s">
        <v>1105</v>
      </c>
      <c r="B1122" s="18">
        <v>75000.0</v>
      </c>
      <c r="C1122" s="19">
        <f>0.0175*B1122</f>
        <v>1312.5</v>
      </c>
      <c r="D1122" s="20">
        <v>45909.0</v>
      </c>
      <c r="E1122" s="17" t="s">
        <v>60</v>
      </c>
      <c r="F1122" s="17" t="s">
        <v>28</v>
      </c>
      <c r="I1122" s="35" t="s">
        <v>30</v>
      </c>
    </row>
    <row r="1123">
      <c r="A1123" s="17" t="s">
        <v>542</v>
      </c>
      <c r="B1123" s="18">
        <v>175000.0</v>
      </c>
      <c r="C1123" s="19">
        <f t="shared" ref="C1123:C1125" si="288">0.0125*B1123</f>
        <v>2187.5</v>
      </c>
      <c r="D1123" s="20">
        <v>45910.0</v>
      </c>
      <c r="E1123" s="17" t="s">
        <v>1106</v>
      </c>
      <c r="F1123" s="17" t="s">
        <v>12</v>
      </c>
    </row>
    <row r="1124">
      <c r="A1124" s="17" t="s">
        <v>1107</v>
      </c>
      <c r="B1124" s="18">
        <v>553300.0</v>
      </c>
      <c r="C1124" s="19">
        <f t="shared" si="288"/>
        <v>6916.25</v>
      </c>
      <c r="D1124" s="20">
        <v>45910.0</v>
      </c>
      <c r="E1124" s="17" t="s">
        <v>24</v>
      </c>
      <c r="F1124" s="17" t="s">
        <v>12</v>
      </c>
      <c r="H1124" s="17" t="s">
        <v>996</v>
      </c>
    </row>
    <row r="1125">
      <c r="A1125" s="17" t="s">
        <v>1108</v>
      </c>
      <c r="B1125" s="18">
        <v>115000.0</v>
      </c>
      <c r="C1125" s="19">
        <f t="shared" si="288"/>
        <v>1437.5</v>
      </c>
      <c r="D1125" s="20">
        <v>45910.0</v>
      </c>
      <c r="E1125" s="17" t="s">
        <v>1106</v>
      </c>
      <c r="F1125" s="17" t="s">
        <v>12</v>
      </c>
    </row>
    <row r="1126">
      <c r="A1126" s="17" t="s">
        <v>1109</v>
      </c>
      <c r="B1126" s="18">
        <v>50000.0</v>
      </c>
      <c r="C1126" s="19">
        <f t="shared" ref="C1126:C1131" si="289">0.0175*B1126</f>
        <v>875</v>
      </c>
      <c r="D1126" s="20">
        <v>45910.0</v>
      </c>
      <c r="E1126" s="17" t="s">
        <v>1110</v>
      </c>
      <c r="F1126" s="17" t="s">
        <v>28</v>
      </c>
      <c r="H1126" s="31" t="s">
        <v>54</v>
      </c>
      <c r="I1126" s="35" t="s">
        <v>30</v>
      </c>
      <c r="K1126" s="17">
        <v>300.0</v>
      </c>
    </row>
    <row r="1127">
      <c r="A1127" s="17" t="s">
        <v>1111</v>
      </c>
      <c r="B1127" s="18">
        <v>225000.0</v>
      </c>
      <c r="C1127" s="19">
        <f t="shared" si="289"/>
        <v>3937.5</v>
      </c>
      <c r="D1127" s="20">
        <v>45910.0</v>
      </c>
      <c r="E1127" s="17" t="s">
        <v>899</v>
      </c>
      <c r="F1127" s="17" t="s">
        <v>28</v>
      </c>
      <c r="I1127" s="35" t="s">
        <v>30</v>
      </c>
    </row>
    <row r="1128">
      <c r="A1128" s="17" t="s">
        <v>1112</v>
      </c>
      <c r="B1128" s="18">
        <v>140000.0</v>
      </c>
      <c r="C1128" s="19">
        <f t="shared" si="289"/>
        <v>2450</v>
      </c>
      <c r="D1128" s="20">
        <v>45911.0</v>
      </c>
      <c r="E1128" s="17" t="s">
        <v>60</v>
      </c>
      <c r="F1128" s="17" t="s">
        <v>28</v>
      </c>
      <c r="I1128" s="35" t="s">
        <v>30</v>
      </c>
    </row>
    <row r="1129">
      <c r="A1129" s="17" t="s">
        <v>1113</v>
      </c>
      <c r="B1129" s="18">
        <v>20000.0</v>
      </c>
      <c r="C1129" s="19">
        <f t="shared" si="289"/>
        <v>350</v>
      </c>
      <c r="D1129" s="20">
        <v>45911.0</v>
      </c>
      <c r="E1129" s="17" t="s">
        <v>15</v>
      </c>
      <c r="F1129" s="17" t="s">
        <v>28</v>
      </c>
      <c r="H1129" s="31" t="s">
        <v>16</v>
      </c>
      <c r="I1129" s="35" t="s">
        <v>30</v>
      </c>
    </row>
    <row r="1130">
      <c r="A1130" s="17" t="s">
        <v>1114</v>
      </c>
      <c r="B1130" s="18">
        <v>50000.0</v>
      </c>
      <c r="C1130" s="19">
        <f t="shared" si="289"/>
        <v>875</v>
      </c>
      <c r="D1130" s="20">
        <v>45911.0</v>
      </c>
      <c r="E1130" s="17" t="s">
        <v>21</v>
      </c>
      <c r="F1130" s="17" t="s">
        <v>28</v>
      </c>
      <c r="H1130" s="17" t="s">
        <v>13</v>
      </c>
      <c r="I1130" s="35" t="s">
        <v>30</v>
      </c>
    </row>
    <row r="1131">
      <c r="A1131" s="17" t="s">
        <v>752</v>
      </c>
      <c r="B1131" s="18">
        <v>40000.0</v>
      </c>
      <c r="C1131" s="19">
        <f t="shared" si="289"/>
        <v>700</v>
      </c>
      <c r="D1131" s="20">
        <v>45911.0</v>
      </c>
      <c r="E1131" s="17" t="s">
        <v>11</v>
      </c>
      <c r="F1131" s="17" t="s">
        <v>67</v>
      </c>
    </row>
    <row r="1132">
      <c r="A1132" s="17" t="s">
        <v>1115</v>
      </c>
      <c r="B1132" s="18">
        <v>150000.0</v>
      </c>
      <c r="C1132" s="19">
        <f t="shared" ref="C1132:C1134" si="290">0.0125*B1132</f>
        <v>1875</v>
      </c>
      <c r="D1132" s="20">
        <v>45911.0</v>
      </c>
      <c r="E1132" s="17" t="s">
        <v>11</v>
      </c>
      <c r="F1132" s="17" t="s">
        <v>12</v>
      </c>
    </row>
    <row r="1133">
      <c r="A1133" s="17" t="s">
        <v>94</v>
      </c>
      <c r="B1133" s="18">
        <v>20000.0</v>
      </c>
      <c r="C1133" s="19">
        <f t="shared" si="290"/>
        <v>250</v>
      </c>
      <c r="D1133" s="20">
        <v>45911.0</v>
      </c>
      <c r="E1133" s="17" t="s">
        <v>15</v>
      </c>
      <c r="F1133" s="17" t="s">
        <v>144</v>
      </c>
      <c r="H1133" s="31" t="s">
        <v>51</v>
      </c>
    </row>
    <row r="1134">
      <c r="A1134" s="17" t="s">
        <v>1116</v>
      </c>
      <c r="B1134" s="18">
        <v>600000.0</v>
      </c>
      <c r="C1134" s="19">
        <f t="shared" si="290"/>
        <v>7500</v>
      </c>
      <c r="D1134" s="20">
        <v>45911.0</v>
      </c>
      <c r="E1134" s="17" t="s">
        <v>1110</v>
      </c>
      <c r="F1134" s="17" t="s">
        <v>12</v>
      </c>
      <c r="H1134" s="31" t="s">
        <v>1117</v>
      </c>
      <c r="K1134" s="17">
        <v>450.0</v>
      </c>
    </row>
    <row r="1135">
      <c r="A1135" s="17" t="s">
        <v>1118</v>
      </c>
      <c r="B1135" s="18">
        <v>85000.0</v>
      </c>
      <c r="C1135" s="19">
        <f t="shared" ref="C1135:C1137" si="291">0.0175*B1135</f>
        <v>1487.5</v>
      </c>
      <c r="D1135" s="20">
        <v>45911.0</v>
      </c>
      <c r="E1135" s="17" t="s">
        <v>118</v>
      </c>
      <c r="F1135" s="17" t="s">
        <v>28</v>
      </c>
      <c r="H1135" s="17" t="s">
        <v>13</v>
      </c>
      <c r="I1135" s="35" t="s">
        <v>30</v>
      </c>
    </row>
    <row r="1136">
      <c r="A1136" s="17" t="s">
        <v>1119</v>
      </c>
      <c r="B1136" s="18">
        <v>35000.0</v>
      </c>
      <c r="C1136" s="19">
        <f t="shared" si="291"/>
        <v>612.5</v>
      </c>
      <c r="D1136" s="20">
        <v>45911.0</v>
      </c>
      <c r="E1136" s="17" t="s">
        <v>15</v>
      </c>
      <c r="F1136" s="17" t="s">
        <v>28</v>
      </c>
      <c r="H1136" s="31" t="s">
        <v>220</v>
      </c>
      <c r="I1136" s="35" t="s">
        <v>30</v>
      </c>
    </row>
    <row r="1137">
      <c r="A1137" s="17" t="s">
        <v>1120</v>
      </c>
      <c r="B1137" s="18">
        <v>125000.0</v>
      </c>
      <c r="C1137" s="19">
        <f t="shared" si="291"/>
        <v>2187.5</v>
      </c>
      <c r="D1137" s="20">
        <v>45912.0</v>
      </c>
      <c r="E1137" s="17" t="s">
        <v>24</v>
      </c>
      <c r="F1137" s="17" t="s">
        <v>28</v>
      </c>
      <c r="H1137" s="17" t="s">
        <v>642</v>
      </c>
      <c r="I1137" s="35" t="s">
        <v>30</v>
      </c>
    </row>
    <row r="1138">
      <c r="A1138" s="17" t="s">
        <v>109</v>
      </c>
      <c r="B1138" s="18">
        <v>500000.0</v>
      </c>
      <c r="C1138" s="19">
        <f t="shared" ref="C1138:C1139" si="292">0.0125*B1138</f>
        <v>6250</v>
      </c>
      <c r="D1138" s="20">
        <v>45912.0</v>
      </c>
      <c r="E1138" s="17" t="s">
        <v>11</v>
      </c>
      <c r="F1138" s="17" t="s">
        <v>12</v>
      </c>
    </row>
    <row r="1139">
      <c r="A1139" s="17" t="s">
        <v>1121</v>
      </c>
      <c r="B1139" s="18">
        <v>180000.0</v>
      </c>
      <c r="C1139" s="19">
        <f t="shared" si="292"/>
        <v>2250</v>
      </c>
      <c r="D1139" s="20">
        <v>45912.0</v>
      </c>
      <c r="E1139" s="17" t="s">
        <v>24</v>
      </c>
      <c r="F1139" s="17" t="s">
        <v>12</v>
      </c>
      <c r="H1139" s="17" t="s">
        <v>996</v>
      </c>
    </row>
    <row r="1140">
      <c r="A1140" s="17" t="s">
        <v>225</v>
      </c>
      <c r="B1140" s="18">
        <v>150000.0</v>
      </c>
      <c r="C1140" s="19">
        <f t="shared" ref="C1140:C1142" si="293">0.0175*B1140</f>
        <v>2625</v>
      </c>
      <c r="D1140" s="20">
        <v>45912.0</v>
      </c>
      <c r="E1140" s="17" t="s">
        <v>15</v>
      </c>
      <c r="F1140" s="17" t="s">
        <v>28</v>
      </c>
      <c r="H1140" s="31" t="s">
        <v>220</v>
      </c>
      <c r="K1140" s="17">
        <v>525.0</v>
      </c>
    </row>
    <row r="1141">
      <c r="A1141" s="17" t="s">
        <v>1122</v>
      </c>
      <c r="B1141" s="18">
        <v>75000.0</v>
      </c>
      <c r="C1141" s="19">
        <f t="shared" si="293"/>
        <v>1312.5</v>
      </c>
      <c r="D1141" s="20">
        <v>45912.0</v>
      </c>
      <c r="E1141" s="17" t="s">
        <v>11</v>
      </c>
      <c r="F1141" s="17" t="s">
        <v>28</v>
      </c>
      <c r="I1141" s="35" t="s">
        <v>30</v>
      </c>
    </row>
    <row r="1142">
      <c r="A1142" s="17" t="s">
        <v>1123</v>
      </c>
      <c r="B1142" s="18">
        <v>300000.0</v>
      </c>
      <c r="C1142" s="19">
        <f t="shared" si="293"/>
        <v>5250</v>
      </c>
      <c r="D1142" s="20">
        <v>45912.0</v>
      </c>
      <c r="E1142" s="17" t="s">
        <v>11</v>
      </c>
      <c r="F1142" s="17" t="s">
        <v>41</v>
      </c>
    </row>
    <row r="1143">
      <c r="A1143" s="17" t="s">
        <v>564</v>
      </c>
      <c r="B1143" s="18">
        <v>125000.0</v>
      </c>
      <c r="C1143" s="19">
        <f>0.0125*B1143</f>
        <v>1562.5</v>
      </c>
      <c r="D1143" s="20">
        <v>45912.0</v>
      </c>
      <c r="E1143" s="17" t="s">
        <v>24</v>
      </c>
      <c r="F1143" s="17" t="s">
        <v>12</v>
      </c>
      <c r="H1143" s="17" t="s">
        <v>996</v>
      </c>
    </row>
    <row r="1144">
      <c r="A1144" s="17" t="s">
        <v>1124</v>
      </c>
      <c r="B1144" s="18">
        <v>50000.0</v>
      </c>
      <c r="C1144" s="19">
        <f>0.0175*B1144</f>
        <v>875</v>
      </c>
      <c r="D1144" s="20">
        <v>45915.0</v>
      </c>
      <c r="E1144" s="17" t="s">
        <v>24</v>
      </c>
      <c r="F1144" s="17" t="s">
        <v>28</v>
      </c>
      <c r="H1144" s="17" t="s">
        <v>924</v>
      </c>
      <c r="I1144" s="35" t="s">
        <v>30</v>
      </c>
    </row>
    <row r="1145">
      <c r="A1145" s="17" t="s">
        <v>1125</v>
      </c>
      <c r="B1145" s="18">
        <v>225000.0</v>
      </c>
      <c r="C1145" s="19">
        <f>0.0125*B1145</f>
        <v>2812.5</v>
      </c>
      <c r="D1145" s="20">
        <v>45915.0</v>
      </c>
      <c r="E1145" s="17" t="s">
        <v>11</v>
      </c>
      <c r="F1145" s="17" t="s">
        <v>12</v>
      </c>
      <c r="H1145" s="17"/>
    </row>
    <row r="1146">
      <c r="A1146" s="17" t="s">
        <v>1114</v>
      </c>
      <c r="B1146" s="18">
        <v>50000.0</v>
      </c>
      <c r="C1146" s="19">
        <f t="shared" ref="C1146:C1150" si="294">0.0175*B1146</f>
        <v>875</v>
      </c>
      <c r="D1146" s="20">
        <v>45915.0</v>
      </c>
      <c r="E1146" s="17" t="s">
        <v>21</v>
      </c>
      <c r="F1146" s="17" t="s">
        <v>28</v>
      </c>
      <c r="H1146" s="17" t="s">
        <v>13</v>
      </c>
      <c r="I1146" s="35" t="s">
        <v>30</v>
      </c>
    </row>
    <row r="1147">
      <c r="A1147" s="17" t="s">
        <v>1126</v>
      </c>
      <c r="B1147" s="18">
        <v>125000.0</v>
      </c>
      <c r="C1147" s="19">
        <f t="shared" si="294"/>
        <v>2187.5</v>
      </c>
      <c r="D1147" s="20">
        <v>45915.0</v>
      </c>
      <c r="E1147" s="17" t="s">
        <v>118</v>
      </c>
      <c r="F1147" s="17" t="s">
        <v>28</v>
      </c>
      <c r="H1147" s="17" t="s">
        <v>13</v>
      </c>
    </row>
    <row r="1148">
      <c r="A1148" s="17" t="s">
        <v>1127</v>
      </c>
      <c r="B1148" s="18">
        <v>100000.0</v>
      </c>
      <c r="C1148" s="19">
        <f t="shared" si="294"/>
        <v>1750</v>
      </c>
      <c r="D1148" s="20">
        <v>45915.0</v>
      </c>
      <c r="E1148" s="17" t="s">
        <v>457</v>
      </c>
      <c r="F1148" s="17" t="s">
        <v>28</v>
      </c>
      <c r="H1148" s="31" t="s">
        <v>390</v>
      </c>
      <c r="K1148" s="17">
        <v>50.0</v>
      </c>
    </row>
    <row r="1149">
      <c r="A1149" s="17" t="s">
        <v>1128</v>
      </c>
      <c r="B1149" s="18">
        <v>250000.0</v>
      </c>
      <c r="C1149" s="19">
        <f t="shared" si="294"/>
        <v>4375</v>
      </c>
      <c r="D1149" s="20">
        <v>45915.0</v>
      </c>
      <c r="E1149" s="17" t="s">
        <v>11</v>
      </c>
      <c r="F1149" s="17" t="s">
        <v>28</v>
      </c>
      <c r="I1149" s="35" t="s">
        <v>30</v>
      </c>
    </row>
    <row r="1150">
      <c r="A1150" s="17" t="s">
        <v>1129</v>
      </c>
      <c r="B1150" s="18">
        <v>300000.0</v>
      </c>
      <c r="C1150" s="19">
        <f t="shared" si="294"/>
        <v>5250</v>
      </c>
      <c r="D1150" s="20">
        <v>45915.0</v>
      </c>
      <c r="E1150" s="17" t="s">
        <v>60</v>
      </c>
      <c r="F1150" s="17" t="s">
        <v>28</v>
      </c>
      <c r="I1150" s="35" t="s">
        <v>30</v>
      </c>
    </row>
    <row r="1151">
      <c r="A1151" s="17" t="s">
        <v>1130</v>
      </c>
      <c r="B1151" s="18">
        <v>505000.0</v>
      </c>
      <c r="C1151" s="19">
        <f t="shared" ref="C1151:C1153" si="295">0.0125*B1151</f>
        <v>6312.5</v>
      </c>
      <c r="D1151" s="20">
        <v>45915.0</v>
      </c>
      <c r="E1151" s="17" t="s">
        <v>24</v>
      </c>
      <c r="F1151" s="17" t="s">
        <v>12</v>
      </c>
      <c r="H1151" s="17" t="s">
        <v>996</v>
      </c>
    </row>
    <row r="1152">
      <c r="A1152" s="17" t="s">
        <v>1131</v>
      </c>
      <c r="B1152" s="18">
        <v>45000.0</v>
      </c>
      <c r="C1152" s="19">
        <f t="shared" si="295"/>
        <v>562.5</v>
      </c>
      <c r="D1152" s="20">
        <v>45916.0</v>
      </c>
      <c r="E1152" s="17" t="s">
        <v>15</v>
      </c>
      <c r="F1152" s="17" t="s">
        <v>12</v>
      </c>
      <c r="H1152" s="31" t="s">
        <v>51</v>
      </c>
      <c r="K1152" s="17">
        <v>225.0</v>
      </c>
    </row>
    <row r="1153">
      <c r="A1153" s="17" t="s">
        <v>1132</v>
      </c>
      <c r="B1153" s="18">
        <v>150000.0</v>
      </c>
      <c r="C1153" s="19">
        <f t="shared" si="295"/>
        <v>1875</v>
      </c>
      <c r="D1153" s="20">
        <v>45916.0</v>
      </c>
      <c r="E1153" s="17" t="s">
        <v>11</v>
      </c>
      <c r="F1153" s="17" t="s">
        <v>12</v>
      </c>
    </row>
    <row r="1154">
      <c r="A1154" s="17" t="s">
        <v>1133</v>
      </c>
      <c r="B1154" s="18">
        <v>350000.0</v>
      </c>
      <c r="C1154" s="19">
        <f t="shared" ref="C1154:C1155" si="296">0.0175*B1154</f>
        <v>6125</v>
      </c>
      <c r="D1154" s="20">
        <v>45916.0</v>
      </c>
      <c r="E1154" s="17" t="s">
        <v>11</v>
      </c>
      <c r="F1154" s="17" t="s">
        <v>41</v>
      </c>
      <c r="I1154" s="35" t="s">
        <v>30</v>
      </c>
    </row>
    <row r="1155">
      <c r="A1155" s="17" t="s">
        <v>758</v>
      </c>
      <c r="B1155" s="18">
        <v>10000.0</v>
      </c>
      <c r="C1155" s="19">
        <f t="shared" si="296"/>
        <v>175</v>
      </c>
      <c r="D1155" s="20">
        <v>45916.0</v>
      </c>
      <c r="E1155" s="17" t="s">
        <v>11</v>
      </c>
      <c r="F1155" s="17" t="s">
        <v>67</v>
      </c>
    </row>
    <row r="1156">
      <c r="A1156" s="17" t="s">
        <v>1134</v>
      </c>
      <c r="B1156" s="18">
        <v>150000.0</v>
      </c>
      <c r="C1156" s="19">
        <f t="shared" ref="C1156:C1157" si="297">0.0125*B1156</f>
        <v>1875</v>
      </c>
      <c r="D1156" s="20">
        <v>45916.0</v>
      </c>
      <c r="E1156" s="17" t="s">
        <v>11</v>
      </c>
      <c r="F1156" s="17" t="s">
        <v>12</v>
      </c>
    </row>
    <row r="1157">
      <c r="A1157" s="17" t="s">
        <v>1135</v>
      </c>
      <c r="B1157" s="18">
        <v>135000.0</v>
      </c>
      <c r="C1157" s="19">
        <f t="shared" si="297"/>
        <v>1687.5</v>
      </c>
      <c r="D1157" s="20">
        <v>45916.0</v>
      </c>
      <c r="E1157" s="17" t="s">
        <v>11</v>
      </c>
      <c r="F1157" s="17" t="s">
        <v>12</v>
      </c>
    </row>
    <row r="1158">
      <c r="A1158" s="17" t="s">
        <v>1136</v>
      </c>
      <c r="B1158" s="18">
        <v>80000.0</v>
      </c>
      <c r="C1158" s="19">
        <f t="shared" ref="C1158:C1159" si="298">0.0175*B1158</f>
        <v>1400</v>
      </c>
      <c r="D1158" s="20">
        <v>45916.0</v>
      </c>
      <c r="E1158" s="17" t="s">
        <v>11</v>
      </c>
      <c r="F1158" s="17" t="s">
        <v>41</v>
      </c>
      <c r="I1158" s="35" t="s">
        <v>30</v>
      </c>
    </row>
    <row r="1159">
      <c r="A1159" s="17" t="s">
        <v>1137</v>
      </c>
      <c r="B1159" s="32">
        <v>425000.0</v>
      </c>
      <c r="C1159" s="33">
        <f t="shared" si="298"/>
        <v>7437.5</v>
      </c>
      <c r="D1159" s="20">
        <v>45916.0</v>
      </c>
      <c r="E1159" s="17" t="s">
        <v>1018</v>
      </c>
      <c r="F1159" s="17" t="s">
        <v>28</v>
      </c>
      <c r="H1159" s="17" t="s">
        <v>13</v>
      </c>
      <c r="I1159" s="35" t="s">
        <v>30</v>
      </c>
    </row>
    <row r="1160">
      <c r="A1160" s="17" t="s">
        <v>1138</v>
      </c>
      <c r="B1160" s="32">
        <v>1950000.0</v>
      </c>
      <c r="C1160" s="33">
        <f t="shared" ref="C1160:C1161" si="299">0.0125*B1160</f>
        <v>24375</v>
      </c>
      <c r="D1160" s="20">
        <v>45917.0</v>
      </c>
      <c r="E1160" s="17" t="s">
        <v>118</v>
      </c>
      <c r="F1160" s="17" t="s">
        <v>12</v>
      </c>
      <c r="H1160" s="17" t="s">
        <v>1139</v>
      </c>
    </row>
    <row r="1161">
      <c r="A1161" s="17" t="s">
        <v>454</v>
      </c>
      <c r="B1161" s="32">
        <v>420000.0</v>
      </c>
      <c r="C1161" s="33">
        <f t="shared" si="299"/>
        <v>5250</v>
      </c>
      <c r="D1161" s="20">
        <v>45917.0</v>
      </c>
      <c r="E1161" s="17" t="s">
        <v>11</v>
      </c>
      <c r="F1161" s="17" t="s">
        <v>12</v>
      </c>
    </row>
    <row r="1162">
      <c r="A1162" s="17" t="s">
        <v>1113</v>
      </c>
      <c r="B1162" s="32">
        <v>10000.0</v>
      </c>
      <c r="C1162" s="33">
        <f t="shared" ref="C1162:C1164" si="300">0.0175*B1162</f>
        <v>175</v>
      </c>
      <c r="D1162" s="20">
        <v>45917.0</v>
      </c>
      <c r="E1162" s="17" t="s">
        <v>15</v>
      </c>
      <c r="F1162" s="17" t="s">
        <v>67</v>
      </c>
      <c r="H1162" s="31" t="s">
        <v>16</v>
      </c>
      <c r="I1162" s="35" t="s">
        <v>30</v>
      </c>
      <c r="K1162" s="17">
        <v>40.0</v>
      </c>
    </row>
    <row r="1163">
      <c r="A1163" s="17" t="s">
        <v>1140</v>
      </c>
      <c r="B1163" s="32">
        <v>250000.0</v>
      </c>
      <c r="C1163" s="33">
        <f t="shared" si="300"/>
        <v>4375</v>
      </c>
      <c r="D1163" s="20">
        <v>45917.0</v>
      </c>
      <c r="E1163" s="17" t="s">
        <v>92</v>
      </c>
      <c r="F1163" s="17" t="s">
        <v>28</v>
      </c>
    </row>
    <row r="1164">
      <c r="A1164" s="17" t="s">
        <v>1141</v>
      </c>
      <c r="B1164" s="32">
        <v>60000.0</v>
      </c>
      <c r="C1164" s="33">
        <f t="shared" si="300"/>
        <v>1050</v>
      </c>
      <c r="D1164" s="20">
        <v>45918.0</v>
      </c>
      <c r="E1164" s="17" t="s">
        <v>118</v>
      </c>
      <c r="F1164" s="17" t="s">
        <v>28</v>
      </c>
      <c r="H1164" s="17" t="s">
        <v>13</v>
      </c>
      <c r="I1164" s="35" t="s">
        <v>30</v>
      </c>
    </row>
    <row r="1165">
      <c r="A1165" s="17" t="s">
        <v>1142</v>
      </c>
      <c r="B1165" s="32">
        <v>50000.0</v>
      </c>
      <c r="C1165" s="33">
        <f t="shared" ref="C1165:C1168" si="301">0.0125*B1165</f>
        <v>625</v>
      </c>
      <c r="D1165" s="20">
        <v>45918.0</v>
      </c>
      <c r="E1165" s="17" t="s">
        <v>11</v>
      </c>
      <c r="F1165" s="17" t="s">
        <v>144</v>
      </c>
    </row>
    <row r="1166">
      <c r="A1166" s="17" t="s">
        <v>1143</v>
      </c>
      <c r="B1166" s="32">
        <v>1200000.0</v>
      </c>
      <c r="C1166" s="33">
        <f t="shared" si="301"/>
        <v>15000</v>
      </c>
      <c r="D1166" s="20">
        <v>45918.0</v>
      </c>
      <c r="E1166" s="17" t="s">
        <v>24</v>
      </c>
      <c r="F1166" s="17" t="s">
        <v>12</v>
      </c>
      <c r="H1166" s="17" t="s">
        <v>996</v>
      </c>
    </row>
    <row r="1167">
      <c r="A1167" s="17" t="s">
        <v>675</v>
      </c>
      <c r="B1167" s="32">
        <v>65000.0</v>
      </c>
      <c r="C1167" s="33">
        <f t="shared" si="301"/>
        <v>812.5</v>
      </c>
      <c r="D1167" s="20">
        <v>45918.0</v>
      </c>
      <c r="E1167" s="17" t="s">
        <v>11</v>
      </c>
      <c r="F1167" s="17" t="s">
        <v>12</v>
      </c>
    </row>
    <row r="1168">
      <c r="A1168" s="17" t="s">
        <v>1144</v>
      </c>
      <c r="B1168" s="32">
        <v>185000.0</v>
      </c>
      <c r="C1168" s="33">
        <f t="shared" si="301"/>
        <v>2312.5</v>
      </c>
      <c r="D1168" s="20">
        <v>45918.0</v>
      </c>
      <c r="E1168" s="17" t="s">
        <v>21</v>
      </c>
      <c r="F1168" s="17" t="s">
        <v>12</v>
      </c>
    </row>
    <row r="1169">
      <c r="A1169" s="17" t="s">
        <v>1145</v>
      </c>
      <c r="B1169" s="32">
        <v>30000.0</v>
      </c>
      <c r="C1169" s="33">
        <f t="shared" ref="C1169:C1170" si="302">0.0175*B1169</f>
        <v>525</v>
      </c>
      <c r="D1169" s="20">
        <v>45918.0</v>
      </c>
      <c r="E1169" s="17" t="s">
        <v>11</v>
      </c>
      <c r="F1169" s="17" t="s">
        <v>28</v>
      </c>
    </row>
    <row r="1170">
      <c r="A1170" s="17" t="s">
        <v>1146</v>
      </c>
      <c r="B1170" s="32">
        <v>250000.0</v>
      </c>
      <c r="C1170" s="33">
        <f t="shared" si="302"/>
        <v>4375</v>
      </c>
      <c r="D1170" s="20">
        <v>45918.0</v>
      </c>
      <c r="E1170" s="17" t="s">
        <v>11</v>
      </c>
      <c r="F1170" s="17" t="s">
        <v>28</v>
      </c>
      <c r="I1170" s="35" t="s">
        <v>30</v>
      </c>
    </row>
    <row r="1171">
      <c r="A1171" s="17" t="s">
        <v>1147</v>
      </c>
      <c r="B1171" s="32">
        <v>215000.0</v>
      </c>
      <c r="C1171" s="33">
        <f>0.0125*B1171</f>
        <v>2687.5</v>
      </c>
      <c r="D1171" s="20">
        <v>45918.0</v>
      </c>
      <c r="E1171" s="17" t="s">
        <v>11</v>
      </c>
      <c r="F1171" s="17" t="s">
        <v>12</v>
      </c>
    </row>
    <row r="1172">
      <c r="A1172" s="17" t="s">
        <v>1148</v>
      </c>
      <c r="B1172" s="32">
        <v>100000.0</v>
      </c>
      <c r="C1172" s="33">
        <f t="shared" ref="C1172:C1173" si="303">0.0175*B1172</f>
        <v>1750</v>
      </c>
      <c r="D1172" s="20">
        <v>45918.0</v>
      </c>
      <c r="E1172" s="17" t="s">
        <v>11</v>
      </c>
      <c r="F1172" s="17" t="s">
        <v>28</v>
      </c>
      <c r="I1172" s="35" t="s">
        <v>30</v>
      </c>
    </row>
    <row r="1173">
      <c r="A1173" s="17" t="s">
        <v>1149</v>
      </c>
      <c r="B1173" s="32">
        <v>115000.0</v>
      </c>
      <c r="C1173" s="33">
        <f t="shared" si="303"/>
        <v>2012.5</v>
      </c>
      <c r="D1173" s="20">
        <v>45918.0</v>
      </c>
      <c r="E1173" s="17" t="s">
        <v>15</v>
      </c>
      <c r="F1173" s="17" t="s">
        <v>28</v>
      </c>
      <c r="H1173" s="31" t="s">
        <v>220</v>
      </c>
      <c r="K1173" s="17">
        <v>402.5</v>
      </c>
    </row>
    <row r="1174">
      <c r="A1174" s="17" t="s">
        <v>560</v>
      </c>
      <c r="B1174" s="32">
        <v>111000.0</v>
      </c>
      <c r="C1174" s="33">
        <f t="shared" ref="C1174:C1175" si="304">0.0125*B1174</f>
        <v>1387.5</v>
      </c>
      <c r="D1174" s="20">
        <v>45918.0</v>
      </c>
      <c r="E1174" s="17" t="s">
        <v>15</v>
      </c>
      <c r="F1174" s="17" t="s">
        <v>12</v>
      </c>
      <c r="H1174" s="31" t="s">
        <v>51</v>
      </c>
      <c r="K1174" s="17">
        <v>555.0</v>
      </c>
    </row>
    <row r="1175">
      <c r="A1175" s="17" t="s">
        <v>1150</v>
      </c>
      <c r="B1175" s="18">
        <v>85000.0</v>
      </c>
      <c r="C1175" s="19">
        <f t="shared" si="304"/>
        <v>1062.5</v>
      </c>
      <c r="D1175" s="20">
        <v>45918.0</v>
      </c>
      <c r="E1175" s="17" t="s">
        <v>11</v>
      </c>
      <c r="F1175" s="17" t="s">
        <v>12</v>
      </c>
    </row>
    <row r="1176">
      <c r="A1176" s="17" t="s">
        <v>1151</v>
      </c>
      <c r="B1176" s="18">
        <v>80000.0</v>
      </c>
      <c r="C1176" s="19">
        <f t="shared" ref="C1176:C1179" si="305">0.0175*B1176</f>
        <v>1400</v>
      </c>
      <c r="D1176" s="20">
        <v>45919.0</v>
      </c>
      <c r="E1176" s="17" t="s">
        <v>939</v>
      </c>
      <c r="F1176" s="17" t="s">
        <v>28</v>
      </c>
      <c r="H1176" s="17" t="s">
        <v>13</v>
      </c>
      <c r="I1176" s="35" t="s">
        <v>30</v>
      </c>
    </row>
    <row r="1177">
      <c r="A1177" s="17" t="s">
        <v>1152</v>
      </c>
      <c r="B1177" s="18">
        <v>120000.0</v>
      </c>
      <c r="C1177" s="19">
        <f t="shared" si="305"/>
        <v>2100</v>
      </c>
      <c r="D1177" s="20">
        <v>45919.0</v>
      </c>
      <c r="E1177" s="17" t="s">
        <v>15</v>
      </c>
      <c r="F1177" s="17" t="s">
        <v>28</v>
      </c>
      <c r="H1177" s="31" t="s">
        <v>98</v>
      </c>
      <c r="I1177" s="35" t="s">
        <v>30</v>
      </c>
      <c r="K1177" s="17">
        <v>360.0</v>
      </c>
    </row>
    <row r="1178">
      <c r="A1178" s="17" t="s">
        <v>1153</v>
      </c>
      <c r="B1178" s="18">
        <v>100000.0</v>
      </c>
      <c r="C1178" s="19">
        <f t="shared" si="305"/>
        <v>1750</v>
      </c>
      <c r="D1178" s="20">
        <v>45919.0</v>
      </c>
      <c r="E1178" s="17" t="s">
        <v>15</v>
      </c>
      <c r="F1178" s="17" t="s">
        <v>28</v>
      </c>
      <c r="H1178" s="31" t="s">
        <v>220</v>
      </c>
      <c r="I1178" s="35" t="s">
        <v>30</v>
      </c>
      <c r="K1178" s="17">
        <v>350.0</v>
      </c>
    </row>
    <row r="1179">
      <c r="A1179" s="17" t="s">
        <v>1154</v>
      </c>
      <c r="B1179" s="18">
        <v>200000.0</v>
      </c>
      <c r="C1179" s="19">
        <f t="shared" si="305"/>
        <v>3500</v>
      </c>
      <c r="D1179" s="20">
        <v>45922.0</v>
      </c>
      <c r="E1179" s="17" t="s">
        <v>345</v>
      </c>
      <c r="F1179" s="17" t="s">
        <v>28</v>
      </c>
      <c r="H1179" s="17" t="s">
        <v>13</v>
      </c>
      <c r="I1179" s="35" t="s">
        <v>30</v>
      </c>
    </row>
    <row r="1180">
      <c r="A1180" s="17" t="s">
        <v>114</v>
      </c>
      <c r="B1180" s="18">
        <v>105000.0</v>
      </c>
      <c r="C1180" s="19">
        <f t="shared" ref="C1180:C1181" si="306">0.0125*B1180</f>
        <v>1312.5</v>
      </c>
      <c r="D1180" s="20">
        <v>45922.0</v>
      </c>
      <c r="E1180" s="17" t="s">
        <v>11</v>
      </c>
      <c r="F1180" s="17" t="s">
        <v>12</v>
      </c>
    </row>
    <row r="1181">
      <c r="A1181" s="17" t="s">
        <v>1155</v>
      </c>
      <c r="B1181" s="18">
        <v>800000.0</v>
      </c>
      <c r="C1181" s="19">
        <f t="shared" si="306"/>
        <v>10000</v>
      </c>
      <c r="D1181" s="20">
        <v>45922.0</v>
      </c>
      <c r="E1181" s="17" t="s">
        <v>15</v>
      </c>
      <c r="F1181" s="17" t="s">
        <v>12</v>
      </c>
      <c r="H1181" s="31" t="s">
        <v>35</v>
      </c>
      <c r="K1181" s="17">
        <v>1600.0</v>
      </c>
    </row>
    <row r="1182">
      <c r="A1182" s="17" t="s">
        <v>1156</v>
      </c>
      <c r="B1182" s="18">
        <v>130000.0</v>
      </c>
      <c r="C1182" s="19">
        <f t="shared" ref="C1182:C1184" si="307">0.0175*B1182</f>
        <v>2275</v>
      </c>
      <c r="D1182" s="20">
        <v>45922.0</v>
      </c>
      <c r="E1182" s="17" t="s">
        <v>11</v>
      </c>
      <c r="F1182" s="17" t="s">
        <v>28</v>
      </c>
      <c r="I1182" s="35" t="s">
        <v>30</v>
      </c>
    </row>
    <row r="1183">
      <c r="A1183" s="17" t="s">
        <v>1157</v>
      </c>
      <c r="B1183" s="18">
        <v>300000.0</v>
      </c>
      <c r="C1183" s="19">
        <f t="shared" si="307"/>
        <v>5250</v>
      </c>
      <c r="D1183" s="20">
        <v>45922.0</v>
      </c>
      <c r="E1183" s="17" t="s">
        <v>11</v>
      </c>
      <c r="F1183" s="17" t="s">
        <v>28</v>
      </c>
      <c r="I1183" s="35" t="s">
        <v>30</v>
      </c>
    </row>
    <row r="1184">
      <c r="A1184" s="17" t="s">
        <v>1158</v>
      </c>
      <c r="B1184" s="18">
        <v>50000.0</v>
      </c>
      <c r="C1184" s="19">
        <f t="shared" si="307"/>
        <v>875</v>
      </c>
      <c r="D1184" s="20">
        <v>45922.0</v>
      </c>
      <c r="E1184" s="17" t="s">
        <v>11</v>
      </c>
      <c r="F1184" s="17" t="s">
        <v>67</v>
      </c>
      <c r="I1184" s="35" t="s">
        <v>30</v>
      </c>
    </row>
    <row r="1185">
      <c r="A1185" s="17" t="s">
        <v>1159</v>
      </c>
      <c r="B1185" s="18">
        <v>15000.0</v>
      </c>
      <c r="C1185" s="19">
        <f>0.0125*B1185</f>
        <v>187.5</v>
      </c>
      <c r="D1185" s="20">
        <v>45922.0</v>
      </c>
      <c r="E1185" s="17" t="s">
        <v>15</v>
      </c>
      <c r="F1185" s="17" t="s">
        <v>144</v>
      </c>
      <c r="H1185" s="31" t="s">
        <v>54</v>
      </c>
      <c r="K1185" s="17">
        <v>90.0</v>
      </c>
    </row>
    <row r="1186">
      <c r="A1186" s="17" t="s">
        <v>1160</v>
      </c>
      <c r="B1186" s="18">
        <v>250000.0</v>
      </c>
      <c r="C1186" s="19">
        <f>0.0175*B1186</f>
        <v>4375</v>
      </c>
      <c r="D1186" s="20">
        <v>45922.0</v>
      </c>
      <c r="E1186" s="17" t="s">
        <v>73</v>
      </c>
      <c r="F1186" s="17" t="s">
        <v>41</v>
      </c>
      <c r="I1186" s="35" t="s">
        <v>30</v>
      </c>
    </row>
    <row r="1187">
      <c r="A1187" s="17" t="s">
        <v>391</v>
      </c>
      <c r="B1187" s="18">
        <v>165000.0</v>
      </c>
      <c r="C1187" s="19">
        <f t="shared" ref="C1187:C1190" si="308">0.0125*B1187</f>
        <v>2062.5</v>
      </c>
      <c r="D1187" s="20">
        <v>45922.0</v>
      </c>
      <c r="E1187" s="17" t="s">
        <v>11</v>
      </c>
      <c r="F1187" s="17" t="s">
        <v>12</v>
      </c>
    </row>
    <row r="1188">
      <c r="A1188" s="17" t="s">
        <v>52</v>
      </c>
      <c r="B1188" s="18">
        <v>1375000.0</v>
      </c>
      <c r="C1188" s="19">
        <f t="shared" si="308"/>
        <v>17187.5</v>
      </c>
      <c r="D1188" s="20">
        <v>45922.0</v>
      </c>
      <c r="E1188" s="17" t="s">
        <v>11</v>
      </c>
      <c r="F1188" s="17" t="s">
        <v>12</v>
      </c>
    </row>
    <row r="1189">
      <c r="A1189" s="17" t="s">
        <v>1161</v>
      </c>
      <c r="B1189" s="32">
        <v>250000.0</v>
      </c>
      <c r="C1189" s="33">
        <f t="shared" si="308"/>
        <v>3125</v>
      </c>
      <c r="D1189" s="20">
        <v>45922.0</v>
      </c>
      <c r="E1189" s="17" t="s">
        <v>11</v>
      </c>
      <c r="F1189" s="17" t="s">
        <v>12</v>
      </c>
    </row>
    <row r="1190">
      <c r="A1190" s="17" t="s">
        <v>908</v>
      </c>
      <c r="B1190" s="32">
        <v>25000.0</v>
      </c>
      <c r="C1190" s="33">
        <f t="shared" si="308"/>
        <v>312.5</v>
      </c>
      <c r="D1190" s="20">
        <v>45918.0</v>
      </c>
      <c r="E1190" s="17" t="s">
        <v>11</v>
      </c>
      <c r="F1190" s="17" t="s">
        <v>12</v>
      </c>
    </row>
    <row r="1191">
      <c r="A1191" s="17" t="s">
        <v>1162</v>
      </c>
      <c r="B1191" s="32">
        <v>150000.0</v>
      </c>
      <c r="C1191" s="33">
        <f>0.0175*B1191</f>
        <v>2625</v>
      </c>
      <c r="D1191" s="20">
        <v>45923.0</v>
      </c>
      <c r="E1191" s="17" t="s">
        <v>118</v>
      </c>
      <c r="F1191" s="17" t="s">
        <v>28</v>
      </c>
      <c r="H1191" s="17" t="s">
        <v>13</v>
      </c>
      <c r="I1191" s="35" t="s">
        <v>30</v>
      </c>
    </row>
    <row r="1192">
      <c r="A1192" s="17" t="s">
        <v>1163</v>
      </c>
      <c r="B1192" s="32">
        <v>87000.0</v>
      </c>
      <c r="C1192" s="33">
        <f t="shared" ref="C1192:C1193" si="309">0.0125*B1192</f>
        <v>1087.5</v>
      </c>
      <c r="D1192" s="20">
        <v>45923.0</v>
      </c>
      <c r="E1192" s="17" t="s">
        <v>1164</v>
      </c>
      <c r="F1192" s="17" t="s">
        <v>12</v>
      </c>
      <c r="H1192" s="17" t="s">
        <v>619</v>
      </c>
    </row>
    <row r="1193">
      <c r="A1193" s="17" t="s">
        <v>509</v>
      </c>
      <c r="B1193" s="32">
        <v>175000.0</v>
      </c>
      <c r="C1193" s="33">
        <f t="shared" si="309"/>
        <v>2187.5</v>
      </c>
      <c r="D1193" s="20">
        <v>45923.0</v>
      </c>
      <c r="E1193" s="17" t="s">
        <v>11</v>
      </c>
      <c r="F1193" s="17" t="s">
        <v>12</v>
      </c>
    </row>
    <row r="1194">
      <c r="A1194" s="17" t="s">
        <v>1165</v>
      </c>
      <c r="B1194" s="32">
        <v>200000.0</v>
      </c>
      <c r="C1194" s="33">
        <f t="shared" ref="C1194:C1195" si="310">0.0175*B1194</f>
        <v>3500</v>
      </c>
      <c r="D1194" s="20">
        <v>45923.0</v>
      </c>
      <c r="E1194" s="17" t="s">
        <v>939</v>
      </c>
      <c r="F1194" s="17" t="s">
        <v>28</v>
      </c>
      <c r="H1194" s="17" t="s">
        <v>13</v>
      </c>
      <c r="I1194" s="35" t="s">
        <v>30</v>
      </c>
    </row>
    <row r="1195">
      <c r="A1195" s="17" t="s">
        <v>1166</v>
      </c>
      <c r="B1195" s="32">
        <v>100000.0</v>
      </c>
      <c r="C1195" s="33">
        <f t="shared" si="310"/>
        <v>1750</v>
      </c>
      <c r="D1195" s="20">
        <v>45923.0</v>
      </c>
      <c r="E1195" s="17" t="s">
        <v>60</v>
      </c>
      <c r="F1195" s="17" t="s">
        <v>28</v>
      </c>
      <c r="I1195" s="35" t="s">
        <v>30</v>
      </c>
    </row>
    <row r="1196">
      <c r="A1196" s="17" t="s">
        <v>630</v>
      </c>
      <c r="B1196" s="32">
        <v>10000.0</v>
      </c>
      <c r="C1196" s="33">
        <f>0.0125*B1196</f>
        <v>125</v>
      </c>
      <c r="D1196" s="20">
        <v>45924.0</v>
      </c>
      <c r="E1196" s="17" t="s">
        <v>11</v>
      </c>
      <c r="F1196" s="17" t="s">
        <v>144</v>
      </c>
    </row>
    <row r="1197">
      <c r="A1197" s="17" t="s">
        <v>1167</v>
      </c>
      <c r="B1197" s="32">
        <v>90000.0</v>
      </c>
      <c r="C1197" s="33">
        <f>0.0175*B1197</f>
        <v>1575</v>
      </c>
      <c r="D1197" s="20">
        <v>45924.0</v>
      </c>
      <c r="E1197" s="17" t="s">
        <v>1168</v>
      </c>
      <c r="F1197" s="17" t="s">
        <v>28</v>
      </c>
      <c r="I1197" s="35" t="s">
        <v>30</v>
      </c>
    </row>
    <row r="1198">
      <c r="A1198" s="17" t="s">
        <v>1169</v>
      </c>
      <c r="B1198" s="32">
        <v>85000.0</v>
      </c>
      <c r="C1198" s="33">
        <f>0.0125*B1198</f>
        <v>1062.5</v>
      </c>
      <c r="D1198" s="20">
        <v>45924.0</v>
      </c>
      <c r="E1198" s="17" t="s">
        <v>11</v>
      </c>
      <c r="F1198" s="17" t="s">
        <v>12</v>
      </c>
    </row>
    <row r="1199">
      <c r="A1199" s="17" t="s">
        <v>1170</v>
      </c>
      <c r="B1199" s="32">
        <v>150000.0</v>
      </c>
      <c r="C1199" s="32">
        <f t="shared" ref="C1199:C1201" si="311">0.0175*B1199</f>
        <v>2625</v>
      </c>
      <c r="D1199" s="20">
        <v>45924.0</v>
      </c>
      <c r="E1199" s="17" t="s">
        <v>11</v>
      </c>
      <c r="F1199" s="17" t="s">
        <v>28</v>
      </c>
      <c r="I1199" s="35" t="s">
        <v>30</v>
      </c>
    </row>
    <row r="1200">
      <c r="A1200" s="17" t="s">
        <v>1171</v>
      </c>
      <c r="B1200" s="32">
        <v>100000.0</v>
      </c>
      <c r="C1200" s="33">
        <f t="shared" si="311"/>
        <v>1750</v>
      </c>
      <c r="D1200" s="20">
        <v>45924.0</v>
      </c>
      <c r="E1200" s="17" t="s">
        <v>118</v>
      </c>
      <c r="F1200" s="17" t="s">
        <v>28</v>
      </c>
      <c r="H1200" s="17" t="s">
        <v>13</v>
      </c>
      <c r="I1200" s="35" t="s">
        <v>30</v>
      </c>
    </row>
    <row r="1201">
      <c r="A1201" s="17" t="s">
        <v>1172</v>
      </c>
      <c r="B1201" s="32">
        <v>130000.0</v>
      </c>
      <c r="C1201" s="33">
        <f t="shared" si="311"/>
        <v>2275</v>
      </c>
      <c r="D1201" s="20">
        <v>45924.0</v>
      </c>
      <c r="E1201" s="17" t="s">
        <v>15</v>
      </c>
      <c r="F1201" s="17" t="s">
        <v>28</v>
      </c>
      <c r="H1201" s="31" t="s">
        <v>16</v>
      </c>
      <c r="I1201" s="35" t="s">
        <v>30</v>
      </c>
      <c r="K1201" s="17">
        <v>520.0</v>
      </c>
    </row>
    <row r="1202">
      <c r="A1202" s="17" t="s">
        <v>1173</v>
      </c>
      <c r="B1202" s="32">
        <v>225000.0</v>
      </c>
      <c r="C1202" s="33">
        <f t="shared" ref="C1202:C1203" si="312">0.0125*B1202</f>
        <v>2812.5</v>
      </c>
      <c r="D1202" s="20">
        <v>45925.0</v>
      </c>
      <c r="E1202" s="17" t="s">
        <v>1174</v>
      </c>
      <c r="F1202" s="17" t="s">
        <v>12</v>
      </c>
      <c r="H1202" s="17" t="s">
        <v>996</v>
      </c>
    </row>
    <row r="1203">
      <c r="A1203" s="17" t="s">
        <v>1175</v>
      </c>
      <c r="B1203" s="32">
        <v>83500.0</v>
      </c>
      <c r="C1203" s="33">
        <f t="shared" si="312"/>
        <v>1043.75</v>
      </c>
      <c r="D1203" s="20">
        <v>45925.0</v>
      </c>
      <c r="E1203" s="17" t="s">
        <v>15</v>
      </c>
      <c r="F1203" s="17" t="s">
        <v>12</v>
      </c>
      <c r="H1203" s="31" t="s">
        <v>51</v>
      </c>
    </row>
    <row r="1204">
      <c r="A1204" s="17" t="s">
        <v>1176</v>
      </c>
      <c r="B1204" s="32">
        <v>250000.0</v>
      </c>
      <c r="C1204" s="33">
        <f>0.0175*B1204</f>
        <v>4375</v>
      </c>
      <c r="D1204" s="20">
        <v>45925.0</v>
      </c>
      <c r="E1204" s="17" t="s">
        <v>11</v>
      </c>
      <c r="F1204" s="17" t="s">
        <v>41</v>
      </c>
    </row>
    <row r="1205">
      <c r="A1205" s="17" t="s">
        <v>1177</v>
      </c>
      <c r="B1205" s="32">
        <v>115000.0</v>
      </c>
      <c r="C1205" s="33">
        <f>0.0125*B1205</f>
        <v>1437.5</v>
      </c>
      <c r="D1205" s="20">
        <v>45925.0</v>
      </c>
      <c r="E1205" s="17" t="s">
        <v>11</v>
      </c>
      <c r="F1205" s="17" t="s">
        <v>12</v>
      </c>
    </row>
    <row r="1206">
      <c r="A1206" s="17" t="s">
        <v>1178</v>
      </c>
      <c r="B1206" s="18">
        <v>250000.0</v>
      </c>
      <c r="C1206" s="19">
        <f>0.0175*B1206</f>
        <v>4375</v>
      </c>
      <c r="D1206" s="20">
        <v>45925.0</v>
      </c>
      <c r="E1206" s="17" t="s">
        <v>60</v>
      </c>
      <c r="F1206" s="17" t="s">
        <v>28</v>
      </c>
      <c r="I1206" s="35" t="s">
        <v>30</v>
      </c>
    </row>
    <row r="1207">
      <c r="A1207" s="17" t="s">
        <v>825</v>
      </c>
      <c r="B1207" s="18">
        <v>50000.0</v>
      </c>
      <c r="C1207" s="19">
        <f>0.0125*B1207</f>
        <v>625</v>
      </c>
      <c r="D1207" s="20">
        <v>45925.0</v>
      </c>
      <c r="E1207" s="17" t="s">
        <v>11</v>
      </c>
      <c r="F1207" s="17" t="s">
        <v>144</v>
      </c>
    </row>
    <row r="1208">
      <c r="A1208" s="17" t="s">
        <v>1179</v>
      </c>
      <c r="B1208" s="18">
        <v>70000.0</v>
      </c>
      <c r="C1208" s="19">
        <f>0.0175*B1208</f>
        <v>1225</v>
      </c>
      <c r="D1208" s="20">
        <v>45925.0</v>
      </c>
      <c r="E1208" s="17" t="s">
        <v>1180</v>
      </c>
      <c r="F1208" s="17" t="s">
        <v>28</v>
      </c>
      <c r="I1208" s="35" t="s">
        <v>30</v>
      </c>
    </row>
    <row r="1209">
      <c r="A1209" s="17" t="s">
        <v>81</v>
      </c>
      <c r="B1209" s="18">
        <v>25000.0</v>
      </c>
      <c r="C1209" s="19">
        <f t="shared" ref="C1209:C1212" si="313">0.0125*B1209</f>
        <v>312.5</v>
      </c>
      <c r="D1209" s="20">
        <v>45925.0</v>
      </c>
      <c r="E1209" s="17" t="s">
        <v>11</v>
      </c>
      <c r="F1209" s="17" t="s">
        <v>144</v>
      </c>
    </row>
    <row r="1210">
      <c r="A1210" s="17" t="s">
        <v>1181</v>
      </c>
      <c r="B1210" s="18">
        <v>450000.0</v>
      </c>
      <c r="C1210" s="19">
        <f t="shared" si="313"/>
        <v>5625</v>
      </c>
      <c r="D1210" s="20">
        <v>45925.0</v>
      </c>
      <c r="E1210" s="17" t="s">
        <v>1164</v>
      </c>
      <c r="F1210" s="17" t="s">
        <v>144</v>
      </c>
      <c r="H1210" s="17" t="s">
        <v>996</v>
      </c>
    </row>
    <row r="1211">
      <c r="A1211" s="17" t="s">
        <v>588</v>
      </c>
      <c r="B1211" s="18">
        <v>150000.0</v>
      </c>
      <c r="C1211" s="19">
        <f t="shared" si="313"/>
        <v>1875</v>
      </c>
      <c r="D1211" s="20">
        <v>45926.0</v>
      </c>
      <c r="E1211" s="17" t="s">
        <v>15</v>
      </c>
      <c r="F1211" s="17" t="s">
        <v>12</v>
      </c>
      <c r="H1211" s="31" t="s">
        <v>16</v>
      </c>
      <c r="K1211" s="17">
        <v>600.0</v>
      </c>
    </row>
    <row r="1212">
      <c r="A1212" s="17" t="s">
        <v>1182</v>
      </c>
      <c r="B1212" s="18">
        <v>130000.0</v>
      </c>
      <c r="C1212" s="19">
        <f t="shared" si="313"/>
        <v>1625</v>
      </c>
      <c r="D1212" s="20">
        <v>45926.0</v>
      </c>
      <c r="E1212" s="17" t="s">
        <v>11</v>
      </c>
      <c r="F1212" s="17" t="s">
        <v>12</v>
      </c>
    </row>
    <row r="1213">
      <c r="A1213" s="17" t="s">
        <v>1183</v>
      </c>
      <c r="B1213" s="18">
        <v>175000.0</v>
      </c>
      <c r="C1213" s="19">
        <f t="shared" ref="C1213:C1214" si="314">0.0175*B1213</f>
        <v>3062.5</v>
      </c>
      <c r="D1213" s="20">
        <v>45926.0</v>
      </c>
      <c r="E1213" s="17" t="s">
        <v>118</v>
      </c>
      <c r="F1213" s="17" t="s">
        <v>28</v>
      </c>
      <c r="H1213" s="17" t="s">
        <v>13</v>
      </c>
      <c r="I1213" s="35" t="s">
        <v>30</v>
      </c>
    </row>
    <row r="1214">
      <c r="A1214" s="17" t="s">
        <v>1184</v>
      </c>
      <c r="B1214" s="18">
        <v>50000.0</v>
      </c>
      <c r="C1214" s="19">
        <f t="shared" si="314"/>
        <v>875</v>
      </c>
      <c r="D1214" s="20">
        <v>45926.0</v>
      </c>
      <c r="E1214" s="17" t="s">
        <v>24</v>
      </c>
      <c r="F1214" s="17" t="s">
        <v>28</v>
      </c>
      <c r="H1214" s="17" t="s">
        <v>924</v>
      </c>
      <c r="I1214" s="35" t="s">
        <v>30</v>
      </c>
    </row>
    <row r="1215">
      <c r="A1215" s="17" t="s">
        <v>1185</v>
      </c>
      <c r="B1215" s="18">
        <v>140000.0</v>
      </c>
      <c r="C1215" s="18">
        <f t="shared" ref="C1215:C1217" si="315">0.0125*B1215</f>
        <v>1750</v>
      </c>
      <c r="D1215" s="20">
        <v>45926.0</v>
      </c>
      <c r="E1215" s="17" t="s">
        <v>118</v>
      </c>
      <c r="F1215" s="17" t="s">
        <v>12</v>
      </c>
      <c r="H1215" s="17" t="s">
        <v>22</v>
      </c>
    </row>
    <row r="1216">
      <c r="A1216" s="17" t="s">
        <v>1186</v>
      </c>
      <c r="B1216" s="18">
        <v>30000.0</v>
      </c>
      <c r="C1216" s="19">
        <f t="shared" si="315"/>
        <v>375</v>
      </c>
      <c r="D1216" s="20">
        <v>45926.0</v>
      </c>
      <c r="E1216" s="17" t="s">
        <v>15</v>
      </c>
      <c r="F1216" s="17" t="s">
        <v>12</v>
      </c>
      <c r="H1216" s="31" t="s">
        <v>54</v>
      </c>
      <c r="K1216" s="17">
        <v>180.0</v>
      </c>
    </row>
    <row r="1217">
      <c r="A1217" s="17" t="s">
        <v>277</v>
      </c>
      <c r="B1217" s="18">
        <v>1575000.0</v>
      </c>
      <c r="C1217" s="19">
        <f t="shared" si="315"/>
        <v>19687.5</v>
      </c>
      <c r="D1217" s="20">
        <v>45926.0</v>
      </c>
      <c r="E1217" s="17" t="s">
        <v>15</v>
      </c>
      <c r="F1217" s="17" t="s">
        <v>12</v>
      </c>
      <c r="H1217" s="31" t="s">
        <v>149</v>
      </c>
      <c r="K1217" s="17">
        <v>3937.5</v>
      </c>
    </row>
    <row r="1218">
      <c r="A1218" s="17" t="s">
        <v>1033</v>
      </c>
      <c r="B1218" s="18">
        <v>50000.0</v>
      </c>
      <c r="C1218" s="19">
        <f t="shared" ref="C1218:C1219" si="316">0.0175*B1218</f>
        <v>875</v>
      </c>
      <c r="D1218" s="20">
        <v>45926.0</v>
      </c>
      <c r="E1218" s="17" t="s">
        <v>24</v>
      </c>
      <c r="F1218" s="17" t="s">
        <v>67</v>
      </c>
      <c r="H1218" s="17" t="s">
        <v>924</v>
      </c>
      <c r="I1218" s="35" t="s">
        <v>30</v>
      </c>
    </row>
    <row r="1219">
      <c r="A1219" s="17" t="s">
        <v>1187</v>
      </c>
      <c r="B1219" s="18">
        <v>325000.0</v>
      </c>
      <c r="C1219" s="19">
        <f t="shared" si="316"/>
        <v>5687.5</v>
      </c>
      <c r="D1219" s="20">
        <v>45926.0</v>
      </c>
      <c r="E1219" s="17" t="s">
        <v>1188</v>
      </c>
      <c r="F1219" s="17" t="s">
        <v>28</v>
      </c>
      <c r="H1219" s="17" t="s">
        <v>1189</v>
      </c>
      <c r="I1219" s="35" t="s">
        <v>30</v>
      </c>
      <c r="K1219" s="17">
        <v>325.0</v>
      </c>
    </row>
    <row r="1220">
      <c r="A1220" s="17" t="s">
        <v>1190</v>
      </c>
      <c r="B1220" s="18">
        <v>375000.0</v>
      </c>
      <c r="C1220" s="19">
        <f t="shared" ref="C1220:C1221" si="317">0.0125*B1220</f>
        <v>4687.5</v>
      </c>
      <c r="D1220" s="20">
        <v>45929.0</v>
      </c>
      <c r="E1220" s="17" t="s">
        <v>118</v>
      </c>
      <c r="F1220" s="17" t="s">
        <v>12</v>
      </c>
      <c r="H1220" s="17" t="s">
        <v>22</v>
      </c>
    </row>
    <row r="1221">
      <c r="A1221" s="17" t="s">
        <v>728</v>
      </c>
      <c r="B1221" s="18">
        <v>110000.0</v>
      </c>
      <c r="C1221" s="19">
        <f t="shared" si="317"/>
        <v>1375</v>
      </c>
      <c r="D1221" s="20">
        <v>45929.0</v>
      </c>
      <c r="E1221" s="17" t="s">
        <v>11</v>
      </c>
      <c r="F1221" s="17" t="s">
        <v>12</v>
      </c>
    </row>
    <row r="1222">
      <c r="A1222" s="17" t="s">
        <v>1191</v>
      </c>
      <c r="B1222" s="18">
        <v>350000.0</v>
      </c>
      <c r="C1222" s="19">
        <f>0.0175*B1222</f>
        <v>6125</v>
      </c>
      <c r="D1222" s="20">
        <v>45929.0</v>
      </c>
      <c r="E1222" s="17" t="s">
        <v>118</v>
      </c>
      <c r="F1222" s="17" t="s">
        <v>28</v>
      </c>
      <c r="H1222" s="17" t="s">
        <v>13</v>
      </c>
      <c r="I1222" s="35" t="s">
        <v>30</v>
      </c>
    </row>
    <row r="1223">
      <c r="A1223" s="17" t="s">
        <v>809</v>
      </c>
      <c r="B1223" s="18">
        <v>15000.0</v>
      </c>
      <c r="C1223" s="19">
        <f t="shared" ref="C1223:C1225" si="318">0.0125*B1223</f>
        <v>187.5</v>
      </c>
      <c r="D1223" s="20">
        <v>45929.0</v>
      </c>
      <c r="E1223" s="17" t="s">
        <v>11</v>
      </c>
      <c r="F1223" s="17" t="s">
        <v>12</v>
      </c>
    </row>
    <row r="1224">
      <c r="A1224" s="17" t="s">
        <v>1192</v>
      </c>
      <c r="B1224" s="18">
        <v>65000.0</v>
      </c>
      <c r="C1224" s="19">
        <f t="shared" si="318"/>
        <v>812.5</v>
      </c>
      <c r="D1224" s="20">
        <v>45929.0</v>
      </c>
      <c r="E1224" s="17" t="s">
        <v>11</v>
      </c>
      <c r="F1224" s="17" t="s">
        <v>12</v>
      </c>
    </row>
    <row r="1225">
      <c r="A1225" s="17" t="s">
        <v>201</v>
      </c>
      <c r="B1225" s="18">
        <v>62500.0</v>
      </c>
      <c r="C1225" s="19">
        <f t="shared" si="318"/>
        <v>781.25</v>
      </c>
      <c r="D1225" s="20">
        <v>45929.0</v>
      </c>
      <c r="E1225" s="17" t="s">
        <v>11</v>
      </c>
      <c r="F1225" s="17" t="s">
        <v>12</v>
      </c>
    </row>
    <row r="1226">
      <c r="A1226" s="17" t="s">
        <v>1193</v>
      </c>
      <c r="B1226" s="18">
        <v>60000.0</v>
      </c>
      <c r="C1226" s="19">
        <f>0.0175*B1226</f>
        <v>1050</v>
      </c>
      <c r="D1226" s="20">
        <v>45929.0</v>
      </c>
      <c r="E1226" s="17" t="s">
        <v>15</v>
      </c>
      <c r="F1226" s="17" t="s">
        <v>28</v>
      </c>
      <c r="H1226" s="31" t="s">
        <v>16</v>
      </c>
      <c r="I1226" s="35" t="s">
        <v>30</v>
      </c>
      <c r="K1226" s="17">
        <v>240.0</v>
      </c>
    </row>
    <row r="1227">
      <c r="A1227" s="17" t="s">
        <v>977</v>
      </c>
      <c r="B1227" s="18">
        <v>134000.0</v>
      </c>
      <c r="C1227" s="19">
        <f t="shared" ref="C1227:C1230" si="319">0.0125*B1227</f>
        <v>1675</v>
      </c>
      <c r="D1227" s="20">
        <v>45929.0</v>
      </c>
      <c r="E1227" s="17" t="s">
        <v>21</v>
      </c>
      <c r="F1227" s="17" t="s">
        <v>12</v>
      </c>
      <c r="H1227" s="17" t="s">
        <v>22</v>
      </c>
    </row>
    <row r="1228">
      <c r="A1228" s="17" t="s">
        <v>481</v>
      </c>
      <c r="B1228" s="18">
        <v>850000.0</v>
      </c>
      <c r="C1228" s="19">
        <f t="shared" si="319"/>
        <v>10625</v>
      </c>
      <c r="D1228" s="20">
        <v>45929.0</v>
      </c>
      <c r="E1228" s="17" t="s">
        <v>11</v>
      </c>
      <c r="F1228" s="17" t="s">
        <v>12</v>
      </c>
    </row>
    <row r="1229">
      <c r="A1229" s="17" t="s">
        <v>1194</v>
      </c>
      <c r="B1229" s="18">
        <v>130000.0</v>
      </c>
      <c r="C1229" s="19">
        <f t="shared" si="319"/>
        <v>1625</v>
      </c>
      <c r="D1229" s="20">
        <v>45930.0</v>
      </c>
      <c r="E1229" s="17" t="s">
        <v>24</v>
      </c>
      <c r="F1229" s="17" t="s">
        <v>12</v>
      </c>
      <c r="H1229" s="17" t="s">
        <v>936</v>
      </c>
    </row>
    <row r="1230">
      <c r="A1230" s="17" t="s">
        <v>1195</v>
      </c>
      <c r="B1230" s="18">
        <v>170000.0</v>
      </c>
      <c r="C1230" s="19">
        <f t="shared" si="319"/>
        <v>2125</v>
      </c>
      <c r="D1230" s="20">
        <v>45930.0</v>
      </c>
      <c r="E1230" s="17" t="s">
        <v>75</v>
      </c>
      <c r="F1230" s="17" t="s">
        <v>12</v>
      </c>
    </row>
    <row r="1231">
      <c r="A1231" s="17" t="s">
        <v>1196</v>
      </c>
      <c r="B1231" s="18">
        <v>100000.0</v>
      </c>
      <c r="C1231" s="19">
        <f>0.0175*B1231</f>
        <v>1750</v>
      </c>
      <c r="D1231" s="20">
        <v>45930.0</v>
      </c>
      <c r="E1231" s="17" t="s">
        <v>11</v>
      </c>
      <c r="F1231" s="17" t="s">
        <v>28</v>
      </c>
      <c r="I1231" s="35" t="s">
        <v>30</v>
      </c>
    </row>
    <row r="1232">
      <c r="A1232" s="17" t="s">
        <v>1197</v>
      </c>
      <c r="B1232" s="18">
        <v>16000.0</v>
      </c>
      <c r="C1232" s="19">
        <f>0.0125*B1232</f>
        <v>200</v>
      </c>
      <c r="D1232" s="20">
        <v>45930.0</v>
      </c>
      <c r="E1232" s="17" t="s">
        <v>11</v>
      </c>
      <c r="F1232" s="17" t="s">
        <v>12</v>
      </c>
      <c r="I1232" s="36"/>
    </row>
    <row r="1233">
      <c r="A1233" s="17" t="s">
        <v>1198</v>
      </c>
      <c r="B1233" s="18">
        <v>300000.0</v>
      </c>
      <c r="C1233" s="19">
        <f>0.0175*B1233</f>
        <v>5250</v>
      </c>
      <c r="D1233" s="20">
        <v>45930.0</v>
      </c>
      <c r="E1233" s="17" t="s">
        <v>24</v>
      </c>
      <c r="F1233" s="17" t="s">
        <v>28</v>
      </c>
      <c r="H1233" s="17" t="s">
        <v>1199</v>
      </c>
    </row>
    <row r="1234">
      <c r="A1234" s="17" t="s">
        <v>1200</v>
      </c>
      <c r="B1234" s="32">
        <v>500000.0</v>
      </c>
      <c r="C1234" s="19">
        <f>0.0125*B1234</f>
        <v>6250</v>
      </c>
      <c r="D1234" s="20">
        <v>45930.0</v>
      </c>
      <c r="E1234" s="17" t="s">
        <v>951</v>
      </c>
      <c r="F1234" s="17" t="s">
        <v>12</v>
      </c>
      <c r="H1234" s="17" t="s">
        <v>22</v>
      </c>
    </row>
    <row r="1235">
      <c r="A1235" s="17" t="s">
        <v>1000</v>
      </c>
      <c r="B1235" s="32">
        <v>100000.0</v>
      </c>
      <c r="C1235" s="19">
        <f t="shared" ref="C1235:C1236" si="320">0.0175*B1235</f>
        <v>1750</v>
      </c>
      <c r="D1235" s="20">
        <v>45930.0</v>
      </c>
      <c r="E1235" s="17" t="s">
        <v>60</v>
      </c>
      <c r="F1235" s="17" t="s">
        <v>67</v>
      </c>
      <c r="I1235" s="35" t="s">
        <v>30</v>
      </c>
    </row>
    <row r="1236">
      <c r="A1236" s="17" t="s">
        <v>331</v>
      </c>
      <c r="B1236" s="32">
        <v>395000.0</v>
      </c>
      <c r="C1236" s="33">
        <f t="shared" si="320"/>
        <v>6912.5</v>
      </c>
      <c r="D1236" s="20">
        <v>45930.0</v>
      </c>
      <c r="E1236" s="17" t="s">
        <v>180</v>
      </c>
      <c r="F1236" s="17" t="s">
        <v>12</v>
      </c>
    </row>
    <row r="1237">
      <c r="A1237" s="17" t="s">
        <v>1201</v>
      </c>
      <c r="B1237" s="32">
        <v>1350000.0</v>
      </c>
      <c r="C1237" s="33">
        <f>0.0125*B1237</f>
        <v>16875</v>
      </c>
      <c r="D1237" s="20">
        <v>45930.0</v>
      </c>
      <c r="E1237" s="17" t="s">
        <v>24</v>
      </c>
      <c r="F1237" s="17" t="s">
        <v>12</v>
      </c>
      <c r="H1237" s="17" t="s">
        <v>996</v>
      </c>
    </row>
    <row r="1238">
      <c r="A1238" s="12">
        <v>45931.0</v>
      </c>
      <c r="B1238" s="13">
        <f t="shared" ref="B1238:C1238" si="321">SUM(B1239:B1369)</f>
        <v>28002000</v>
      </c>
      <c r="C1238" s="13">
        <f t="shared" si="321"/>
        <v>411017.5</v>
      </c>
      <c r="D1238" s="14"/>
      <c r="E1238" s="15"/>
      <c r="F1238" s="15"/>
      <c r="G1238" s="15"/>
      <c r="H1238" s="16"/>
      <c r="I1238" s="16"/>
      <c r="J1238" s="16"/>
      <c r="K1238" s="16"/>
    </row>
    <row r="1239">
      <c r="A1239" s="17" t="s">
        <v>1202</v>
      </c>
      <c r="B1239" s="32">
        <v>70000.0</v>
      </c>
      <c r="C1239" s="33">
        <f>0.0125*B1239</f>
        <v>875</v>
      </c>
      <c r="D1239" s="20">
        <v>45931.0</v>
      </c>
      <c r="E1239" s="17" t="s">
        <v>24</v>
      </c>
      <c r="F1239" s="17" t="s">
        <v>12</v>
      </c>
      <c r="H1239" s="17" t="s">
        <v>619</v>
      </c>
    </row>
    <row r="1240">
      <c r="A1240" s="17" t="s">
        <v>1203</v>
      </c>
      <c r="B1240" s="32">
        <v>50000.0</v>
      </c>
      <c r="C1240" s="33">
        <f t="shared" ref="C1240:C1243" si="322">0.0175*B1240</f>
        <v>875</v>
      </c>
      <c r="D1240" s="20">
        <v>45931.0</v>
      </c>
      <c r="E1240" s="17" t="s">
        <v>11</v>
      </c>
      <c r="F1240" s="17" t="s">
        <v>28</v>
      </c>
      <c r="I1240" s="35" t="s">
        <v>30</v>
      </c>
    </row>
    <row r="1241">
      <c r="A1241" s="17" t="s">
        <v>1204</v>
      </c>
      <c r="B1241" s="32">
        <v>20000.0</v>
      </c>
      <c r="C1241" s="33">
        <f t="shared" si="322"/>
        <v>350</v>
      </c>
      <c r="D1241" s="20">
        <v>45931.0</v>
      </c>
      <c r="E1241" s="17" t="s">
        <v>11</v>
      </c>
      <c r="F1241" s="17" t="s">
        <v>28</v>
      </c>
      <c r="I1241" s="35" t="s">
        <v>30</v>
      </c>
    </row>
    <row r="1242">
      <c r="A1242" s="17" t="s">
        <v>1205</v>
      </c>
      <c r="B1242" s="18">
        <v>50000.0</v>
      </c>
      <c r="C1242" s="19">
        <f t="shared" si="322"/>
        <v>875</v>
      </c>
      <c r="D1242" s="20">
        <v>45931.0</v>
      </c>
      <c r="E1242" s="17" t="s">
        <v>11</v>
      </c>
      <c r="F1242" s="17" t="s">
        <v>28</v>
      </c>
      <c r="I1242" s="35" t="s">
        <v>30</v>
      </c>
    </row>
    <row r="1243">
      <c r="A1243" s="17" t="s">
        <v>1206</v>
      </c>
      <c r="B1243" s="18">
        <v>120000.0</v>
      </c>
      <c r="C1243" s="19">
        <f t="shared" si="322"/>
        <v>2100</v>
      </c>
      <c r="D1243" s="20">
        <v>45931.0</v>
      </c>
      <c r="E1243" s="17" t="s">
        <v>1207</v>
      </c>
      <c r="F1243" s="17" t="s">
        <v>41</v>
      </c>
      <c r="H1243" s="17" t="s">
        <v>13</v>
      </c>
    </row>
    <row r="1244">
      <c r="A1244" s="17" t="s">
        <v>1208</v>
      </c>
      <c r="B1244" s="18">
        <v>19500.0</v>
      </c>
      <c r="C1244" s="19">
        <f>0.0125*B1244</f>
        <v>243.75</v>
      </c>
      <c r="D1244" s="20">
        <v>45931.0</v>
      </c>
      <c r="E1244" s="17" t="s">
        <v>15</v>
      </c>
      <c r="F1244" s="17" t="s">
        <v>12</v>
      </c>
      <c r="H1244" s="31" t="s">
        <v>54</v>
      </c>
      <c r="K1244" s="17">
        <v>117.0</v>
      </c>
    </row>
    <row r="1245">
      <c r="A1245" s="17" t="s">
        <v>1209</v>
      </c>
      <c r="B1245" s="18">
        <v>500000.0</v>
      </c>
      <c r="C1245" s="19">
        <f t="shared" ref="C1245:C1247" si="323">0.0175*B1245</f>
        <v>8750</v>
      </c>
      <c r="D1245" s="20">
        <v>45931.0</v>
      </c>
      <c r="E1245" s="17" t="s">
        <v>118</v>
      </c>
      <c r="F1245" s="17" t="s">
        <v>41</v>
      </c>
      <c r="H1245" s="17" t="s">
        <v>13</v>
      </c>
      <c r="I1245" s="35" t="s">
        <v>30</v>
      </c>
    </row>
    <row r="1246">
      <c r="A1246" s="17" t="s">
        <v>1210</v>
      </c>
      <c r="B1246" s="18">
        <v>30000.0</v>
      </c>
      <c r="C1246" s="19">
        <f t="shared" si="323"/>
        <v>525</v>
      </c>
      <c r="D1246" s="20">
        <v>45931.0</v>
      </c>
      <c r="E1246" s="17" t="s">
        <v>939</v>
      </c>
      <c r="F1246" s="17" t="s">
        <v>28</v>
      </c>
      <c r="H1246" s="17" t="s">
        <v>13</v>
      </c>
      <c r="I1246" s="35" t="s">
        <v>30</v>
      </c>
    </row>
    <row r="1247">
      <c r="A1247" s="17" t="s">
        <v>1211</v>
      </c>
      <c r="B1247" s="18">
        <v>200000.0</v>
      </c>
      <c r="C1247" s="33">
        <f t="shared" si="323"/>
        <v>3500</v>
      </c>
      <c r="D1247" s="20">
        <v>45932.0</v>
      </c>
      <c r="E1247" s="17" t="s">
        <v>15</v>
      </c>
      <c r="F1247" s="17" t="s">
        <v>28</v>
      </c>
      <c r="H1247" s="31" t="s">
        <v>54</v>
      </c>
      <c r="K1247" s="17">
        <v>1200.0</v>
      </c>
    </row>
    <row r="1248">
      <c r="A1248" s="17" t="s">
        <v>688</v>
      </c>
      <c r="B1248" s="18">
        <v>150000.0</v>
      </c>
      <c r="C1248" s="19">
        <f>0.0125*B1248</f>
        <v>1875</v>
      </c>
      <c r="D1248" s="20">
        <v>45932.0</v>
      </c>
      <c r="E1248" s="17" t="s">
        <v>11</v>
      </c>
      <c r="F1248" s="17" t="s">
        <v>12</v>
      </c>
    </row>
    <row r="1249">
      <c r="A1249" s="17" t="s">
        <v>1212</v>
      </c>
      <c r="B1249" s="18">
        <v>100000.0</v>
      </c>
      <c r="C1249" s="19">
        <f>0.0175*B1249</f>
        <v>1750</v>
      </c>
      <c r="D1249" s="20">
        <v>45932.0</v>
      </c>
      <c r="E1249" s="17" t="s">
        <v>15</v>
      </c>
      <c r="F1249" s="17" t="s">
        <v>28</v>
      </c>
      <c r="H1249" s="31" t="s">
        <v>35</v>
      </c>
    </row>
    <row r="1250">
      <c r="A1250" s="17" t="s">
        <v>564</v>
      </c>
      <c r="B1250" s="18">
        <v>25000.0</v>
      </c>
      <c r="C1250" s="19">
        <f>0.0125*B1250</f>
        <v>312.5</v>
      </c>
      <c r="D1250" s="20">
        <v>45932.0</v>
      </c>
      <c r="E1250" s="17" t="s">
        <v>24</v>
      </c>
      <c r="F1250" s="17" t="s">
        <v>144</v>
      </c>
    </row>
    <row r="1251">
      <c r="A1251" s="17" t="s">
        <v>1213</v>
      </c>
      <c r="B1251" s="18">
        <v>250000.0</v>
      </c>
      <c r="C1251" s="19">
        <f t="shared" ref="C1251:C1252" si="324">0.0175*B1251</f>
        <v>4375</v>
      </c>
      <c r="D1251" s="20">
        <v>45932.0</v>
      </c>
      <c r="E1251" s="17" t="s">
        <v>15</v>
      </c>
      <c r="F1251" s="17" t="s">
        <v>41</v>
      </c>
      <c r="H1251" s="31" t="s">
        <v>220</v>
      </c>
      <c r="I1251" s="35" t="s">
        <v>30</v>
      </c>
      <c r="K1251" s="17">
        <v>875.0</v>
      </c>
    </row>
    <row r="1252">
      <c r="A1252" s="17" t="s">
        <v>865</v>
      </c>
      <c r="B1252" s="18">
        <v>50000.0</v>
      </c>
      <c r="C1252" s="19">
        <f t="shared" si="324"/>
        <v>875</v>
      </c>
      <c r="D1252" s="20">
        <v>45932.0</v>
      </c>
      <c r="E1252" s="17" t="s">
        <v>11</v>
      </c>
      <c r="F1252" s="17" t="s">
        <v>67</v>
      </c>
      <c r="I1252" s="35" t="s">
        <v>30</v>
      </c>
    </row>
    <row r="1253">
      <c r="A1253" s="17" t="s">
        <v>1214</v>
      </c>
      <c r="B1253" s="32">
        <v>900000.0</v>
      </c>
      <c r="C1253" s="33">
        <f>0.0125*B1253</f>
        <v>11250</v>
      </c>
      <c r="D1253" s="20">
        <v>45933.0</v>
      </c>
      <c r="E1253" s="17" t="s">
        <v>15</v>
      </c>
      <c r="F1253" s="17" t="s">
        <v>12</v>
      </c>
      <c r="H1253" s="31" t="s">
        <v>282</v>
      </c>
    </row>
    <row r="1254">
      <c r="A1254" s="17" t="s">
        <v>1215</v>
      </c>
      <c r="B1254" s="32">
        <v>50000.0</v>
      </c>
      <c r="C1254" s="33">
        <f>0.0175*B1254</f>
        <v>875</v>
      </c>
      <c r="D1254" s="20">
        <v>45933.0</v>
      </c>
      <c r="E1254" s="17" t="s">
        <v>11</v>
      </c>
      <c r="F1254" s="17" t="s">
        <v>28</v>
      </c>
      <c r="I1254" s="35" t="s">
        <v>30</v>
      </c>
    </row>
    <row r="1255">
      <c r="A1255" s="17" t="s">
        <v>1216</v>
      </c>
      <c r="B1255" s="32">
        <v>350000.0</v>
      </c>
      <c r="C1255" s="33">
        <f t="shared" ref="C1255:C1256" si="325">0.0125*B1255</f>
        <v>4375</v>
      </c>
      <c r="D1255" s="20">
        <v>45933.0</v>
      </c>
      <c r="E1255" s="17" t="s">
        <v>11</v>
      </c>
      <c r="F1255" s="17" t="s">
        <v>12</v>
      </c>
      <c r="H1255" s="31"/>
    </row>
    <row r="1256">
      <c r="A1256" s="17" t="s">
        <v>1217</v>
      </c>
      <c r="B1256" s="32">
        <v>870000.0</v>
      </c>
      <c r="C1256" s="33">
        <f t="shared" si="325"/>
        <v>10875</v>
      </c>
      <c r="D1256" s="20">
        <v>45933.0</v>
      </c>
      <c r="E1256" s="17" t="s">
        <v>24</v>
      </c>
      <c r="F1256" s="17" t="s">
        <v>12</v>
      </c>
      <c r="H1256" s="17" t="s">
        <v>619</v>
      </c>
    </row>
    <row r="1257">
      <c r="A1257" s="17" t="s">
        <v>1218</v>
      </c>
      <c r="B1257" s="32">
        <v>25000.0</v>
      </c>
      <c r="C1257" s="33">
        <f>0.0175*B1257</f>
        <v>437.5</v>
      </c>
      <c r="D1257" s="20">
        <v>45933.0</v>
      </c>
      <c r="E1257" s="17" t="s">
        <v>11</v>
      </c>
      <c r="F1257" s="17" t="s">
        <v>28</v>
      </c>
      <c r="I1257" s="35" t="s">
        <v>30</v>
      </c>
    </row>
    <row r="1258">
      <c r="A1258" s="17" t="s">
        <v>348</v>
      </c>
      <c r="B1258" s="32">
        <v>800000.0</v>
      </c>
      <c r="C1258" s="33">
        <f t="shared" ref="C1258:C1259" si="326">0.0125*B1258</f>
        <v>10000</v>
      </c>
      <c r="D1258" s="20">
        <v>45933.0</v>
      </c>
      <c r="E1258" s="17" t="s">
        <v>60</v>
      </c>
      <c r="F1258" s="17" t="s">
        <v>12</v>
      </c>
    </row>
    <row r="1259">
      <c r="A1259" s="17" t="s">
        <v>1219</v>
      </c>
      <c r="B1259" s="32">
        <v>450000.0</v>
      </c>
      <c r="C1259" s="33">
        <f t="shared" si="326"/>
        <v>5625</v>
      </c>
      <c r="D1259" s="20">
        <v>45933.0</v>
      </c>
      <c r="E1259" s="17" t="s">
        <v>15</v>
      </c>
      <c r="F1259" s="17" t="s">
        <v>12</v>
      </c>
      <c r="H1259" s="31" t="s">
        <v>16</v>
      </c>
      <c r="K1259" s="17">
        <v>1800.0</v>
      </c>
    </row>
    <row r="1260">
      <c r="A1260" s="17" t="s">
        <v>1220</v>
      </c>
      <c r="B1260" s="32">
        <v>52000.0</v>
      </c>
      <c r="C1260" s="33">
        <f t="shared" ref="C1260:C1261" si="327">0.0175*B1260</f>
        <v>910</v>
      </c>
      <c r="D1260" s="20">
        <v>45936.0</v>
      </c>
      <c r="E1260" s="17" t="s">
        <v>1221</v>
      </c>
      <c r="F1260" s="17" t="s">
        <v>28</v>
      </c>
      <c r="I1260" s="35" t="s">
        <v>30</v>
      </c>
    </row>
    <row r="1261">
      <c r="A1261" s="17" t="s">
        <v>1222</v>
      </c>
      <c r="B1261" s="32">
        <v>20000.0</v>
      </c>
      <c r="C1261" s="33">
        <f t="shared" si="327"/>
        <v>350</v>
      </c>
      <c r="D1261" s="20">
        <v>45936.0</v>
      </c>
      <c r="E1261" s="17" t="s">
        <v>11</v>
      </c>
      <c r="F1261" s="17" t="s">
        <v>28</v>
      </c>
      <c r="I1261" s="35" t="s">
        <v>30</v>
      </c>
    </row>
    <row r="1262">
      <c r="A1262" s="17" t="s">
        <v>1223</v>
      </c>
      <c r="B1262" s="32">
        <v>245000.0</v>
      </c>
      <c r="C1262" s="33">
        <f t="shared" ref="C1262:C1267" si="328">0.0125*B1262</f>
        <v>3062.5</v>
      </c>
      <c r="D1262" s="20">
        <v>45937.0</v>
      </c>
      <c r="E1262" s="17" t="s">
        <v>60</v>
      </c>
      <c r="F1262" s="17" t="s">
        <v>12</v>
      </c>
    </row>
    <row r="1263">
      <c r="A1263" s="17" t="s">
        <v>1104</v>
      </c>
      <c r="B1263" s="32">
        <v>85000.0</v>
      </c>
      <c r="C1263" s="33">
        <f t="shared" si="328"/>
        <v>1062.5</v>
      </c>
      <c r="D1263" s="20">
        <v>45937.0</v>
      </c>
      <c r="E1263" s="17" t="s">
        <v>11</v>
      </c>
      <c r="F1263" s="17" t="s">
        <v>12</v>
      </c>
    </row>
    <row r="1264">
      <c r="A1264" s="17" t="s">
        <v>622</v>
      </c>
      <c r="B1264" s="32">
        <v>145000.0</v>
      </c>
      <c r="C1264" s="33">
        <f t="shared" si="328"/>
        <v>1812.5</v>
      </c>
      <c r="D1264" s="20">
        <v>45937.0</v>
      </c>
      <c r="E1264" s="17" t="s">
        <v>15</v>
      </c>
      <c r="F1264" s="17" t="s">
        <v>12</v>
      </c>
      <c r="H1264" s="31" t="s">
        <v>16</v>
      </c>
      <c r="K1264" s="17">
        <v>580.0</v>
      </c>
    </row>
    <row r="1265">
      <c r="A1265" s="17" t="s">
        <v>592</v>
      </c>
      <c r="B1265" s="32">
        <v>110000.0</v>
      </c>
      <c r="C1265" s="33">
        <f t="shared" si="328"/>
        <v>1375</v>
      </c>
      <c r="D1265" s="20">
        <v>45937.0</v>
      </c>
      <c r="E1265" s="17" t="s">
        <v>1207</v>
      </c>
      <c r="F1265" s="17" t="s">
        <v>12</v>
      </c>
    </row>
    <row r="1266">
      <c r="A1266" s="17" t="s">
        <v>733</v>
      </c>
      <c r="B1266" s="32">
        <v>500000.0</v>
      </c>
      <c r="C1266" s="33">
        <f t="shared" si="328"/>
        <v>6250</v>
      </c>
      <c r="D1266" s="20">
        <v>45937.0</v>
      </c>
      <c r="E1266" s="17" t="s">
        <v>11</v>
      </c>
      <c r="F1266" s="17" t="s">
        <v>12</v>
      </c>
    </row>
    <row r="1267">
      <c r="A1267" s="17" t="s">
        <v>1224</v>
      </c>
      <c r="B1267" s="32">
        <v>95000.0</v>
      </c>
      <c r="C1267" s="33">
        <f t="shared" si="328"/>
        <v>1187.5</v>
      </c>
      <c r="D1267" s="20">
        <v>45937.0</v>
      </c>
      <c r="E1267" s="17" t="s">
        <v>11</v>
      </c>
      <c r="F1267" s="17" t="s">
        <v>12</v>
      </c>
    </row>
    <row r="1268">
      <c r="A1268" s="17" t="s">
        <v>1225</v>
      </c>
      <c r="B1268" s="32">
        <v>25000.0</v>
      </c>
      <c r="C1268" s="33">
        <f t="shared" ref="C1268:C1271" si="329">0.0175*B1268</f>
        <v>437.5</v>
      </c>
      <c r="D1268" s="20">
        <v>45937.0</v>
      </c>
      <c r="E1268" s="17" t="s">
        <v>118</v>
      </c>
      <c r="F1268" s="17" t="s">
        <v>28</v>
      </c>
      <c r="H1268" s="17" t="s">
        <v>13</v>
      </c>
      <c r="I1268" s="35" t="s">
        <v>30</v>
      </c>
    </row>
    <row r="1269">
      <c r="A1269" s="17" t="s">
        <v>1226</v>
      </c>
      <c r="B1269" s="32">
        <v>20000.0</v>
      </c>
      <c r="C1269" s="33">
        <f t="shared" si="329"/>
        <v>350</v>
      </c>
      <c r="D1269" s="20">
        <v>45937.0</v>
      </c>
      <c r="E1269" s="17" t="s">
        <v>1227</v>
      </c>
      <c r="F1269" s="17" t="s">
        <v>28</v>
      </c>
      <c r="H1269" s="17" t="s">
        <v>13</v>
      </c>
      <c r="I1269" s="35" t="s">
        <v>30</v>
      </c>
    </row>
    <row r="1270">
      <c r="A1270" s="17" t="s">
        <v>1228</v>
      </c>
      <c r="B1270" s="32">
        <v>250000.0</v>
      </c>
      <c r="C1270" s="33">
        <f t="shared" si="329"/>
        <v>4375</v>
      </c>
      <c r="D1270" s="20">
        <v>45937.0</v>
      </c>
      <c r="E1270" s="17" t="s">
        <v>943</v>
      </c>
      <c r="F1270" s="17" t="s">
        <v>28</v>
      </c>
      <c r="H1270" s="17" t="s">
        <v>1229</v>
      </c>
      <c r="I1270" s="35" t="s">
        <v>30</v>
      </c>
    </row>
    <row r="1271">
      <c r="A1271" s="17" t="s">
        <v>1230</v>
      </c>
      <c r="B1271" s="18">
        <v>150000.0</v>
      </c>
      <c r="C1271" s="19">
        <f t="shared" si="329"/>
        <v>2625</v>
      </c>
      <c r="D1271" s="20">
        <v>45937.0</v>
      </c>
      <c r="E1271" s="17" t="s">
        <v>15</v>
      </c>
      <c r="F1271" s="17" t="s">
        <v>28</v>
      </c>
      <c r="H1271" s="31" t="s">
        <v>54</v>
      </c>
      <c r="I1271" s="35" t="s">
        <v>30</v>
      </c>
      <c r="K1271" s="17">
        <v>900.0</v>
      </c>
    </row>
    <row r="1272">
      <c r="A1272" s="17" t="s">
        <v>1231</v>
      </c>
      <c r="B1272" s="32">
        <v>70000.0</v>
      </c>
      <c r="C1272" s="19">
        <f t="shared" ref="C1272:C1274" si="330">0.0125*B1272</f>
        <v>875</v>
      </c>
      <c r="D1272" s="20">
        <v>45937.0</v>
      </c>
      <c r="E1272" s="17" t="s">
        <v>60</v>
      </c>
      <c r="F1272" s="17" t="s">
        <v>12</v>
      </c>
    </row>
    <row r="1273">
      <c r="A1273" s="17" t="s">
        <v>1232</v>
      </c>
      <c r="B1273" s="32">
        <v>115000.0</v>
      </c>
      <c r="C1273" s="19">
        <f t="shared" si="330"/>
        <v>1437.5</v>
      </c>
      <c r="D1273" s="20">
        <v>45937.0</v>
      </c>
      <c r="E1273" s="17" t="s">
        <v>60</v>
      </c>
      <c r="F1273" s="17" t="s">
        <v>28</v>
      </c>
    </row>
    <row r="1274">
      <c r="A1274" s="17" t="s">
        <v>353</v>
      </c>
      <c r="B1274" s="18">
        <v>350000.0</v>
      </c>
      <c r="C1274" s="19">
        <f t="shared" si="330"/>
        <v>4375</v>
      </c>
      <c r="D1274" s="20">
        <v>45938.0</v>
      </c>
      <c r="E1274" s="17" t="s">
        <v>11</v>
      </c>
      <c r="F1274" s="17" t="s">
        <v>12</v>
      </c>
    </row>
    <row r="1275">
      <c r="A1275" s="17" t="s">
        <v>1233</v>
      </c>
      <c r="B1275" s="18">
        <v>50000.0</v>
      </c>
      <c r="C1275" s="19">
        <f t="shared" ref="C1275:C1280" si="331">0.0175*B1275</f>
        <v>875</v>
      </c>
      <c r="D1275" s="20">
        <v>45938.0</v>
      </c>
      <c r="E1275" s="17" t="s">
        <v>15</v>
      </c>
      <c r="F1275" s="17" t="s">
        <v>28</v>
      </c>
      <c r="H1275" s="31" t="s">
        <v>54</v>
      </c>
      <c r="I1275" s="35" t="s">
        <v>30</v>
      </c>
      <c r="K1275" s="17">
        <v>300.0</v>
      </c>
    </row>
    <row r="1276">
      <c r="A1276" s="17" t="s">
        <v>1234</v>
      </c>
      <c r="B1276" s="18">
        <v>400000.0</v>
      </c>
      <c r="C1276" s="19">
        <f t="shared" si="331"/>
        <v>7000</v>
      </c>
      <c r="D1276" s="20">
        <v>45938.0</v>
      </c>
      <c r="E1276" s="17" t="s">
        <v>60</v>
      </c>
      <c r="F1276" s="17" t="s">
        <v>28</v>
      </c>
      <c r="I1276" s="35" t="s">
        <v>30</v>
      </c>
    </row>
    <row r="1277">
      <c r="A1277" s="17" t="s">
        <v>1235</v>
      </c>
      <c r="B1277" s="18">
        <v>300000.0</v>
      </c>
      <c r="C1277" s="19">
        <f t="shared" si="331"/>
        <v>5250</v>
      </c>
      <c r="D1277" s="20">
        <v>45938.0</v>
      </c>
      <c r="E1277" s="17" t="s">
        <v>11</v>
      </c>
      <c r="F1277" s="17" t="s">
        <v>28</v>
      </c>
      <c r="I1277" s="35" t="s">
        <v>30</v>
      </c>
    </row>
    <row r="1278">
      <c r="A1278" s="17" t="s">
        <v>1236</v>
      </c>
      <c r="B1278" s="18">
        <v>25000.0</v>
      </c>
      <c r="C1278" s="19">
        <f t="shared" si="331"/>
        <v>437.5</v>
      </c>
      <c r="D1278" s="20">
        <v>45938.0</v>
      </c>
      <c r="E1278" s="17" t="s">
        <v>15</v>
      </c>
      <c r="F1278" s="17" t="s">
        <v>28</v>
      </c>
      <c r="H1278" s="31" t="s">
        <v>54</v>
      </c>
      <c r="I1278" s="35" t="s">
        <v>30</v>
      </c>
    </row>
    <row r="1279">
      <c r="A1279" s="17" t="s">
        <v>1237</v>
      </c>
      <c r="B1279" s="32">
        <v>500000.0</v>
      </c>
      <c r="C1279" s="19">
        <f t="shared" si="331"/>
        <v>8750</v>
      </c>
      <c r="D1279" s="20">
        <v>45938.0</v>
      </c>
      <c r="E1279" s="17" t="s">
        <v>376</v>
      </c>
      <c r="F1279" s="17" t="s">
        <v>28</v>
      </c>
      <c r="H1279" s="17" t="s">
        <v>13</v>
      </c>
      <c r="I1279" s="35" t="s">
        <v>30</v>
      </c>
    </row>
    <row r="1280">
      <c r="A1280" s="17" t="s">
        <v>1238</v>
      </c>
      <c r="B1280" s="32">
        <v>60000.0</v>
      </c>
      <c r="C1280" s="33">
        <f t="shared" si="331"/>
        <v>1050</v>
      </c>
      <c r="D1280" s="20">
        <v>45939.0</v>
      </c>
      <c r="E1280" s="17" t="s">
        <v>40</v>
      </c>
      <c r="F1280" s="17" t="s">
        <v>28</v>
      </c>
    </row>
    <row r="1281">
      <c r="A1281" s="17" t="s">
        <v>454</v>
      </c>
      <c r="B1281" s="32">
        <v>200000.0</v>
      </c>
      <c r="C1281" s="33">
        <f t="shared" ref="C1281:C1282" si="332">0.0125*B1281</f>
        <v>2500</v>
      </c>
      <c r="D1281" s="20">
        <v>45939.0</v>
      </c>
      <c r="E1281" s="17" t="s">
        <v>11</v>
      </c>
      <c r="F1281" s="17" t="s">
        <v>144</v>
      </c>
    </row>
    <row r="1282">
      <c r="A1282" s="17" t="s">
        <v>1239</v>
      </c>
      <c r="B1282" s="32">
        <v>925000.0</v>
      </c>
      <c r="C1282" s="33">
        <f t="shared" si="332"/>
        <v>11562.5</v>
      </c>
      <c r="D1282" s="20">
        <v>45939.0</v>
      </c>
      <c r="E1282" s="17" t="s">
        <v>11</v>
      </c>
      <c r="F1282" s="17" t="s">
        <v>12</v>
      </c>
    </row>
    <row r="1283">
      <c r="A1283" s="17" t="s">
        <v>1240</v>
      </c>
      <c r="B1283" s="32">
        <v>150000.0</v>
      </c>
      <c r="C1283" s="33">
        <f>0.0175*B1283</f>
        <v>2625</v>
      </c>
      <c r="D1283" s="20">
        <v>45939.0</v>
      </c>
      <c r="E1283" s="17" t="s">
        <v>118</v>
      </c>
      <c r="F1283" s="17" t="s">
        <v>28</v>
      </c>
      <c r="H1283" s="17" t="s">
        <v>13</v>
      </c>
      <c r="I1283" s="35" t="s">
        <v>30</v>
      </c>
    </row>
    <row r="1284">
      <c r="A1284" s="17" t="s">
        <v>1241</v>
      </c>
      <c r="B1284" s="32">
        <v>105000.0</v>
      </c>
      <c r="C1284" s="33">
        <f t="shared" ref="C1284:C1285" si="333">0.0125*B1284</f>
        <v>1312.5</v>
      </c>
      <c r="D1284" s="20">
        <v>45940.0</v>
      </c>
      <c r="E1284" s="17" t="s">
        <v>15</v>
      </c>
      <c r="F1284" s="17" t="s">
        <v>12</v>
      </c>
      <c r="H1284" s="31" t="s">
        <v>54</v>
      </c>
      <c r="K1284" s="17">
        <v>630.0</v>
      </c>
    </row>
    <row r="1285">
      <c r="A1285" s="17" t="s">
        <v>1242</v>
      </c>
      <c r="B1285" s="32">
        <v>165000.0</v>
      </c>
      <c r="C1285" s="33">
        <f t="shared" si="333"/>
        <v>2062.5</v>
      </c>
      <c r="D1285" s="20">
        <v>45940.0</v>
      </c>
      <c r="E1285" s="17" t="s">
        <v>1207</v>
      </c>
      <c r="F1285" s="17" t="s">
        <v>12</v>
      </c>
      <c r="H1285" s="17" t="s">
        <v>22</v>
      </c>
    </row>
    <row r="1286">
      <c r="A1286" s="17" t="s">
        <v>1243</v>
      </c>
      <c r="B1286" s="32">
        <v>90000.0</v>
      </c>
      <c r="C1286" s="33">
        <f>0.0175*B1286</f>
        <v>1575</v>
      </c>
      <c r="D1286" s="20">
        <v>45940.0</v>
      </c>
      <c r="E1286" s="17" t="s">
        <v>24</v>
      </c>
      <c r="F1286" s="17" t="s">
        <v>28</v>
      </c>
      <c r="H1286" s="17" t="s">
        <v>642</v>
      </c>
      <c r="I1286" s="35" t="s">
        <v>30</v>
      </c>
    </row>
    <row r="1287">
      <c r="A1287" s="17" t="s">
        <v>1244</v>
      </c>
      <c r="B1287" s="32">
        <v>200000.0</v>
      </c>
      <c r="C1287" s="33">
        <f>0.0125*B1287</f>
        <v>2500</v>
      </c>
      <c r="D1287" s="20">
        <v>45940.0</v>
      </c>
      <c r="E1287" s="17" t="s">
        <v>24</v>
      </c>
      <c r="F1287" s="17" t="s">
        <v>12</v>
      </c>
      <c r="H1287" s="17" t="s">
        <v>619</v>
      </c>
    </row>
    <row r="1288">
      <c r="A1288" s="17" t="s">
        <v>1245</v>
      </c>
      <c r="B1288" s="32">
        <v>55000.0</v>
      </c>
      <c r="C1288" s="33">
        <f>0.0175*B1288</f>
        <v>962.5</v>
      </c>
      <c r="D1288" s="20">
        <v>45940.0</v>
      </c>
      <c r="E1288" s="17" t="s">
        <v>15</v>
      </c>
      <c r="F1288" s="17" t="s">
        <v>28</v>
      </c>
      <c r="H1288" s="31" t="s">
        <v>98</v>
      </c>
      <c r="I1288" s="35" t="s">
        <v>30</v>
      </c>
      <c r="K1288" s="17">
        <v>165.0</v>
      </c>
    </row>
    <row r="1289">
      <c r="A1289" s="17" t="s">
        <v>1246</v>
      </c>
      <c r="B1289" s="32">
        <v>100000.0</v>
      </c>
      <c r="C1289" s="33">
        <f>0.0125*B1289</f>
        <v>1250</v>
      </c>
      <c r="D1289" s="20">
        <v>45944.0</v>
      </c>
      <c r="E1289" s="17" t="s">
        <v>11</v>
      </c>
      <c r="F1289" s="17" t="s">
        <v>12</v>
      </c>
    </row>
    <row r="1290">
      <c r="A1290" s="17" t="s">
        <v>1247</v>
      </c>
      <c r="B1290" s="32">
        <v>171500.0</v>
      </c>
      <c r="C1290" s="33">
        <f>0.0175*B1290</f>
        <v>3001.25</v>
      </c>
      <c r="D1290" s="20">
        <v>45944.0</v>
      </c>
      <c r="E1290" s="17" t="s">
        <v>11</v>
      </c>
      <c r="F1290" s="17" t="s">
        <v>28</v>
      </c>
      <c r="I1290" s="35" t="s">
        <v>30</v>
      </c>
    </row>
    <row r="1291">
      <c r="A1291" s="17" t="s">
        <v>1248</v>
      </c>
      <c r="B1291" s="32">
        <v>500000.0</v>
      </c>
      <c r="C1291" s="33">
        <f>0.0125*B1291</f>
        <v>6250</v>
      </c>
      <c r="D1291" s="20">
        <v>45944.0</v>
      </c>
      <c r="E1291" s="17" t="s">
        <v>11</v>
      </c>
      <c r="F1291" s="17" t="s">
        <v>12</v>
      </c>
    </row>
    <row r="1292">
      <c r="A1292" s="17" t="s">
        <v>1249</v>
      </c>
      <c r="B1292" s="32">
        <v>100000.0</v>
      </c>
      <c r="C1292" s="33">
        <f>0.0175*B1292</f>
        <v>1750</v>
      </c>
      <c r="D1292" s="20">
        <v>45944.0</v>
      </c>
      <c r="E1292" s="17" t="s">
        <v>11</v>
      </c>
      <c r="F1292" s="17" t="s">
        <v>28</v>
      </c>
      <c r="I1292" s="35" t="s">
        <v>30</v>
      </c>
    </row>
    <row r="1293">
      <c r="A1293" s="17" t="s">
        <v>1250</v>
      </c>
      <c r="B1293" s="32">
        <v>107500.0</v>
      </c>
      <c r="C1293" s="33">
        <f t="shared" ref="C1293:C1294" si="334">0.0125*B1293</f>
        <v>1343.75</v>
      </c>
      <c r="D1293" s="20">
        <v>45944.0</v>
      </c>
      <c r="E1293" s="17" t="s">
        <v>11</v>
      </c>
      <c r="F1293" s="17" t="s">
        <v>12</v>
      </c>
    </row>
    <row r="1294">
      <c r="A1294" s="17" t="s">
        <v>1251</v>
      </c>
      <c r="B1294" s="32">
        <v>75000.0</v>
      </c>
      <c r="C1294" s="33">
        <f t="shared" si="334"/>
        <v>937.5</v>
      </c>
      <c r="D1294" s="20">
        <v>45944.0</v>
      </c>
      <c r="E1294" s="17" t="s">
        <v>11</v>
      </c>
      <c r="F1294" s="17" t="s">
        <v>12</v>
      </c>
    </row>
    <row r="1295">
      <c r="A1295" s="17" t="s">
        <v>1252</v>
      </c>
      <c r="B1295" s="32">
        <v>65000.0</v>
      </c>
      <c r="C1295" s="33">
        <f t="shared" ref="C1295:C1296" si="335">0.0175*B1295</f>
        <v>1137.5</v>
      </c>
      <c r="D1295" s="20">
        <v>45944.0</v>
      </c>
      <c r="E1295" s="17" t="s">
        <v>11</v>
      </c>
      <c r="F1295" s="17" t="s">
        <v>41</v>
      </c>
    </row>
    <row r="1296">
      <c r="A1296" s="17" t="s">
        <v>1253</v>
      </c>
      <c r="B1296" s="32">
        <v>75000.0</v>
      </c>
      <c r="C1296" s="33">
        <f t="shared" si="335"/>
        <v>1312.5</v>
      </c>
      <c r="D1296" s="20">
        <v>45944.0</v>
      </c>
      <c r="E1296" s="17" t="s">
        <v>21</v>
      </c>
      <c r="F1296" s="17" t="s">
        <v>28</v>
      </c>
      <c r="H1296" s="17" t="s">
        <v>13</v>
      </c>
      <c r="I1296" s="35" t="s">
        <v>30</v>
      </c>
    </row>
    <row r="1297">
      <c r="A1297" s="17" t="s">
        <v>639</v>
      </c>
      <c r="B1297" s="32">
        <v>240000.0</v>
      </c>
      <c r="C1297" s="33">
        <f t="shared" ref="C1297:C1300" si="336">0.0125*B1297</f>
        <v>3000</v>
      </c>
      <c r="D1297" s="20">
        <v>45944.0</v>
      </c>
      <c r="E1297" s="17" t="s">
        <v>11</v>
      </c>
      <c r="F1297" s="17" t="s">
        <v>12</v>
      </c>
    </row>
    <row r="1298">
      <c r="A1298" s="17" t="s">
        <v>1254</v>
      </c>
      <c r="B1298" s="32">
        <v>20000.0</v>
      </c>
      <c r="C1298" s="33">
        <f t="shared" si="336"/>
        <v>250</v>
      </c>
      <c r="D1298" s="20">
        <v>45945.0</v>
      </c>
      <c r="E1298" s="17" t="s">
        <v>11</v>
      </c>
      <c r="F1298" s="17" t="s">
        <v>12</v>
      </c>
    </row>
    <row r="1299">
      <c r="A1299" s="17" t="s">
        <v>1255</v>
      </c>
      <c r="B1299" s="32">
        <v>110000.0</v>
      </c>
      <c r="C1299" s="33">
        <f t="shared" si="336"/>
        <v>1375</v>
      </c>
      <c r="D1299" s="20">
        <v>45945.0</v>
      </c>
      <c r="E1299" s="17" t="s">
        <v>376</v>
      </c>
      <c r="F1299" s="17" t="s">
        <v>12</v>
      </c>
    </row>
    <row r="1300">
      <c r="A1300" s="17" t="s">
        <v>1256</v>
      </c>
      <c r="B1300" s="32">
        <v>150000.0</v>
      </c>
      <c r="C1300" s="33">
        <f t="shared" si="336"/>
        <v>1875</v>
      </c>
      <c r="D1300" s="20">
        <v>45946.0</v>
      </c>
      <c r="E1300" s="17" t="s">
        <v>11</v>
      </c>
      <c r="F1300" s="17" t="s">
        <v>12</v>
      </c>
    </row>
    <row r="1301">
      <c r="A1301" s="17" t="s">
        <v>1257</v>
      </c>
      <c r="B1301" s="32">
        <v>200000.0</v>
      </c>
      <c r="C1301" s="33">
        <f>0.0175*B1301</f>
        <v>3500</v>
      </c>
      <c r="D1301" s="20">
        <v>45946.0</v>
      </c>
      <c r="E1301" s="17" t="s">
        <v>804</v>
      </c>
      <c r="F1301" s="17" t="s">
        <v>28</v>
      </c>
      <c r="H1301" s="17" t="s">
        <v>13</v>
      </c>
      <c r="I1301" s="35" t="s">
        <v>30</v>
      </c>
    </row>
    <row r="1302">
      <c r="A1302" s="17" t="s">
        <v>1258</v>
      </c>
      <c r="B1302" s="32">
        <v>415000.0</v>
      </c>
      <c r="C1302" s="33">
        <f>0.0125*B1302</f>
        <v>5187.5</v>
      </c>
      <c r="D1302" s="20">
        <v>45946.0</v>
      </c>
      <c r="E1302" s="17" t="s">
        <v>15</v>
      </c>
      <c r="F1302" s="17" t="s">
        <v>12</v>
      </c>
      <c r="H1302" s="31" t="s">
        <v>98</v>
      </c>
      <c r="K1302" s="17">
        <v>1245.0</v>
      </c>
    </row>
    <row r="1303">
      <c r="A1303" s="17" t="s">
        <v>498</v>
      </c>
      <c r="B1303" s="32">
        <v>350000.0</v>
      </c>
      <c r="C1303" s="33">
        <f t="shared" ref="C1303:C1304" si="337">0.0175*B1303</f>
        <v>6125</v>
      </c>
      <c r="D1303" s="20">
        <v>45946.0</v>
      </c>
      <c r="E1303" s="17" t="s">
        <v>15</v>
      </c>
      <c r="F1303" s="17" t="s">
        <v>41</v>
      </c>
      <c r="H1303" s="31" t="s">
        <v>98</v>
      </c>
      <c r="I1303" s="35" t="s">
        <v>30</v>
      </c>
      <c r="K1303" s="17">
        <v>1050.0</v>
      </c>
    </row>
    <row r="1304">
      <c r="A1304" s="17" t="s">
        <v>1259</v>
      </c>
      <c r="B1304" s="32">
        <v>165000.0</v>
      </c>
      <c r="C1304" s="33">
        <f t="shared" si="337"/>
        <v>2887.5</v>
      </c>
      <c r="D1304" s="20">
        <v>45946.0</v>
      </c>
      <c r="E1304" s="17" t="s">
        <v>118</v>
      </c>
      <c r="F1304" s="17" t="s">
        <v>28</v>
      </c>
      <c r="H1304" s="17" t="s">
        <v>13</v>
      </c>
      <c r="I1304" s="35" t="s">
        <v>30</v>
      </c>
    </row>
    <row r="1305">
      <c r="A1305" s="17" t="s">
        <v>1260</v>
      </c>
      <c r="B1305" s="32">
        <v>150000.0</v>
      </c>
      <c r="C1305" s="33">
        <f>0.0125*B1305</f>
        <v>1875</v>
      </c>
      <c r="D1305" s="20">
        <v>45947.0</v>
      </c>
      <c r="E1305" s="17" t="s">
        <v>40</v>
      </c>
      <c r="F1305" s="17" t="s">
        <v>144</v>
      </c>
    </row>
    <row r="1306">
      <c r="A1306" s="17" t="s">
        <v>1261</v>
      </c>
      <c r="B1306" s="32">
        <v>250000.0</v>
      </c>
      <c r="C1306" s="33">
        <f t="shared" ref="C1306:C1308" si="338">0.0175*B1306</f>
        <v>4375</v>
      </c>
      <c r="D1306" s="20">
        <v>45947.0</v>
      </c>
      <c r="E1306" s="17" t="s">
        <v>24</v>
      </c>
      <c r="F1306" s="17" t="s">
        <v>28</v>
      </c>
      <c r="H1306" s="17" t="s">
        <v>642</v>
      </c>
      <c r="I1306" s="35" t="s">
        <v>30</v>
      </c>
    </row>
    <row r="1307">
      <c r="A1307" s="17" t="s">
        <v>1262</v>
      </c>
      <c r="B1307" s="32">
        <v>100000.0</v>
      </c>
      <c r="C1307" s="33">
        <f t="shared" si="338"/>
        <v>1750</v>
      </c>
      <c r="D1307" s="20">
        <v>45947.0</v>
      </c>
      <c r="E1307" s="17" t="s">
        <v>11</v>
      </c>
      <c r="F1307" s="17" t="s">
        <v>28</v>
      </c>
      <c r="I1307" s="35" t="s">
        <v>30</v>
      </c>
    </row>
    <row r="1308">
      <c r="A1308" s="17" t="s">
        <v>1263</v>
      </c>
      <c r="B1308" s="32">
        <v>60000.0</v>
      </c>
      <c r="C1308" s="33">
        <f t="shared" si="338"/>
        <v>1050</v>
      </c>
      <c r="D1308" s="20">
        <v>45947.0</v>
      </c>
      <c r="E1308" s="17" t="s">
        <v>118</v>
      </c>
      <c r="F1308" s="17" t="s">
        <v>28</v>
      </c>
      <c r="H1308" s="17" t="s">
        <v>13</v>
      </c>
      <c r="I1308" s="35" t="s">
        <v>30</v>
      </c>
    </row>
    <row r="1309">
      <c r="A1309" s="17" t="s">
        <v>543</v>
      </c>
      <c r="B1309" s="32">
        <v>140000.0</v>
      </c>
      <c r="C1309" s="33">
        <f>0.0125*B1309</f>
        <v>1750</v>
      </c>
      <c r="D1309" s="20">
        <v>45950.0</v>
      </c>
      <c r="E1309" s="17" t="s">
        <v>73</v>
      </c>
      <c r="F1309" s="17" t="s">
        <v>12</v>
      </c>
    </row>
    <row r="1310">
      <c r="A1310" s="17" t="s">
        <v>1264</v>
      </c>
      <c r="B1310" s="32">
        <v>20000.0</v>
      </c>
      <c r="C1310" s="33">
        <f t="shared" ref="C1310:C1311" si="339">0.0175*B1310</f>
        <v>350</v>
      </c>
      <c r="D1310" s="20">
        <v>45950.0</v>
      </c>
      <c r="E1310" s="17" t="s">
        <v>11</v>
      </c>
      <c r="F1310" s="17" t="s">
        <v>41</v>
      </c>
    </row>
    <row r="1311">
      <c r="A1311" s="17" t="s">
        <v>1265</v>
      </c>
      <c r="B1311" s="32">
        <v>75000.0</v>
      </c>
      <c r="C1311" s="33">
        <f t="shared" si="339"/>
        <v>1312.5</v>
      </c>
      <c r="D1311" s="20">
        <v>45950.0</v>
      </c>
      <c r="E1311" s="17" t="s">
        <v>1164</v>
      </c>
      <c r="F1311" s="17" t="s">
        <v>67</v>
      </c>
      <c r="H1311" s="17" t="s">
        <v>924</v>
      </c>
      <c r="I1311" s="35" t="s">
        <v>30</v>
      </c>
    </row>
    <row r="1312">
      <c r="A1312" s="17" t="s">
        <v>401</v>
      </c>
      <c r="B1312" s="32">
        <v>255000.0</v>
      </c>
      <c r="C1312" s="33">
        <f>0.0125*B1312</f>
        <v>3187.5</v>
      </c>
      <c r="D1312" s="20">
        <v>45950.0</v>
      </c>
      <c r="E1312" s="17" t="s">
        <v>60</v>
      </c>
      <c r="F1312" s="17" t="s">
        <v>12</v>
      </c>
    </row>
    <row r="1313">
      <c r="A1313" s="17" t="s">
        <v>1266</v>
      </c>
      <c r="B1313" s="32">
        <v>250000.0</v>
      </c>
      <c r="C1313" s="33">
        <f t="shared" ref="C1313:C1315" si="340">0.0175*B1313</f>
        <v>4375</v>
      </c>
      <c r="D1313" s="20">
        <v>45951.0</v>
      </c>
      <c r="E1313" s="17" t="s">
        <v>15</v>
      </c>
      <c r="F1313" s="17" t="s">
        <v>28</v>
      </c>
      <c r="H1313" s="31" t="s">
        <v>172</v>
      </c>
      <c r="K1313" s="17">
        <v>375.0</v>
      </c>
    </row>
    <row r="1314">
      <c r="A1314" s="17" t="s">
        <v>1267</v>
      </c>
      <c r="B1314" s="32">
        <v>100000.0</v>
      </c>
      <c r="C1314" s="33">
        <f t="shared" si="340"/>
        <v>1750</v>
      </c>
      <c r="D1314" s="20">
        <v>45951.0</v>
      </c>
      <c r="E1314" s="17" t="s">
        <v>60</v>
      </c>
      <c r="F1314" s="17" t="s">
        <v>28</v>
      </c>
      <c r="I1314" s="35" t="s">
        <v>30</v>
      </c>
    </row>
    <row r="1315">
      <c r="A1315" s="17" t="s">
        <v>1268</v>
      </c>
      <c r="B1315" s="32">
        <v>220000.0</v>
      </c>
      <c r="C1315" s="33">
        <f t="shared" si="340"/>
        <v>3850</v>
      </c>
      <c r="D1315" s="20">
        <v>45951.0</v>
      </c>
      <c r="E1315" s="17" t="s">
        <v>24</v>
      </c>
      <c r="F1315" s="17" t="s">
        <v>28</v>
      </c>
      <c r="H1315" s="17" t="s">
        <v>642</v>
      </c>
      <c r="I1315" s="35" t="s">
        <v>30</v>
      </c>
    </row>
    <row r="1316">
      <c r="A1316" s="17" t="s">
        <v>1269</v>
      </c>
      <c r="B1316" s="32">
        <v>325000.0</v>
      </c>
      <c r="C1316" s="33">
        <f t="shared" ref="C1316:C1319" si="341">0.0125*B1316</f>
        <v>4062.5</v>
      </c>
      <c r="D1316" s="20">
        <v>45951.0</v>
      </c>
      <c r="E1316" s="17" t="s">
        <v>60</v>
      </c>
      <c r="F1316" s="17" t="s">
        <v>12</v>
      </c>
    </row>
    <row r="1317">
      <c r="A1317" s="17" t="s">
        <v>1194</v>
      </c>
      <c r="B1317" s="32">
        <v>175000.0</v>
      </c>
      <c r="C1317" s="33">
        <f t="shared" si="341"/>
        <v>2187.5</v>
      </c>
      <c r="D1317" s="20">
        <v>45952.0</v>
      </c>
      <c r="E1317" s="17" t="s">
        <v>24</v>
      </c>
      <c r="F1317" s="17" t="s">
        <v>12</v>
      </c>
      <c r="H1317" s="17" t="s">
        <v>948</v>
      </c>
    </row>
    <row r="1318">
      <c r="A1318" s="17" t="s">
        <v>763</v>
      </c>
      <c r="B1318" s="32">
        <v>155000.0</v>
      </c>
      <c r="C1318" s="33">
        <f t="shared" si="341"/>
        <v>1937.5</v>
      </c>
      <c r="D1318" s="20">
        <v>45952.0</v>
      </c>
      <c r="E1318" s="17" t="s">
        <v>11</v>
      </c>
      <c r="F1318" s="17" t="s">
        <v>12</v>
      </c>
    </row>
    <row r="1319">
      <c r="A1319" s="17" t="s">
        <v>1270</v>
      </c>
      <c r="B1319" s="32">
        <v>37000.0</v>
      </c>
      <c r="C1319" s="33">
        <f t="shared" si="341"/>
        <v>462.5</v>
      </c>
      <c r="D1319" s="20">
        <v>45952.0</v>
      </c>
      <c r="E1319" s="17" t="s">
        <v>24</v>
      </c>
      <c r="F1319" s="17" t="s">
        <v>12</v>
      </c>
      <c r="H1319" s="17" t="s">
        <v>936</v>
      </c>
    </row>
    <row r="1320">
      <c r="A1320" s="17" t="s">
        <v>657</v>
      </c>
      <c r="B1320" s="32">
        <v>1000000.0</v>
      </c>
      <c r="C1320" s="33">
        <f t="shared" ref="C1320:C1321" si="342">0.0175*B1320</f>
        <v>17500</v>
      </c>
      <c r="D1320" s="20">
        <v>45952.0</v>
      </c>
      <c r="E1320" s="17" t="s">
        <v>118</v>
      </c>
      <c r="F1320" s="17" t="s">
        <v>41</v>
      </c>
      <c r="H1320" s="17" t="s">
        <v>13</v>
      </c>
      <c r="I1320" s="35" t="s">
        <v>30</v>
      </c>
    </row>
    <row r="1321">
      <c r="A1321" s="17" t="s">
        <v>1271</v>
      </c>
      <c r="B1321" s="32">
        <v>150000.0</v>
      </c>
      <c r="C1321" s="33">
        <f t="shared" si="342"/>
        <v>2625</v>
      </c>
      <c r="D1321" s="20">
        <v>45952.0</v>
      </c>
      <c r="E1321" s="17" t="s">
        <v>15</v>
      </c>
      <c r="F1321" s="17" t="s">
        <v>28</v>
      </c>
      <c r="H1321" s="31" t="s">
        <v>16</v>
      </c>
      <c r="I1321" s="35" t="s">
        <v>30</v>
      </c>
      <c r="K1321" s="17">
        <v>600.0</v>
      </c>
    </row>
    <row r="1322">
      <c r="A1322" s="17" t="s">
        <v>1272</v>
      </c>
      <c r="B1322" s="32">
        <v>50000.0</v>
      </c>
      <c r="C1322" s="33">
        <f>0.0125*B1322</f>
        <v>625</v>
      </c>
      <c r="D1322" s="20">
        <v>45952.0</v>
      </c>
      <c r="E1322" s="17" t="s">
        <v>15</v>
      </c>
      <c r="F1322" s="17" t="s">
        <v>144</v>
      </c>
      <c r="H1322" s="31" t="s">
        <v>51</v>
      </c>
      <c r="K1322" s="17">
        <v>250.0</v>
      </c>
    </row>
    <row r="1323">
      <c r="A1323" s="17" t="s">
        <v>1273</v>
      </c>
      <c r="B1323" s="32">
        <v>80000.0</v>
      </c>
      <c r="C1323" s="33">
        <f t="shared" ref="C1323:C1325" si="343">0.0175*B1323</f>
        <v>1400</v>
      </c>
      <c r="D1323" s="20">
        <v>45952.0</v>
      </c>
      <c r="E1323" s="17" t="s">
        <v>1221</v>
      </c>
      <c r="F1323" s="17" t="s">
        <v>28</v>
      </c>
      <c r="H1323" s="17" t="s">
        <v>13</v>
      </c>
      <c r="I1323" s="35" t="s">
        <v>30</v>
      </c>
    </row>
    <row r="1324">
      <c r="A1324" s="17" t="s">
        <v>1274</v>
      </c>
      <c r="B1324" s="32">
        <v>100000.0</v>
      </c>
      <c r="C1324" s="33">
        <f t="shared" si="343"/>
        <v>1750</v>
      </c>
      <c r="D1324" s="20">
        <v>45952.0</v>
      </c>
      <c r="E1324" s="17" t="s">
        <v>118</v>
      </c>
      <c r="F1324" s="17" t="s">
        <v>28</v>
      </c>
      <c r="H1324" s="17" t="s">
        <v>13</v>
      </c>
      <c r="I1324" s="35" t="s">
        <v>30</v>
      </c>
    </row>
    <row r="1325">
      <c r="A1325" s="17" t="s">
        <v>1275</v>
      </c>
      <c r="B1325" s="32">
        <v>150000.0</v>
      </c>
      <c r="C1325" s="33">
        <f t="shared" si="343"/>
        <v>2625</v>
      </c>
      <c r="D1325" s="20">
        <v>45953.0</v>
      </c>
      <c r="E1325" s="17" t="s">
        <v>60</v>
      </c>
      <c r="F1325" s="17" t="s">
        <v>28</v>
      </c>
      <c r="I1325" s="35" t="s">
        <v>30</v>
      </c>
    </row>
    <row r="1326">
      <c r="A1326" s="17" t="s">
        <v>1276</v>
      </c>
      <c r="B1326" s="32">
        <v>135000.0</v>
      </c>
      <c r="C1326" s="33">
        <f t="shared" ref="C1326:C1329" si="344">0.0125*B1326</f>
        <v>1687.5</v>
      </c>
      <c r="D1326" s="20">
        <v>45953.0</v>
      </c>
      <c r="E1326" s="17" t="s">
        <v>1277</v>
      </c>
      <c r="F1326" s="17" t="s">
        <v>12</v>
      </c>
      <c r="H1326" s="17" t="s">
        <v>22</v>
      </c>
    </row>
    <row r="1327">
      <c r="A1327" s="17" t="s">
        <v>102</v>
      </c>
      <c r="B1327" s="32">
        <v>70000.0</v>
      </c>
      <c r="C1327" s="33">
        <f t="shared" si="344"/>
        <v>875</v>
      </c>
      <c r="D1327" s="20">
        <v>45953.0</v>
      </c>
      <c r="E1327" s="17" t="s">
        <v>11</v>
      </c>
      <c r="F1327" s="17" t="s">
        <v>12</v>
      </c>
    </row>
    <row r="1328">
      <c r="A1328" s="17" t="s">
        <v>1278</v>
      </c>
      <c r="B1328" s="32">
        <v>85000.0</v>
      </c>
      <c r="C1328" s="33">
        <f t="shared" si="344"/>
        <v>1062.5</v>
      </c>
      <c r="D1328" s="20">
        <v>45953.0</v>
      </c>
      <c r="E1328" s="17" t="s">
        <v>24</v>
      </c>
      <c r="F1328" s="17" t="s">
        <v>12</v>
      </c>
      <c r="H1328" s="17" t="s">
        <v>948</v>
      </c>
    </row>
    <row r="1329">
      <c r="A1329" s="17" t="s">
        <v>1279</v>
      </c>
      <c r="B1329" s="32">
        <v>550000.0</v>
      </c>
      <c r="C1329" s="33">
        <f t="shared" si="344"/>
        <v>6875</v>
      </c>
      <c r="D1329" s="20">
        <v>45953.0</v>
      </c>
      <c r="E1329" s="17" t="s">
        <v>165</v>
      </c>
      <c r="F1329" s="17" t="s">
        <v>12</v>
      </c>
      <c r="H1329" s="17" t="s">
        <v>22</v>
      </c>
    </row>
    <row r="1330">
      <c r="A1330" s="17" t="s">
        <v>1280</v>
      </c>
      <c r="B1330" s="32">
        <v>100000.0</v>
      </c>
      <c r="C1330" s="33">
        <f t="shared" ref="C1330:C1338" si="345">0.0175*B1330</f>
        <v>1750</v>
      </c>
      <c r="D1330" s="20">
        <v>45954.0</v>
      </c>
      <c r="E1330" s="17" t="s">
        <v>60</v>
      </c>
      <c r="F1330" s="17" t="s">
        <v>28</v>
      </c>
      <c r="I1330" s="35" t="s">
        <v>30</v>
      </c>
    </row>
    <row r="1331">
      <c r="A1331" s="17" t="s">
        <v>1281</v>
      </c>
      <c r="B1331" s="32">
        <v>400000.0</v>
      </c>
      <c r="C1331" s="33">
        <f t="shared" si="345"/>
        <v>7000</v>
      </c>
      <c r="D1331" s="20">
        <v>45954.0</v>
      </c>
      <c r="E1331" s="17" t="s">
        <v>15</v>
      </c>
      <c r="F1331" s="17" t="s">
        <v>28</v>
      </c>
      <c r="H1331" s="31" t="s">
        <v>98</v>
      </c>
      <c r="I1331" s="35" t="s">
        <v>30</v>
      </c>
      <c r="K1331" s="17">
        <v>1200.0</v>
      </c>
    </row>
    <row r="1332">
      <c r="A1332" s="17" t="s">
        <v>1282</v>
      </c>
      <c r="B1332" s="32">
        <v>225000.0</v>
      </c>
      <c r="C1332" s="33">
        <f t="shared" si="345"/>
        <v>3937.5</v>
      </c>
      <c r="D1332" s="20">
        <v>45954.0</v>
      </c>
      <c r="E1332" s="17" t="s">
        <v>24</v>
      </c>
      <c r="F1332" s="17" t="s">
        <v>28</v>
      </c>
      <c r="H1332" s="17" t="s">
        <v>642</v>
      </c>
      <c r="I1332" s="35" t="s">
        <v>30</v>
      </c>
    </row>
    <row r="1333">
      <c r="A1333" s="17" t="s">
        <v>1283</v>
      </c>
      <c r="B1333" s="32">
        <v>150000.0</v>
      </c>
      <c r="C1333" s="33">
        <f t="shared" si="345"/>
        <v>2625</v>
      </c>
      <c r="D1333" s="20">
        <v>45954.0</v>
      </c>
      <c r="E1333" s="17" t="s">
        <v>203</v>
      </c>
      <c r="F1333" s="17" t="s">
        <v>28</v>
      </c>
      <c r="H1333" s="31" t="s">
        <v>98</v>
      </c>
      <c r="I1333" s="35" t="s">
        <v>30</v>
      </c>
      <c r="K1333" s="17">
        <v>450.0</v>
      </c>
    </row>
    <row r="1334">
      <c r="A1334" s="17" t="s">
        <v>1284</v>
      </c>
      <c r="B1334" s="32">
        <v>750000.0</v>
      </c>
      <c r="C1334" s="33">
        <f t="shared" si="345"/>
        <v>13125</v>
      </c>
      <c r="D1334" s="20">
        <v>45954.0</v>
      </c>
      <c r="E1334" s="17" t="s">
        <v>203</v>
      </c>
      <c r="F1334" s="17" t="s">
        <v>28</v>
      </c>
      <c r="H1334" s="31" t="s">
        <v>1285</v>
      </c>
      <c r="I1334" s="35" t="s">
        <v>30</v>
      </c>
      <c r="K1334" s="17">
        <v>656.25</v>
      </c>
    </row>
    <row r="1335">
      <c r="A1335" s="17" t="s">
        <v>1286</v>
      </c>
      <c r="B1335" s="32">
        <v>110000.0</v>
      </c>
      <c r="C1335" s="33">
        <f t="shared" si="345"/>
        <v>1925</v>
      </c>
      <c r="D1335" s="20">
        <v>45954.0</v>
      </c>
      <c r="E1335" s="17" t="s">
        <v>203</v>
      </c>
      <c r="F1335" s="17" t="s">
        <v>28</v>
      </c>
      <c r="H1335" s="31" t="s">
        <v>35</v>
      </c>
      <c r="I1335" s="35" t="s">
        <v>30</v>
      </c>
      <c r="K1335" s="17">
        <v>220.0</v>
      </c>
    </row>
    <row r="1336">
      <c r="A1336" s="17" t="s">
        <v>1287</v>
      </c>
      <c r="B1336" s="32">
        <v>100000.0</v>
      </c>
      <c r="C1336" s="33">
        <f t="shared" si="345"/>
        <v>1750</v>
      </c>
      <c r="D1336" s="20">
        <v>45954.0</v>
      </c>
      <c r="E1336" s="17" t="s">
        <v>118</v>
      </c>
      <c r="F1336" s="17" t="s">
        <v>28</v>
      </c>
      <c r="H1336" s="17" t="s">
        <v>13</v>
      </c>
      <c r="I1336" s="35" t="s">
        <v>30</v>
      </c>
    </row>
    <row r="1337">
      <c r="A1337" s="17" t="s">
        <v>1288</v>
      </c>
      <c r="B1337" s="32">
        <v>300000.0</v>
      </c>
      <c r="C1337" s="33">
        <f t="shared" si="345"/>
        <v>5250</v>
      </c>
      <c r="D1337" s="20">
        <v>45954.0</v>
      </c>
      <c r="E1337" s="17" t="s">
        <v>118</v>
      </c>
      <c r="F1337" s="17" t="s">
        <v>28</v>
      </c>
      <c r="H1337" s="17" t="s">
        <v>13</v>
      </c>
      <c r="I1337" s="35" t="s">
        <v>30</v>
      </c>
    </row>
    <row r="1338">
      <c r="A1338" s="17" t="s">
        <v>1289</v>
      </c>
      <c r="B1338" s="32">
        <v>20000.0</v>
      </c>
      <c r="C1338" s="33">
        <f t="shared" si="345"/>
        <v>350</v>
      </c>
      <c r="D1338" s="20">
        <v>45957.0</v>
      </c>
      <c r="E1338" s="17" t="s">
        <v>11</v>
      </c>
      <c r="F1338" s="17" t="s">
        <v>28</v>
      </c>
    </row>
    <row r="1339">
      <c r="A1339" s="17" t="s">
        <v>838</v>
      </c>
      <c r="B1339" s="32">
        <v>335000.0</v>
      </c>
      <c r="C1339" s="33">
        <f>0.0125*B1339</f>
        <v>4187.5</v>
      </c>
      <c r="D1339" s="20">
        <v>45957.0</v>
      </c>
      <c r="E1339" s="17" t="s">
        <v>11</v>
      </c>
      <c r="F1339" s="17" t="s">
        <v>12</v>
      </c>
    </row>
    <row r="1340">
      <c r="A1340" s="17" t="s">
        <v>1290</v>
      </c>
      <c r="B1340" s="32">
        <v>200000.0</v>
      </c>
      <c r="C1340" s="33">
        <f t="shared" ref="C1340:C1341" si="346">0.0175*B1340</f>
        <v>3500</v>
      </c>
      <c r="D1340" s="20">
        <v>45957.0</v>
      </c>
      <c r="E1340" s="17" t="s">
        <v>24</v>
      </c>
      <c r="F1340" s="17" t="s">
        <v>28</v>
      </c>
      <c r="H1340" s="17" t="s">
        <v>642</v>
      </c>
      <c r="I1340" s="35" t="s">
        <v>30</v>
      </c>
    </row>
    <row r="1341">
      <c r="A1341" s="17" t="s">
        <v>1291</v>
      </c>
      <c r="B1341" s="32">
        <v>154000.0</v>
      </c>
      <c r="C1341" s="33">
        <f t="shared" si="346"/>
        <v>2695</v>
      </c>
      <c r="D1341" s="20">
        <v>45957.0</v>
      </c>
      <c r="E1341" s="17" t="s">
        <v>939</v>
      </c>
      <c r="F1341" s="17" t="s">
        <v>28</v>
      </c>
      <c r="H1341" s="17" t="s">
        <v>13</v>
      </c>
      <c r="I1341" s="35" t="s">
        <v>30</v>
      </c>
    </row>
    <row r="1342">
      <c r="A1342" s="17" t="s">
        <v>1292</v>
      </c>
      <c r="B1342" s="32">
        <v>160000.0</v>
      </c>
      <c r="C1342" s="33">
        <f t="shared" ref="C1342:C1343" si="347">0.0125*B1342</f>
        <v>2000</v>
      </c>
      <c r="D1342" s="20">
        <v>45957.0</v>
      </c>
      <c r="E1342" s="17" t="s">
        <v>11</v>
      </c>
      <c r="F1342" s="17" t="s">
        <v>12</v>
      </c>
    </row>
    <row r="1343">
      <c r="A1343" s="17" t="s">
        <v>248</v>
      </c>
      <c r="B1343" s="32">
        <v>30000.0</v>
      </c>
      <c r="C1343" s="33">
        <f t="shared" si="347"/>
        <v>375</v>
      </c>
      <c r="D1343" s="20">
        <v>45957.0</v>
      </c>
      <c r="E1343" s="17" t="s">
        <v>15</v>
      </c>
      <c r="F1343" s="17" t="s">
        <v>144</v>
      </c>
      <c r="H1343" s="31" t="s">
        <v>54</v>
      </c>
      <c r="K1343" s="17">
        <v>180.0</v>
      </c>
    </row>
    <row r="1344">
      <c r="A1344" s="17" t="s">
        <v>1293</v>
      </c>
      <c r="B1344" s="32">
        <v>50000.0</v>
      </c>
      <c r="C1344" s="33">
        <f t="shared" ref="C1344:C1345" si="348">0.0175*B1344</f>
        <v>875</v>
      </c>
      <c r="D1344" s="20">
        <v>45958.0</v>
      </c>
      <c r="E1344" s="17" t="s">
        <v>60</v>
      </c>
      <c r="F1344" s="17" t="s">
        <v>67</v>
      </c>
      <c r="I1344" s="35" t="s">
        <v>30</v>
      </c>
    </row>
    <row r="1345">
      <c r="A1345" s="17" t="s">
        <v>1294</v>
      </c>
      <c r="B1345" s="32">
        <v>10000.0</v>
      </c>
      <c r="C1345" s="33">
        <f t="shared" si="348"/>
        <v>175</v>
      </c>
      <c r="D1345" s="20">
        <v>45958.0</v>
      </c>
      <c r="E1345" s="17" t="s">
        <v>11</v>
      </c>
      <c r="F1345" s="17" t="s">
        <v>28</v>
      </c>
      <c r="I1345" s="35" t="s">
        <v>30</v>
      </c>
    </row>
    <row r="1346">
      <c r="A1346" s="17" t="s">
        <v>1295</v>
      </c>
      <c r="B1346" s="32">
        <v>22000.0</v>
      </c>
      <c r="C1346" s="33">
        <f t="shared" ref="C1346:C1348" si="349">0.0125*B1346</f>
        <v>275</v>
      </c>
      <c r="D1346" s="20">
        <v>45959.0</v>
      </c>
      <c r="E1346" s="17" t="s">
        <v>11</v>
      </c>
      <c r="F1346" s="17" t="s">
        <v>12</v>
      </c>
    </row>
    <row r="1347">
      <c r="A1347" s="17" t="s">
        <v>1296</v>
      </c>
      <c r="B1347" s="32">
        <v>35000.0</v>
      </c>
      <c r="C1347" s="33">
        <f t="shared" si="349"/>
        <v>437.5</v>
      </c>
      <c r="D1347" s="20">
        <v>45959.0</v>
      </c>
      <c r="E1347" s="17" t="s">
        <v>11</v>
      </c>
      <c r="F1347" s="17" t="s">
        <v>12</v>
      </c>
    </row>
    <row r="1348">
      <c r="A1348" s="17" t="s">
        <v>1297</v>
      </c>
      <c r="B1348" s="32">
        <v>2000000.0</v>
      </c>
      <c r="C1348" s="33">
        <f t="shared" si="349"/>
        <v>25000</v>
      </c>
      <c r="D1348" s="20">
        <v>45959.0</v>
      </c>
      <c r="E1348" s="17" t="s">
        <v>24</v>
      </c>
      <c r="F1348" s="17" t="s">
        <v>12</v>
      </c>
      <c r="H1348" s="17" t="s">
        <v>1298</v>
      </c>
    </row>
    <row r="1349">
      <c r="A1349" s="17" t="s">
        <v>881</v>
      </c>
      <c r="B1349" s="32">
        <v>75000.0</v>
      </c>
      <c r="C1349" s="33">
        <f t="shared" ref="C1349:C1352" si="350">0.0175*B1349</f>
        <v>1312.5</v>
      </c>
      <c r="D1349" s="20">
        <v>45959.0</v>
      </c>
      <c r="E1349" s="17" t="s">
        <v>11</v>
      </c>
      <c r="F1349" s="17" t="s">
        <v>41</v>
      </c>
    </row>
    <row r="1350">
      <c r="A1350" s="17" t="s">
        <v>1299</v>
      </c>
      <c r="B1350" s="32">
        <v>150000.0</v>
      </c>
      <c r="C1350" s="33">
        <f t="shared" si="350"/>
        <v>2625</v>
      </c>
      <c r="D1350" s="20">
        <v>45959.0</v>
      </c>
      <c r="E1350" s="17" t="s">
        <v>943</v>
      </c>
      <c r="F1350" s="17" t="s">
        <v>28</v>
      </c>
      <c r="H1350" s="17" t="s">
        <v>13</v>
      </c>
      <c r="I1350" s="35" t="s">
        <v>30</v>
      </c>
    </row>
    <row r="1351">
      <c r="A1351" s="17" t="s">
        <v>1300</v>
      </c>
      <c r="B1351" s="32">
        <v>750000.0</v>
      </c>
      <c r="C1351" s="33">
        <f t="shared" si="350"/>
        <v>13125</v>
      </c>
      <c r="D1351" s="20">
        <v>45959.0</v>
      </c>
      <c r="E1351" s="17" t="s">
        <v>118</v>
      </c>
      <c r="F1351" s="17" t="s">
        <v>144</v>
      </c>
    </row>
    <row r="1352">
      <c r="A1352" s="17" t="s">
        <v>1301</v>
      </c>
      <c r="B1352" s="32">
        <v>110000.0</v>
      </c>
      <c r="C1352" s="33">
        <f t="shared" si="350"/>
        <v>1925</v>
      </c>
      <c r="D1352" s="20">
        <v>45960.0</v>
      </c>
      <c r="E1352" s="17" t="s">
        <v>15</v>
      </c>
      <c r="F1352" s="17" t="s">
        <v>28</v>
      </c>
      <c r="H1352" s="31" t="s">
        <v>98</v>
      </c>
      <c r="I1352" s="35" t="s">
        <v>30</v>
      </c>
      <c r="K1352" s="17">
        <v>330.0</v>
      </c>
    </row>
    <row r="1353">
      <c r="A1353" s="17" t="s">
        <v>1302</v>
      </c>
      <c r="B1353" s="32">
        <v>30000.0</v>
      </c>
      <c r="C1353" s="33">
        <f>0.0125*B1353</f>
        <v>375</v>
      </c>
      <c r="D1353" s="20">
        <v>45960.0</v>
      </c>
      <c r="E1353" s="17" t="s">
        <v>15</v>
      </c>
      <c r="F1353" s="17" t="s">
        <v>12</v>
      </c>
      <c r="H1353" s="31" t="s">
        <v>282</v>
      </c>
      <c r="K1353" s="17">
        <v>30.0</v>
      </c>
    </row>
    <row r="1354">
      <c r="A1354" s="17" t="s">
        <v>1303</v>
      </c>
      <c r="B1354" s="32">
        <v>100000.0</v>
      </c>
      <c r="C1354" s="33">
        <f>0.0175*B1354</f>
        <v>1750</v>
      </c>
      <c r="D1354" s="20">
        <v>45960.0</v>
      </c>
      <c r="E1354" s="17" t="s">
        <v>118</v>
      </c>
      <c r="F1354" s="17" t="s">
        <v>28</v>
      </c>
      <c r="H1354" s="17" t="s">
        <v>13</v>
      </c>
      <c r="I1354" s="35" t="s">
        <v>30</v>
      </c>
    </row>
    <row r="1355">
      <c r="A1355" s="17" t="s">
        <v>1304</v>
      </c>
      <c r="B1355" s="18">
        <v>150000.0</v>
      </c>
      <c r="C1355" s="19">
        <f t="shared" ref="C1355:C1357" si="351">0.0125*B1355</f>
        <v>1875</v>
      </c>
      <c r="D1355" s="20">
        <v>45960.0</v>
      </c>
      <c r="E1355" s="17" t="s">
        <v>11</v>
      </c>
      <c r="F1355" s="17" t="s">
        <v>12</v>
      </c>
    </row>
    <row r="1356">
      <c r="A1356" s="17" t="s">
        <v>773</v>
      </c>
      <c r="B1356" s="32">
        <v>790000.0</v>
      </c>
      <c r="C1356" s="33">
        <f t="shared" si="351"/>
        <v>9875</v>
      </c>
      <c r="D1356" s="20">
        <v>45960.0</v>
      </c>
      <c r="E1356" s="17" t="s">
        <v>394</v>
      </c>
      <c r="F1356" s="17" t="s">
        <v>12</v>
      </c>
      <c r="H1356" s="31" t="s">
        <v>282</v>
      </c>
      <c r="K1356" s="17">
        <v>790.0</v>
      </c>
    </row>
    <row r="1357">
      <c r="A1357" s="17" t="s">
        <v>798</v>
      </c>
      <c r="B1357" s="32">
        <v>200000.0</v>
      </c>
      <c r="C1357" s="33">
        <f t="shared" si="351"/>
        <v>2500</v>
      </c>
      <c r="D1357" s="20">
        <v>45960.0</v>
      </c>
      <c r="E1357" s="17" t="s">
        <v>24</v>
      </c>
      <c r="F1357" s="17" t="s">
        <v>12</v>
      </c>
      <c r="H1357" s="17" t="s">
        <v>948</v>
      </c>
    </row>
    <row r="1358">
      <c r="A1358" s="17" t="s">
        <v>1305</v>
      </c>
      <c r="B1358" s="32">
        <v>300000.0</v>
      </c>
      <c r="C1358" s="33">
        <f t="shared" ref="C1358:C1361" si="352">0.0175*B1358</f>
        <v>5250</v>
      </c>
      <c r="D1358" s="20">
        <v>45961.0</v>
      </c>
      <c r="E1358" s="17" t="s">
        <v>1306</v>
      </c>
      <c r="F1358" s="17" t="s">
        <v>28</v>
      </c>
      <c r="H1358" s="31" t="s">
        <v>1307</v>
      </c>
      <c r="I1358" s="35" t="s">
        <v>30</v>
      </c>
      <c r="K1358" s="17">
        <v>750.0</v>
      </c>
    </row>
    <row r="1359">
      <c r="A1359" s="17" t="s">
        <v>1308</v>
      </c>
      <c r="B1359" s="32">
        <v>26000.0</v>
      </c>
      <c r="C1359" s="19">
        <f t="shared" si="352"/>
        <v>455</v>
      </c>
      <c r="D1359" s="20">
        <v>45961.0</v>
      </c>
      <c r="E1359" s="17" t="s">
        <v>15</v>
      </c>
      <c r="F1359" s="17" t="s">
        <v>28</v>
      </c>
      <c r="H1359" s="31" t="s">
        <v>54</v>
      </c>
      <c r="I1359" s="35" t="s">
        <v>30</v>
      </c>
      <c r="K1359" s="17">
        <v>156.0</v>
      </c>
    </row>
    <row r="1360">
      <c r="A1360" s="17" t="s">
        <v>1309</v>
      </c>
      <c r="B1360" s="32">
        <v>250000.0</v>
      </c>
      <c r="C1360" s="33">
        <f t="shared" si="352"/>
        <v>4375</v>
      </c>
      <c r="D1360" s="20">
        <v>45961.0</v>
      </c>
      <c r="E1360" s="17" t="s">
        <v>15</v>
      </c>
      <c r="F1360" s="17" t="s">
        <v>28</v>
      </c>
      <c r="H1360" s="31" t="s">
        <v>172</v>
      </c>
      <c r="I1360" s="35" t="s">
        <v>30</v>
      </c>
      <c r="K1360" s="17">
        <v>375.0</v>
      </c>
    </row>
    <row r="1361">
      <c r="A1361" s="17" t="s">
        <v>1310</v>
      </c>
      <c r="B1361" s="32">
        <v>10000.0</v>
      </c>
      <c r="C1361" s="33">
        <f t="shared" si="352"/>
        <v>175</v>
      </c>
      <c r="D1361" s="20">
        <v>45961.0</v>
      </c>
      <c r="E1361" s="17" t="s">
        <v>15</v>
      </c>
      <c r="F1361" s="17" t="s">
        <v>28</v>
      </c>
      <c r="H1361" s="31" t="s">
        <v>54</v>
      </c>
      <c r="I1361" s="35" t="s">
        <v>30</v>
      </c>
      <c r="K1361" s="17">
        <v>60.0</v>
      </c>
    </row>
    <row r="1362">
      <c r="A1362" s="17" t="s">
        <v>717</v>
      </c>
      <c r="B1362" s="32">
        <v>820000.0</v>
      </c>
      <c r="C1362" s="33">
        <f t="shared" ref="C1362:C1363" si="353">0.0125*B1362</f>
        <v>10250</v>
      </c>
      <c r="D1362" s="20">
        <v>45961.0</v>
      </c>
      <c r="E1362" s="17" t="s">
        <v>24</v>
      </c>
      <c r="F1362" s="17" t="s">
        <v>12</v>
      </c>
      <c r="H1362" s="17" t="s">
        <v>1047</v>
      </c>
    </row>
    <row r="1363">
      <c r="A1363" s="17" t="s">
        <v>655</v>
      </c>
      <c r="B1363" s="32">
        <v>72500.0</v>
      </c>
      <c r="C1363" s="33">
        <f t="shared" si="353"/>
        <v>906.25</v>
      </c>
      <c r="D1363" s="20">
        <v>45961.0</v>
      </c>
      <c r="E1363" s="17" t="s">
        <v>11</v>
      </c>
      <c r="F1363" s="17" t="s">
        <v>12</v>
      </c>
    </row>
    <row r="1364">
      <c r="A1364" s="17" t="s">
        <v>1311</v>
      </c>
      <c r="B1364" s="18">
        <v>15000.0</v>
      </c>
      <c r="C1364" s="19">
        <f t="shared" ref="C1364:C1365" si="354">0.0175*B1364</f>
        <v>262.5</v>
      </c>
      <c r="D1364" s="20">
        <v>45961.0</v>
      </c>
      <c r="E1364" s="17" t="s">
        <v>15</v>
      </c>
      <c r="F1364" s="17" t="s">
        <v>28</v>
      </c>
      <c r="H1364" s="31" t="s">
        <v>54</v>
      </c>
      <c r="K1364" s="17">
        <v>90.0</v>
      </c>
    </row>
    <row r="1365">
      <c r="A1365" s="17" t="s">
        <v>1312</v>
      </c>
      <c r="B1365" s="18">
        <v>300000.0</v>
      </c>
      <c r="C1365" s="19">
        <f t="shared" si="354"/>
        <v>5250</v>
      </c>
      <c r="D1365" s="20">
        <v>45961.0</v>
      </c>
      <c r="E1365" s="17" t="s">
        <v>24</v>
      </c>
      <c r="F1365" s="17" t="s">
        <v>28</v>
      </c>
      <c r="H1365" s="17" t="s">
        <v>642</v>
      </c>
      <c r="I1365" s="35" t="s">
        <v>30</v>
      </c>
    </row>
    <row r="1366">
      <c r="A1366" s="17" t="s">
        <v>972</v>
      </c>
      <c r="B1366" s="18">
        <v>185000.0</v>
      </c>
      <c r="C1366" s="19">
        <f>0.0125*B1366</f>
        <v>2312.5</v>
      </c>
      <c r="D1366" s="20">
        <v>45961.0</v>
      </c>
      <c r="E1366" s="17" t="s">
        <v>11</v>
      </c>
      <c r="F1366" s="17" t="s">
        <v>12</v>
      </c>
    </row>
    <row r="1367">
      <c r="A1367" s="17" t="s">
        <v>1313</v>
      </c>
      <c r="B1367" s="18">
        <v>70000.0</v>
      </c>
      <c r="C1367" s="19">
        <f t="shared" ref="C1367:C1368" si="355">0.0175*B1367</f>
        <v>1225</v>
      </c>
      <c r="D1367" s="20">
        <v>45961.0</v>
      </c>
      <c r="E1367" s="17" t="s">
        <v>92</v>
      </c>
      <c r="F1367" s="17" t="s">
        <v>28</v>
      </c>
      <c r="I1367" s="35" t="s">
        <v>30</v>
      </c>
    </row>
    <row r="1368">
      <c r="A1368" s="17" t="s">
        <v>1314</v>
      </c>
      <c r="B1368" s="18">
        <v>200000.0</v>
      </c>
      <c r="C1368" s="19">
        <f t="shared" si="355"/>
        <v>3500</v>
      </c>
      <c r="D1368" s="20">
        <v>45961.0</v>
      </c>
      <c r="E1368" s="17" t="s">
        <v>24</v>
      </c>
      <c r="F1368" s="17" t="s">
        <v>144</v>
      </c>
      <c r="H1368" s="17" t="s">
        <v>948</v>
      </c>
    </row>
    <row r="1369">
      <c r="A1369" s="17" t="s">
        <v>299</v>
      </c>
      <c r="B1369" s="18">
        <v>185000.0</v>
      </c>
      <c r="C1369" s="19">
        <f>0.0125*B1369</f>
        <v>2312.5</v>
      </c>
      <c r="D1369" s="20">
        <v>45961.0</v>
      </c>
      <c r="E1369" s="17" t="s">
        <v>11</v>
      </c>
      <c r="F1369" s="17" t="s">
        <v>12</v>
      </c>
    </row>
    <row r="1370">
      <c r="A1370" s="12">
        <v>45964.0</v>
      </c>
      <c r="B1370" s="13">
        <f>SUM(B1371:B1522)</f>
        <v>31473000</v>
      </c>
      <c r="C1370" s="13">
        <f>SUM(C1371:C1528)</f>
        <v>473942.5</v>
      </c>
      <c r="D1370" s="14"/>
      <c r="E1370" s="15"/>
      <c r="F1370" s="15"/>
      <c r="G1370" s="15"/>
      <c r="H1370" s="16"/>
      <c r="I1370" s="16"/>
      <c r="J1370" s="16"/>
      <c r="K1370" s="16"/>
    </row>
    <row r="1371">
      <c r="A1371" s="17" t="s">
        <v>1315</v>
      </c>
      <c r="B1371" s="18">
        <v>130000.0</v>
      </c>
      <c r="C1371" s="19">
        <f t="shared" ref="C1371:C1372" si="356">0.0125*B1371</f>
        <v>1625</v>
      </c>
      <c r="D1371" s="20">
        <v>45964.0</v>
      </c>
      <c r="E1371" s="17" t="s">
        <v>11</v>
      </c>
      <c r="F1371" s="17" t="s">
        <v>12</v>
      </c>
    </row>
    <row r="1372">
      <c r="A1372" s="17" t="s">
        <v>1316</v>
      </c>
      <c r="B1372" s="18">
        <v>125000.0</v>
      </c>
      <c r="C1372" s="19">
        <f t="shared" si="356"/>
        <v>1562.5</v>
      </c>
      <c r="D1372" s="20">
        <v>45964.0</v>
      </c>
      <c r="E1372" s="17" t="s">
        <v>24</v>
      </c>
      <c r="F1372" s="17" t="s">
        <v>12</v>
      </c>
      <c r="H1372" s="17" t="s">
        <v>948</v>
      </c>
    </row>
    <row r="1373">
      <c r="A1373" s="17" t="s">
        <v>1317</v>
      </c>
      <c r="B1373" s="18">
        <v>60000.0</v>
      </c>
      <c r="C1373" s="19">
        <f t="shared" ref="C1373:C1374" si="357">0.0175*B1373</f>
        <v>1050</v>
      </c>
      <c r="D1373" s="20">
        <v>45964.0</v>
      </c>
      <c r="E1373" s="17" t="s">
        <v>15</v>
      </c>
      <c r="F1373" s="17" t="s">
        <v>28</v>
      </c>
      <c r="H1373" s="31" t="s">
        <v>98</v>
      </c>
      <c r="I1373" s="35" t="s">
        <v>30</v>
      </c>
      <c r="K1373" s="17">
        <v>180.0</v>
      </c>
    </row>
    <row r="1374">
      <c r="A1374" s="17" t="s">
        <v>1318</v>
      </c>
      <c r="B1374" s="18">
        <v>350000.0</v>
      </c>
      <c r="C1374" s="19">
        <f t="shared" si="357"/>
        <v>6125</v>
      </c>
      <c r="D1374" s="20">
        <v>45964.0</v>
      </c>
      <c r="E1374" s="17" t="s">
        <v>118</v>
      </c>
      <c r="F1374" s="17" t="s">
        <v>28</v>
      </c>
      <c r="I1374" s="35" t="s">
        <v>30</v>
      </c>
    </row>
    <row r="1375">
      <c r="A1375" s="17" t="s">
        <v>1319</v>
      </c>
      <c r="B1375" s="18">
        <v>90000.0</v>
      </c>
      <c r="C1375" s="19">
        <f>0.0125*B1375</f>
        <v>1125</v>
      </c>
      <c r="D1375" s="20">
        <v>45964.0</v>
      </c>
      <c r="E1375" s="17" t="s">
        <v>15</v>
      </c>
      <c r="F1375" s="17" t="s">
        <v>12</v>
      </c>
      <c r="H1375" s="31" t="s">
        <v>54</v>
      </c>
      <c r="I1375" s="36"/>
      <c r="K1375" s="17">
        <v>540.0</v>
      </c>
    </row>
    <row r="1376">
      <c r="A1376" s="17" t="s">
        <v>1320</v>
      </c>
      <c r="B1376" s="18">
        <v>275000.0</v>
      </c>
      <c r="C1376" s="19">
        <f t="shared" ref="C1376:C1380" si="358">0.0175*B1376</f>
        <v>4812.5</v>
      </c>
      <c r="D1376" s="20">
        <v>45965.0</v>
      </c>
      <c r="E1376" s="17" t="s">
        <v>1321</v>
      </c>
      <c r="F1376" s="17" t="s">
        <v>28</v>
      </c>
      <c r="H1376" s="31" t="s">
        <v>16</v>
      </c>
      <c r="I1376" s="35" t="s">
        <v>30</v>
      </c>
      <c r="K1376" s="17">
        <v>1100.0</v>
      </c>
    </row>
    <row r="1377">
      <c r="A1377" s="17" t="s">
        <v>1322</v>
      </c>
      <c r="B1377" s="18">
        <v>53000.0</v>
      </c>
      <c r="C1377" s="19">
        <f t="shared" si="358"/>
        <v>927.5</v>
      </c>
      <c r="D1377" s="20">
        <v>45965.0</v>
      </c>
      <c r="E1377" s="17" t="s">
        <v>203</v>
      </c>
      <c r="F1377" s="17" t="s">
        <v>28</v>
      </c>
      <c r="H1377" s="31" t="s">
        <v>16</v>
      </c>
      <c r="I1377" s="35" t="s">
        <v>30</v>
      </c>
      <c r="K1377" s="17">
        <v>212.0</v>
      </c>
    </row>
    <row r="1378">
      <c r="A1378" s="17" t="s">
        <v>1323</v>
      </c>
      <c r="B1378" s="18">
        <v>50000.0</v>
      </c>
      <c r="C1378" s="19">
        <f t="shared" si="358"/>
        <v>875</v>
      </c>
      <c r="D1378" s="20">
        <v>45965.0</v>
      </c>
      <c r="E1378" s="17" t="s">
        <v>203</v>
      </c>
      <c r="F1378" s="17" t="s">
        <v>28</v>
      </c>
      <c r="H1378" s="31" t="s">
        <v>16</v>
      </c>
      <c r="I1378" s="35" t="s">
        <v>30</v>
      </c>
      <c r="K1378" s="17">
        <v>200.0</v>
      </c>
    </row>
    <row r="1379">
      <c r="A1379" s="17" t="s">
        <v>1324</v>
      </c>
      <c r="B1379" s="18">
        <v>40000.0</v>
      </c>
      <c r="C1379" s="19">
        <f t="shared" si="358"/>
        <v>700</v>
      </c>
      <c r="D1379" s="20">
        <v>45965.0</v>
      </c>
      <c r="E1379" s="17" t="s">
        <v>951</v>
      </c>
      <c r="F1379" s="17" t="s">
        <v>67</v>
      </c>
      <c r="H1379" s="17" t="s">
        <v>13</v>
      </c>
      <c r="I1379" s="35" t="s">
        <v>30</v>
      </c>
    </row>
    <row r="1380">
      <c r="A1380" s="17" t="s">
        <v>1325</v>
      </c>
      <c r="B1380" s="18">
        <v>70000.0</v>
      </c>
      <c r="C1380" s="19">
        <f t="shared" si="358"/>
        <v>1225</v>
      </c>
      <c r="D1380" s="20">
        <v>45965.0</v>
      </c>
      <c r="E1380" s="17" t="s">
        <v>24</v>
      </c>
      <c r="F1380" s="17" t="s">
        <v>67</v>
      </c>
      <c r="H1380" s="17" t="s">
        <v>924</v>
      </c>
      <c r="I1380" s="35" t="s">
        <v>30</v>
      </c>
    </row>
    <row r="1381">
      <c r="A1381" s="17" t="s">
        <v>766</v>
      </c>
      <c r="B1381" s="18">
        <v>1450000.0</v>
      </c>
      <c r="C1381" s="19">
        <f>0.0125*B1381</f>
        <v>18125</v>
      </c>
      <c r="D1381" s="20">
        <v>45965.0</v>
      </c>
      <c r="E1381" s="17" t="s">
        <v>11</v>
      </c>
      <c r="F1381" s="17" t="s">
        <v>12</v>
      </c>
    </row>
    <row r="1382">
      <c r="A1382" s="17" t="s">
        <v>1326</v>
      </c>
      <c r="B1382" s="18">
        <v>175000.0</v>
      </c>
      <c r="C1382" s="19">
        <f>0.0175*B1382</f>
        <v>3062.5</v>
      </c>
      <c r="D1382" s="20">
        <v>45965.0</v>
      </c>
      <c r="E1382" s="17" t="s">
        <v>60</v>
      </c>
      <c r="F1382" s="17" t="s">
        <v>28</v>
      </c>
      <c r="I1382" s="35" t="s">
        <v>30</v>
      </c>
    </row>
    <row r="1383">
      <c r="A1383" s="17" t="s">
        <v>1327</v>
      </c>
      <c r="B1383" s="18">
        <v>99000.0</v>
      </c>
      <c r="C1383" s="19">
        <f>0.0125*B1383</f>
        <v>1237.5</v>
      </c>
      <c r="D1383" s="20">
        <v>45966.0</v>
      </c>
      <c r="E1383" s="17" t="s">
        <v>203</v>
      </c>
      <c r="F1383" s="17" t="s">
        <v>12</v>
      </c>
      <c r="H1383" s="31" t="s">
        <v>51</v>
      </c>
      <c r="K1383" s="17">
        <v>495.0</v>
      </c>
    </row>
    <row r="1384">
      <c r="A1384" s="17" t="s">
        <v>1328</v>
      </c>
      <c r="B1384" s="18">
        <v>80000.0</v>
      </c>
      <c r="C1384" s="19">
        <f t="shared" ref="C1384:C1385" si="359">0.0175*B1384</f>
        <v>1400</v>
      </c>
      <c r="D1384" s="20">
        <v>45966.0</v>
      </c>
      <c r="E1384" s="17" t="s">
        <v>203</v>
      </c>
      <c r="F1384" s="17" t="s">
        <v>28</v>
      </c>
      <c r="H1384" s="31" t="s">
        <v>16</v>
      </c>
      <c r="I1384" s="35" t="s">
        <v>30</v>
      </c>
      <c r="K1384" s="17">
        <v>320.0</v>
      </c>
    </row>
    <row r="1385">
      <c r="A1385" s="17" t="s">
        <v>1329</v>
      </c>
      <c r="B1385" s="18">
        <v>175000.0</v>
      </c>
      <c r="C1385" s="19">
        <f t="shared" si="359"/>
        <v>3062.5</v>
      </c>
      <c r="D1385" s="20">
        <v>45966.0</v>
      </c>
      <c r="E1385" s="17" t="s">
        <v>899</v>
      </c>
      <c r="F1385" s="17" t="s">
        <v>28</v>
      </c>
      <c r="I1385" s="35" t="s">
        <v>30</v>
      </c>
    </row>
    <row r="1386">
      <c r="A1386" s="17" t="s">
        <v>1330</v>
      </c>
      <c r="B1386" s="18">
        <v>75000.0</v>
      </c>
      <c r="C1386" s="19">
        <f>0.0125*B1386</f>
        <v>937.5</v>
      </c>
      <c r="D1386" s="20">
        <v>45966.0</v>
      </c>
      <c r="E1386" s="17" t="s">
        <v>11</v>
      </c>
      <c r="F1386" s="17" t="s">
        <v>12</v>
      </c>
    </row>
    <row r="1387">
      <c r="A1387" s="17" t="s">
        <v>1331</v>
      </c>
      <c r="B1387" s="18">
        <v>200000.0</v>
      </c>
      <c r="C1387" s="19">
        <f>0.0175*B1387</f>
        <v>3500</v>
      </c>
      <c r="D1387" s="20">
        <v>45966.0</v>
      </c>
      <c r="E1387" s="17" t="s">
        <v>11</v>
      </c>
      <c r="F1387" s="17" t="s">
        <v>28</v>
      </c>
      <c r="I1387" s="35" t="s">
        <v>30</v>
      </c>
    </row>
    <row r="1388">
      <c r="A1388" s="17" t="s">
        <v>510</v>
      </c>
      <c r="B1388" s="18">
        <v>125000.0</v>
      </c>
      <c r="C1388" s="19">
        <f>0.0125*B1388</f>
        <v>1562.5</v>
      </c>
      <c r="D1388" s="20">
        <v>45966.0</v>
      </c>
      <c r="E1388" s="17" t="s">
        <v>24</v>
      </c>
      <c r="F1388" s="17" t="s">
        <v>144</v>
      </c>
      <c r="H1388" s="17" t="s">
        <v>948</v>
      </c>
    </row>
    <row r="1389">
      <c r="A1389" s="17" t="s">
        <v>1332</v>
      </c>
      <c r="B1389" s="18">
        <v>150000.0</v>
      </c>
      <c r="C1389" s="19">
        <f t="shared" ref="C1389:C1391" si="360">0.0175*B1389</f>
        <v>2625</v>
      </c>
      <c r="D1389" s="20">
        <v>45966.0</v>
      </c>
      <c r="E1389" s="17" t="s">
        <v>939</v>
      </c>
      <c r="F1389" s="17" t="s">
        <v>28</v>
      </c>
      <c r="H1389" s="17" t="s">
        <v>13</v>
      </c>
      <c r="I1389" s="35" t="s">
        <v>30</v>
      </c>
    </row>
    <row r="1390">
      <c r="A1390" s="17" t="s">
        <v>1333</v>
      </c>
      <c r="B1390" s="18">
        <v>30000.0</v>
      </c>
      <c r="C1390" s="19">
        <f t="shared" si="360"/>
        <v>525</v>
      </c>
      <c r="D1390" s="20">
        <v>45967.0</v>
      </c>
      <c r="E1390" s="17" t="s">
        <v>11</v>
      </c>
      <c r="F1390" s="17" t="s">
        <v>28</v>
      </c>
      <c r="I1390" s="35" t="s">
        <v>30</v>
      </c>
    </row>
    <row r="1391">
      <c r="A1391" s="17" t="s">
        <v>1334</v>
      </c>
      <c r="B1391" s="32">
        <v>95000.0</v>
      </c>
      <c r="C1391" s="33">
        <f t="shared" si="360"/>
        <v>1662.5</v>
      </c>
      <c r="D1391" s="20">
        <v>45967.0</v>
      </c>
      <c r="E1391" s="17" t="s">
        <v>15</v>
      </c>
      <c r="F1391" s="17" t="s">
        <v>28</v>
      </c>
      <c r="H1391" s="31" t="s">
        <v>98</v>
      </c>
      <c r="K1391" s="17">
        <v>285.0</v>
      </c>
    </row>
    <row r="1392">
      <c r="A1392" s="17" t="s">
        <v>1335</v>
      </c>
      <c r="B1392" s="32">
        <v>325000.0</v>
      </c>
      <c r="C1392" s="33">
        <f t="shared" ref="C1392:C1393" si="361">0.0125*B1392</f>
        <v>4062.5</v>
      </c>
      <c r="D1392" s="20">
        <v>45967.0</v>
      </c>
      <c r="E1392" s="17" t="s">
        <v>11</v>
      </c>
      <c r="F1392" s="17" t="s">
        <v>12</v>
      </c>
    </row>
    <row r="1393">
      <c r="A1393" s="17" t="s">
        <v>1336</v>
      </c>
      <c r="B1393" s="32">
        <v>10000.0</v>
      </c>
      <c r="C1393" s="33">
        <f t="shared" si="361"/>
        <v>125</v>
      </c>
      <c r="D1393" s="20">
        <v>45967.0</v>
      </c>
      <c r="E1393" s="17" t="s">
        <v>15</v>
      </c>
      <c r="F1393" s="17" t="s">
        <v>144</v>
      </c>
      <c r="H1393" s="31" t="s">
        <v>1337</v>
      </c>
    </row>
    <row r="1394">
      <c r="A1394" s="17" t="s">
        <v>1338</v>
      </c>
      <c r="B1394" s="32">
        <v>230000.0</v>
      </c>
      <c r="C1394" s="33">
        <f t="shared" ref="C1394:C1397" si="362">0.0175*B1394</f>
        <v>4025</v>
      </c>
      <c r="D1394" s="20">
        <v>45967.0</v>
      </c>
      <c r="E1394" s="17" t="s">
        <v>939</v>
      </c>
      <c r="F1394" s="17" t="s">
        <v>28</v>
      </c>
      <c r="H1394" s="17" t="s">
        <v>13</v>
      </c>
      <c r="I1394" s="35" t="s">
        <v>30</v>
      </c>
    </row>
    <row r="1395">
      <c r="A1395" s="17" t="s">
        <v>1339</v>
      </c>
      <c r="B1395" s="32">
        <v>80000.0</v>
      </c>
      <c r="C1395" s="33">
        <f t="shared" si="362"/>
        <v>1400</v>
      </c>
      <c r="D1395" s="20">
        <v>45967.0</v>
      </c>
      <c r="E1395" s="17" t="s">
        <v>60</v>
      </c>
      <c r="F1395" s="17" t="s">
        <v>28</v>
      </c>
      <c r="I1395" s="35" t="s">
        <v>30</v>
      </c>
    </row>
    <row r="1396">
      <c r="A1396" s="17" t="s">
        <v>1340</v>
      </c>
      <c r="B1396" s="32">
        <v>50000.0</v>
      </c>
      <c r="C1396" s="33">
        <f t="shared" si="362"/>
        <v>875</v>
      </c>
      <c r="D1396" s="20">
        <v>45967.0</v>
      </c>
      <c r="E1396" s="17" t="s">
        <v>11</v>
      </c>
      <c r="F1396" s="17" t="s">
        <v>28</v>
      </c>
      <c r="I1396" s="35" t="s">
        <v>30</v>
      </c>
    </row>
    <row r="1397">
      <c r="A1397" s="17" t="s">
        <v>1341</v>
      </c>
      <c r="B1397" s="32">
        <v>85000.0</v>
      </c>
      <c r="C1397" s="33">
        <f t="shared" si="362"/>
        <v>1487.5</v>
      </c>
      <c r="D1397" s="20">
        <v>45967.0</v>
      </c>
      <c r="E1397" s="17" t="s">
        <v>15</v>
      </c>
      <c r="F1397" s="17" t="s">
        <v>28</v>
      </c>
      <c r="H1397" s="31" t="s">
        <v>98</v>
      </c>
      <c r="I1397" s="35" t="s">
        <v>30</v>
      </c>
      <c r="K1397" s="17">
        <v>255.0</v>
      </c>
    </row>
    <row r="1398">
      <c r="A1398" s="17" t="s">
        <v>1342</v>
      </c>
      <c r="B1398" s="32">
        <v>165000.0</v>
      </c>
      <c r="C1398" s="33">
        <f t="shared" ref="C1398:C1399" si="363">0.0125*B1398</f>
        <v>2062.5</v>
      </c>
      <c r="D1398" s="20">
        <v>45967.0</v>
      </c>
      <c r="E1398" s="17" t="s">
        <v>11</v>
      </c>
      <c r="F1398" s="17" t="s">
        <v>12</v>
      </c>
    </row>
    <row r="1399">
      <c r="A1399" s="17" t="s">
        <v>23</v>
      </c>
      <c r="B1399" s="32">
        <v>250000.0</v>
      </c>
      <c r="C1399" s="33">
        <f t="shared" si="363"/>
        <v>3125</v>
      </c>
      <c r="D1399" s="20">
        <v>45967.0</v>
      </c>
      <c r="E1399" s="17" t="s">
        <v>24</v>
      </c>
      <c r="F1399" s="17" t="s">
        <v>12</v>
      </c>
      <c r="H1399" s="17" t="s">
        <v>948</v>
      </c>
    </row>
    <row r="1400">
      <c r="A1400" s="17" t="s">
        <v>1343</v>
      </c>
      <c r="B1400" s="32">
        <v>100000.0</v>
      </c>
      <c r="C1400" s="33">
        <f t="shared" ref="C1400:C1401" si="364">0.0175*B1400</f>
        <v>1750</v>
      </c>
      <c r="D1400" s="20">
        <v>45967.0</v>
      </c>
      <c r="E1400" s="17" t="s">
        <v>15</v>
      </c>
      <c r="F1400" s="17" t="s">
        <v>28</v>
      </c>
      <c r="H1400" s="31" t="s">
        <v>54</v>
      </c>
      <c r="K1400" s="17">
        <v>600.0</v>
      </c>
    </row>
    <row r="1401">
      <c r="A1401" s="17" t="s">
        <v>1344</v>
      </c>
      <c r="B1401" s="18">
        <v>50000.0</v>
      </c>
      <c r="C1401" s="33">
        <f t="shared" si="364"/>
        <v>875</v>
      </c>
      <c r="D1401" s="20">
        <v>45968.0</v>
      </c>
      <c r="E1401" s="17" t="s">
        <v>11</v>
      </c>
      <c r="F1401" s="17" t="s">
        <v>28</v>
      </c>
      <c r="I1401" s="35" t="s">
        <v>30</v>
      </c>
    </row>
    <row r="1402">
      <c r="A1402" s="17" t="s">
        <v>633</v>
      </c>
      <c r="B1402" s="18">
        <v>32000.0</v>
      </c>
      <c r="C1402" s="33">
        <f t="shared" ref="C1402:C1403" si="365">0.0125*B1402</f>
        <v>400</v>
      </c>
      <c r="D1402" s="20">
        <v>45968.0</v>
      </c>
      <c r="E1402" s="17" t="s">
        <v>15</v>
      </c>
      <c r="F1402" s="17" t="s">
        <v>12</v>
      </c>
      <c r="H1402" s="31" t="s">
        <v>54</v>
      </c>
      <c r="K1402" s="17">
        <v>192.0</v>
      </c>
    </row>
    <row r="1403">
      <c r="A1403" s="17" t="s">
        <v>14</v>
      </c>
      <c r="B1403" s="32">
        <v>50000.0</v>
      </c>
      <c r="C1403" s="33">
        <f t="shared" si="365"/>
        <v>625</v>
      </c>
      <c r="D1403" s="20">
        <v>45968.0</v>
      </c>
      <c r="E1403" s="17" t="s">
        <v>15</v>
      </c>
      <c r="F1403" s="17" t="s">
        <v>12</v>
      </c>
      <c r="H1403" s="31" t="s">
        <v>51</v>
      </c>
      <c r="K1403" s="17">
        <v>250.0</v>
      </c>
    </row>
    <row r="1404">
      <c r="A1404" s="17" t="s">
        <v>1345</v>
      </c>
      <c r="B1404" s="32">
        <v>500000.0</v>
      </c>
      <c r="C1404" s="33">
        <f t="shared" ref="C1404:C1406" si="366">0.0175*B1404</f>
        <v>8750</v>
      </c>
      <c r="D1404" s="20">
        <v>45968.0</v>
      </c>
      <c r="E1404" s="17" t="s">
        <v>1346</v>
      </c>
      <c r="F1404" s="17" t="s">
        <v>28</v>
      </c>
      <c r="I1404" s="35" t="s">
        <v>30</v>
      </c>
    </row>
    <row r="1405">
      <c r="A1405" s="17" t="s">
        <v>866</v>
      </c>
      <c r="B1405" s="32">
        <v>275000.0</v>
      </c>
      <c r="C1405" s="33">
        <f t="shared" si="366"/>
        <v>4812.5</v>
      </c>
      <c r="D1405" s="20">
        <v>45968.0</v>
      </c>
      <c r="E1405" s="17" t="s">
        <v>118</v>
      </c>
      <c r="F1405" s="17" t="s">
        <v>67</v>
      </c>
      <c r="H1405" s="17" t="s">
        <v>13</v>
      </c>
      <c r="I1405" s="35" t="s">
        <v>30</v>
      </c>
    </row>
    <row r="1406">
      <c r="A1406" s="17" t="s">
        <v>1347</v>
      </c>
      <c r="B1406" s="32">
        <v>200000.0</v>
      </c>
      <c r="C1406" s="33">
        <f t="shared" si="366"/>
        <v>3500</v>
      </c>
      <c r="D1406" s="20">
        <v>45968.0</v>
      </c>
      <c r="E1406" s="17" t="s">
        <v>24</v>
      </c>
      <c r="F1406" s="17" t="s">
        <v>28</v>
      </c>
      <c r="H1406" s="17" t="s">
        <v>642</v>
      </c>
      <c r="I1406" s="35" t="s">
        <v>30</v>
      </c>
    </row>
    <row r="1407">
      <c r="A1407" s="17" t="s">
        <v>1348</v>
      </c>
      <c r="B1407" s="32">
        <v>265000.0</v>
      </c>
      <c r="C1407" s="33">
        <f t="shared" ref="C1407:C1410" si="367">0.0125*B1407</f>
        <v>3312.5</v>
      </c>
      <c r="D1407" s="20">
        <v>45968.0</v>
      </c>
      <c r="E1407" s="17" t="s">
        <v>11</v>
      </c>
      <c r="F1407" s="17" t="s">
        <v>12</v>
      </c>
    </row>
    <row r="1408">
      <c r="A1408" s="17" t="s">
        <v>1349</v>
      </c>
      <c r="B1408" s="32">
        <v>50000.0</v>
      </c>
      <c r="C1408" s="33">
        <f t="shared" si="367"/>
        <v>625</v>
      </c>
      <c r="D1408" s="20">
        <v>45968.0</v>
      </c>
      <c r="E1408" s="17" t="s">
        <v>11</v>
      </c>
      <c r="F1408" s="17" t="s">
        <v>12</v>
      </c>
    </row>
    <row r="1409">
      <c r="A1409" s="17" t="s">
        <v>1350</v>
      </c>
      <c r="B1409" s="32">
        <v>155000.0</v>
      </c>
      <c r="C1409" s="33">
        <f t="shared" si="367"/>
        <v>1937.5</v>
      </c>
      <c r="D1409" s="20">
        <v>45968.0</v>
      </c>
      <c r="E1409" s="17" t="s">
        <v>11</v>
      </c>
      <c r="F1409" s="17" t="s">
        <v>12</v>
      </c>
    </row>
    <row r="1410">
      <c r="A1410" s="17" t="s">
        <v>389</v>
      </c>
      <c r="B1410" s="32">
        <v>30000.0</v>
      </c>
      <c r="C1410" s="33">
        <f t="shared" si="367"/>
        <v>375</v>
      </c>
      <c r="D1410" s="20">
        <v>45968.0</v>
      </c>
      <c r="E1410" s="17" t="s">
        <v>15</v>
      </c>
      <c r="F1410" s="17" t="s">
        <v>12</v>
      </c>
      <c r="H1410" s="31" t="s">
        <v>149</v>
      </c>
      <c r="K1410" s="17">
        <v>75.0</v>
      </c>
    </row>
    <row r="1411">
      <c r="A1411" s="17" t="s">
        <v>1351</v>
      </c>
      <c r="B1411" s="32">
        <v>675000.0</v>
      </c>
      <c r="C1411" s="33">
        <f>0.0175*B1411</f>
        <v>11812.5</v>
      </c>
      <c r="D1411" s="20">
        <v>45968.0</v>
      </c>
      <c r="E1411" s="17" t="s">
        <v>11</v>
      </c>
      <c r="F1411" s="17" t="s">
        <v>28</v>
      </c>
      <c r="I1411" s="35" t="s">
        <v>30</v>
      </c>
    </row>
    <row r="1412">
      <c r="A1412" s="17" t="s">
        <v>184</v>
      </c>
      <c r="B1412" s="32">
        <v>230000.0</v>
      </c>
      <c r="C1412" s="33">
        <f t="shared" ref="C1412:C1415" si="368">0.0125*B1412</f>
        <v>2875</v>
      </c>
      <c r="D1412" s="20">
        <v>45968.0</v>
      </c>
      <c r="E1412" s="17" t="s">
        <v>60</v>
      </c>
      <c r="F1412" s="17" t="s">
        <v>12</v>
      </c>
    </row>
    <row r="1413">
      <c r="A1413" s="17" t="s">
        <v>1352</v>
      </c>
      <c r="B1413" s="32">
        <v>250000.0</v>
      </c>
      <c r="C1413" s="33">
        <f t="shared" si="368"/>
        <v>3125</v>
      </c>
      <c r="D1413" s="20">
        <v>45971.0</v>
      </c>
      <c r="E1413" s="17" t="s">
        <v>69</v>
      </c>
      <c r="F1413" s="17" t="s">
        <v>12</v>
      </c>
      <c r="H1413" s="17" t="s">
        <v>22</v>
      </c>
    </row>
    <row r="1414">
      <c r="A1414" s="17" t="s">
        <v>1353</v>
      </c>
      <c r="B1414" s="18">
        <v>250000.0</v>
      </c>
      <c r="C1414" s="19">
        <f t="shared" si="368"/>
        <v>3125</v>
      </c>
      <c r="D1414" s="20">
        <v>45971.0</v>
      </c>
      <c r="E1414" s="17" t="s">
        <v>75</v>
      </c>
      <c r="F1414" s="17" t="s">
        <v>12</v>
      </c>
    </row>
    <row r="1415">
      <c r="A1415" s="17" t="s">
        <v>1354</v>
      </c>
      <c r="B1415" s="18">
        <v>50000.0</v>
      </c>
      <c r="C1415" s="19">
        <f t="shared" si="368"/>
        <v>625</v>
      </c>
      <c r="D1415" s="20">
        <v>45971.0</v>
      </c>
      <c r="E1415" s="17" t="s">
        <v>60</v>
      </c>
      <c r="F1415" s="17" t="s">
        <v>12</v>
      </c>
    </row>
    <row r="1416">
      <c r="A1416" s="17" t="s">
        <v>1355</v>
      </c>
      <c r="B1416" s="18">
        <v>1000000.0</v>
      </c>
      <c r="C1416" s="19">
        <f>0.0175*B1416</f>
        <v>17500</v>
      </c>
      <c r="D1416" s="20">
        <v>45971.0</v>
      </c>
      <c r="E1416" s="17" t="s">
        <v>568</v>
      </c>
      <c r="F1416" s="17" t="s">
        <v>28</v>
      </c>
      <c r="I1416" s="35" t="s">
        <v>30</v>
      </c>
    </row>
    <row r="1417">
      <c r="A1417" s="17" t="s">
        <v>1356</v>
      </c>
      <c r="B1417" s="18">
        <v>525000.0</v>
      </c>
      <c r="C1417" s="19">
        <f>0.0125*B1417</f>
        <v>6562.5</v>
      </c>
      <c r="D1417" s="20">
        <v>45971.0</v>
      </c>
      <c r="E1417" s="17" t="s">
        <v>24</v>
      </c>
      <c r="F1417" s="17" t="s">
        <v>12</v>
      </c>
      <c r="H1417" s="17" t="s">
        <v>948</v>
      </c>
    </row>
    <row r="1418">
      <c r="A1418" s="17" t="s">
        <v>1357</v>
      </c>
      <c r="B1418" s="18">
        <v>60000.0</v>
      </c>
      <c r="C1418" s="19">
        <f>0.0175*B1418</f>
        <v>1050</v>
      </c>
      <c r="D1418" s="20">
        <v>45971.0</v>
      </c>
      <c r="E1418" s="17" t="s">
        <v>75</v>
      </c>
      <c r="F1418" s="17" t="s">
        <v>28</v>
      </c>
      <c r="H1418" s="17" t="s">
        <v>1358</v>
      </c>
    </row>
    <row r="1419">
      <c r="A1419" s="17" t="s">
        <v>1359</v>
      </c>
      <c r="B1419" s="18">
        <v>35000.0</v>
      </c>
      <c r="C1419" s="19">
        <f t="shared" ref="C1419:C1420" si="369">0.0125*B1419</f>
        <v>437.5</v>
      </c>
      <c r="D1419" s="20">
        <v>45971.0</v>
      </c>
      <c r="E1419" s="17" t="s">
        <v>75</v>
      </c>
      <c r="F1419" s="17" t="s">
        <v>12</v>
      </c>
      <c r="H1419" s="17"/>
    </row>
    <row r="1420">
      <c r="A1420" s="17" t="s">
        <v>1360</v>
      </c>
      <c r="B1420" s="18">
        <v>75000.0</v>
      </c>
      <c r="C1420" s="19">
        <f t="shared" si="369"/>
        <v>937.5</v>
      </c>
      <c r="D1420" s="20">
        <v>45971.0</v>
      </c>
      <c r="E1420" s="17" t="s">
        <v>75</v>
      </c>
      <c r="F1420" s="17" t="s">
        <v>12</v>
      </c>
      <c r="H1420" s="17" t="s">
        <v>1361</v>
      </c>
    </row>
    <row r="1421">
      <c r="A1421" s="17" t="s">
        <v>1362</v>
      </c>
      <c r="B1421" s="18">
        <v>140000.0</v>
      </c>
      <c r="C1421" s="19">
        <f t="shared" ref="C1421:C1424" si="370">0.0175*B1421</f>
        <v>2450</v>
      </c>
      <c r="D1421" s="20">
        <v>45971.0</v>
      </c>
      <c r="E1421" s="17" t="s">
        <v>24</v>
      </c>
      <c r="F1421" s="17" t="s">
        <v>28</v>
      </c>
      <c r="H1421" s="17" t="s">
        <v>642</v>
      </c>
    </row>
    <row r="1422">
      <c r="A1422" s="17" t="s">
        <v>881</v>
      </c>
      <c r="B1422" s="18">
        <v>50000.0</v>
      </c>
      <c r="C1422" s="19">
        <f t="shared" si="370"/>
        <v>875</v>
      </c>
      <c r="D1422" s="20">
        <v>45971.0</v>
      </c>
      <c r="E1422" s="17" t="s">
        <v>11</v>
      </c>
      <c r="F1422" s="17" t="s">
        <v>67</v>
      </c>
    </row>
    <row r="1423">
      <c r="A1423" s="17" t="s">
        <v>1363</v>
      </c>
      <c r="B1423" s="18">
        <v>150000.0</v>
      </c>
      <c r="C1423" s="19">
        <f t="shared" si="370"/>
        <v>2625</v>
      </c>
      <c r="D1423" s="20">
        <v>45973.0</v>
      </c>
      <c r="E1423" s="17" t="s">
        <v>60</v>
      </c>
      <c r="F1423" s="17" t="s">
        <v>28</v>
      </c>
      <c r="I1423" s="35" t="s">
        <v>30</v>
      </c>
    </row>
    <row r="1424">
      <c r="A1424" s="17" t="s">
        <v>1364</v>
      </c>
      <c r="B1424" s="18">
        <v>275000.0</v>
      </c>
      <c r="C1424" s="19">
        <f t="shared" si="370"/>
        <v>4812.5</v>
      </c>
      <c r="D1424" s="20">
        <v>45973.0</v>
      </c>
      <c r="E1424" s="17" t="s">
        <v>60</v>
      </c>
      <c r="F1424" s="17" t="s">
        <v>28</v>
      </c>
      <c r="I1424" s="35" t="s">
        <v>30</v>
      </c>
    </row>
    <row r="1425">
      <c r="A1425" s="17" t="s">
        <v>419</v>
      </c>
      <c r="B1425" s="18">
        <v>275000.0</v>
      </c>
      <c r="C1425" s="19">
        <f>0.0125*B1425</f>
        <v>3437.5</v>
      </c>
      <c r="D1425" s="20">
        <v>45973.0</v>
      </c>
      <c r="E1425" s="17" t="s">
        <v>11</v>
      </c>
      <c r="F1425" s="17" t="s">
        <v>12</v>
      </c>
    </row>
    <row r="1426">
      <c r="A1426" s="17" t="s">
        <v>1365</v>
      </c>
      <c r="B1426" s="18">
        <v>325000.0</v>
      </c>
      <c r="C1426" s="19">
        <f>0.0175*B1426</f>
        <v>5687.5</v>
      </c>
      <c r="D1426" s="20">
        <v>45973.0</v>
      </c>
      <c r="E1426" s="17" t="s">
        <v>73</v>
      </c>
      <c r="F1426" s="17" t="s">
        <v>28</v>
      </c>
    </row>
    <row r="1427">
      <c r="A1427" s="17" t="s">
        <v>134</v>
      </c>
      <c r="B1427" s="18">
        <v>290000.0</v>
      </c>
      <c r="C1427" s="19">
        <f t="shared" ref="C1427:C1428" si="371">0.0125*B1427</f>
        <v>3625</v>
      </c>
      <c r="D1427" s="20">
        <v>45973.0</v>
      </c>
      <c r="E1427" s="17" t="s">
        <v>345</v>
      </c>
      <c r="F1427" s="17" t="s">
        <v>12</v>
      </c>
    </row>
    <row r="1428">
      <c r="A1428" s="17" t="s">
        <v>1366</v>
      </c>
      <c r="B1428" s="18">
        <v>150000.0</v>
      </c>
      <c r="C1428" s="19">
        <f t="shared" si="371"/>
        <v>1875</v>
      </c>
      <c r="D1428" s="20">
        <v>45973.0</v>
      </c>
      <c r="E1428" s="17" t="s">
        <v>11</v>
      </c>
      <c r="F1428" s="17" t="s">
        <v>12</v>
      </c>
    </row>
    <row r="1429">
      <c r="A1429" s="17" t="s">
        <v>1367</v>
      </c>
      <c r="B1429" s="18">
        <v>1000000.0</v>
      </c>
      <c r="C1429" s="19">
        <f>0.0175*B1429</f>
        <v>17500</v>
      </c>
      <c r="D1429" s="20">
        <v>45974.0</v>
      </c>
      <c r="E1429" s="17" t="s">
        <v>118</v>
      </c>
      <c r="F1429" s="17" t="s">
        <v>28</v>
      </c>
      <c r="H1429" s="17" t="s">
        <v>13</v>
      </c>
      <c r="I1429" s="35" t="s">
        <v>30</v>
      </c>
    </row>
    <row r="1430">
      <c r="A1430" s="17" t="s">
        <v>1368</v>
      </c>
      <c r="B1430" s="18">
        <v>45000.0</v>
      </c>
      <c r="C1430" s="19">
        <f>0.0125*B1430</f>
        <v>562.5</v>
      </c>
      <c r="D1430" s="20">
        <v>45974.0</v>
      </c>
      <c r="E1430" s="17" t="s">
        <v>15</v>
      </c>
      <c r="F1430" s="17" t="s">
        <v>12</v>
      </c>
      <c r="H1430" s="31" t="s">
        <v>54</v>
      </c>
    </row>
    <row r="1431">
      <c r="A1431" s="17" t="s">
        <v>1369</v>
      </c>
      <c r="B1431" s="18">
        <v>250000.0</v>
      </c>
      <c r="C1431" s="19">
        <f t="shared" ref="C1431:C1433" si="372">0.0175*B1431</f>
        <v>4375</v>
      </c>
      <c r="D1431" s="20">
        <v>45974.0</v>
      </c>
      <c r="E1431" s="17" t="s">
        <v>118</v>
      </c>
      <c r="F1431" s="17" t="s">
        <v>144</v>
      </c>
      <c r="H1431" s="17" t="s">
        <v>22</v>
      </c>
    </row>
    <row r="1432">
      <c r="A1432" s="17" t="s">
        <v>1370</v>
      </c>
      <c r="B1432" s="18">
        <v>35000.0</v>
      </c>
      <c r="C1432" s="19">
        <f t="shared" si="372"/>
        <v>612.5</v>
      </c>
      <c r="D1432" s="20">
        <v>45974.0</v>
      </c>
      <c r="E1432" s="17" t="s">
        <v>15</v>
      </c>
      <c r="F1432" s="17" t="s">
        <v>28</v>
      </c>
      <c r="H1432" s="31" t="s">
        <v>51</v>
      </c>
      <c r="I1432" s="35" t="s">
        <v>30</v>
      </c>
    </row>
    <row r="1433">
      <c r="A1433" s="17" t="s">
        <v>1371</v>
      </c>
      <c r="B1433" s="18">
        <v>130000.0</v>
      </c>
      <c r="C1433" s="19">
        <f t="shared" si="372"/>
        <v>2275</v>
      </c>
      <c r="D1433" s="20">
        <v>45974.0</v>
      </c>
      <c r="E1433" s="17" t="s">
        <v>15</v>
      </c>
      <c r="F1433" s="17" t="s">
        <v>28</v>
      </c>
      <c r="H1433" s="31" t="s">
        <v>16</v>
      </c>
      <c r="I1433" s="35" t="s">
        <v>30</v>
      </c>
    </row>
    <row r="1434">
      <c r="A1434" s="17" t="s">
        <v>1372</v>
      </c>
      <c r="B1434" s="32">
        <v>50000.0</v>
      </c>
      <c r="C1434" s="33">
        <f>0.0125*B1434</f>
        <v>625</v>
      </c>
      <c r="D1434" s="20">
        <v>45974.0</v>
      </c>
      <c r="E1434" s="17" t="s">
        <v>15</v>
      </c>
      <c r="F1434" s="17" t="s">
        <v>12</v>
      </c>
      <c r="H1434" s="31" t="s">
        <v>54</v>
      </c>
    </row>
    <row r="1435">
      <c r="A1435" s="17" t="s">
        <v>1373</v>
      </c>
      <c r="B1435" s="32">
        <v>1000000.0</v>
      </c>
      <c r="C1435" s="33">
        <f t="shared" ref="C1435:C1436" si="373">0.0175*B1435</f>
        <v>17500</v>
      </c>
      <c r="D1435" s="20">
        <v>45974.0</v>
      </c>
      <c r="E1435" s="17" t="s">
        <v>118</v>
      </c>
      <c r="F1435" s="17" t="s">
        <v>28</v>
      </c>
      <c r="H1435" s="31" t="s">
        <v>13</v>
      </c>
      <c r="I1435" s="35" t="s">
        <v>30</v>
      </c>
    </row>
    <row r="1436">
      <c r="A1436" s="17" t="s">
        <v>1374</v>
      </c>
      <c r="B1436" s="32">
        <v>85000.0</v>
      </c>
      <c r="C1436" s="33">
        <f t="shared" si="373"/>
        <v>1487.5</v>
      </c>
      <c r="D1436" s="20">
        <v>45974.0</v>
      </c>
      <c r="E1436" s="17" t="s">
        <v>15</v>
      </c>
      <c r="F1436" s="17" t="s">
        <v>28</v>
      </c>
      <c r="H1436" s="31" t="s">
        <v>390</v>
      </c>
      <c r="I1436" s="35" t="s">
        <v>30</v>
      </c>
    </row>
    <row r="1437">
      <c r="A1437" s="17" t="s">
        <v>530</v>
      </c>
      <c r="B1437" s="32">
        <v>260000.0</v>
      </c>
      <c r="C1437" s="33">
        <f>0.0125*B1437</f>
        <v>3250</v>
      </c>
      <c r="D1437" s="20">
        <v>45975.0</v>
      </c>
      <c r="E1437" s="17" t="s">
        <v>1375</v>
      </c>
      <c r="F1437" s="17" t="s">
        <v>12</v>
      </c>
    </row>
    <row r="1438">
      <c r="A1438" s="17" t="s">
        <v>1376</v>
      </c>
      <c r="B1438" s="32">
        <v>40000.0</v>
      </c>
      <c r="C1438" s="33">
        <f>0.0175*B1438</f>
        <v>700</v>
      </c>
      <c r="D1438" s="20">
        <v>45975.0</v>
      </c>
      <c r="E1438" s="17" t="s">
        <v>939</v>
      </c>
      <c r="F1438" s="17" t="s">
        <v>28</v>
      </c>
      <c r="H1438" s="17" t="s">
        <v>13</v>
      </c>
      <c r="I1438" s="35" t="s">
        <v>30</v>
      </c>
    </row>
    <row r="1439">
      <c r="A1439" s="17" t="s">
        <v>1377</v>
      </c>
      <c r="B1439" s="32">
        <v>160000.0</v>
      </c>
      <c r="C1439" s="33">
        <f>0.0125*B1439</f>
        <v>2000</v>
      </c>
      <c r="D1439" s="20">
        <v>45975.0</v>
      </c>
      <c r="E1439" s="17" t="s">
        <v>15</v>
      </c>
      <c r="F1439" s="17" t="s">
        <v>12</v>
      </c>
      <c r="H1439" s="31" t="s">
        <v>16</v>
      </c>
    </row>
    <row r="1440">
      <c r="A1440" s="17" t="s">
        <v>1378</v>
      </c>
      <c r="B1440" s="32">
        <v>10000.0</v>
      </c>
      <c r="C1440" s="33">
        <f t="shared" ref="C1440:C1445" si="374">0.0175*B1440</f>
        <v>175</v>
      </c>
      <c r="D1440" s="20">
        <v>45975.0</v>
      </c>
      <c r="E1440" s="17" t="s">
        <v>15</v>
      </c>
      <c r="F1440" s="17" t="s">
        <v>28</v>
      </c>
      <c r="H1440" s="31" t="s">
        <v>54</v>
      </c>
      <c r="I1440" s="35" t="s">
        <v>30</v>
      </c>
    </row>
    <row r="1441">
      <c r="A1441" s="17" t="s">
        <v>1379</v>
      </c>
      <c r="B1441" s="32">
        <v>18000.0</v>
      </c>
      <c r="C1441" s="33">
        <f t="shared" si="374"/>
        <v>315</v>
      </c>
      <c r="D1441" s="20">
        <v>45975.0</v>
      </c>
      <c r="E1441" s="17" t="s">
        <v>15</v>
      </c>
      <c r="F1441" s="17" t="s">
        <v>28</v>
      </c>
      <c r="H1441" s="31" t="s">
        <v>54</v>
      </c>
      <c r="I1441" s="35" t="s">
        <v>30</v>
      </c>
    </row>
    <row r="1442">
      <c r="A1442" s="17" t="s">
        <v>1380</v>
      </c>
      <c r="B1442" s="32">
        <v>100000.0</v>
      </c>
      <c r="C1442" s="33">
        <f t="shared" si="374"/>
        <v>1750</v>
      </c>
      <c r="D1442" s="20">
        <v>45978.0</v>
      </c>
      <c r="E1442" s="17" t="s">
        <v>15</v>
      </c>
      <c r="F1442" s="17" t="s">
        <v>28</v>
      </c>
      <c r="H1442" s="31" t="s">
        <v>98</v>
      </c>
      <c r="I1442" s="35" t="s">
        <v>30</v>
      </c>
    </row>
    <row r="1443">
      <c r="A1443" s="17" t="s">
        <v>1381</v>
      </c>
      <c r="B1443" s="32">
        <v>65000.0</v>
      </c>
      <c r="C1443" s="33">
        <f t="shared" si="374"/>
        <v>1137.5</v>
      </c>
      <c r="D1443" s="20">
        <v>45978.0</v>
      </c>
      <c r="E1443" s="17" t="s">
        <v>11</v>
      </c>
      <c r="F1443" s="17" t="s">
        <v>28</v>
      </c>
      <c r="I1443" s="35" t="s">
        <v>30</v>
      </c>
    </row>
    <row r="1444">
      <c r="A1444" s="17" t="s">
        <v>1382</v>
      </c>
      <c r="B1444" s="32">
        <v>165000.0</v>
      </c>
      <c r="C1444" s="33">
        <f t="shared" si="374"/>
        <v>2887.5</v>
      </c>
      <c r="D1444" s="20">
        <v>45978.0</v>
      </c>
      <c r="E1444" s="17" t="s">
        <v>926</v>
      </c>
      <c r="F1444" s="17" t="s">
        <v>28</v>
      </c>
      <c r="I1444" s="35" t="s">
        <v>30</v>
      </c>
    </row>
    <row r="1445">
      <c r="A1445" s="17" t="s">
        <v>407</v>
      </c>
      <c r="B1445" s="32">
        <v>250000.0</v>
      </c>
      <c r="C1445" s="33">
        <f t="shared" si="374"/>
        <v>4375</v>
      </c>
      <c r="D1445" s="20">
        <v>45978.0</v>
      </c>
      <c r="E1445" s="17" t="s">
        <v>11</v>
      </c>
      <c r="F1445" s="17" t="s">
        <v>649</v>
      </c>
    </row>
    <row r="1446">
      <c r="A1446" s="17" t="s">
        <v>647</v>
      </c>
      <c r="B1446" s="32">
        <v>80000.0</v>
      </c>
      <c r="C1446" s="33">
        <f>0.0125*B1446</f>
        <v>1000</v>
      </c>
      <c r="D1446" s="20">
        <v>45978.0</v>
      </c>
      <c r="E1446" s="17" t="s">
        <v>11</v>
      </c>
      <c r="F1446" s="17" t="s">
        <v>12</v>
      </c>
    </row>
    <row r="1447">
      <c r="A1447" s="17" t="s">
        <v>1383</v>
      </c>
      <c r="B1447" s="32">
        <v>175000.0</v>
      </c>
      <c r="C1447" s="33">
        <f>0.0175*B1447</f>
        <v>3062.5</v>
      </c>
      <c r="D1447" s="20">
        <v>45978.0</v>
      </c>
      <c r="E1447" s="17" t="s">
        <v>11</v>
      </c>
      <c r="F1447" s="17" t="s">
        <v>28</v>
      </c>
      <c r="I1447" s="35" t="s">
        <v>30</v>
      </c>
    </row>
    <row r="1448">
      <c r="A1448" s="17" t="s">
        <v>1384</v>
      </c>
      <c r="B1448" s="18">
        <v>60000.0</v>
      </c>
      <c r="C1448" s="19">
        <f t="shared" ref="C1448:C1451" si="375">0.0125*B1448</f>
        <v>750</v>
      </c>
      <c r="D1448" s="20">
        <v>45979.0</v>
      </c>
      <c r="E1448" s="17" t="s">
        <v>24</v>
      </c>
      <c r="F1448" s="17" t="s">
        <v>12</v>
      </c>
      <c r="H1448" s="17" t="s">
        <v>948</v>
      </c>
    </row>
    <row r="1449">
      <c r="A1449" s="17" t="s">
        <v>1385</v>
      </c>
      <c r="B1449" s="32">
        <v>325000.0</v>
      </c>
      <c r="C1449" s="33">
        <f t="shared" si="375"/>
        <v>4062.5</v>
      </c>
      <c r="D1449" s="20">
        <v>45979.0</v>
      </c>
      <c r="E1449" s="17" t="s">
        <v>11</v>
      </c>
      <c r="F1449" s="17" t="s">
        <v>12</v>
      </c>
    </row>
    <row r="1450">
      <c r="A1450" s="17" t="s">
        <v>1386</v>
      </c>
      <c r="B1450" s="32">
        <v>8000.0</v>
      </c>
      <c r="C1450" s="33">
        <f t="shared" si="375"/>
        <v>100</v>
      </c>
      <c r="D1450" s="20">
        <v>45979.0</v>
      </c>
      <c r="E1450" s="17" t="s">
        <v>15</v>
      </c>
      <c r="F1450" s="17" t="s">
        <v>12</v>
      </c>
      <c r="H1450" s="31" t="s">
        <v>149</v>
      </c>
    </row>
    <row r="1451">
      <c r="A1451" s="17" t="s">
        <v>1387</v>
      </c>
      <c r="B1451" s="32">
        <v>160000.0</v>
      </c>
      <c r="C1451" s="33">
        <f t="shared" si="375"/>
        <v>2000</v>
      </c>
      <c r="D1451" s="20">
        <v>45979.0</v>
      </c>
      <c r="E1451" s="17" t="s">
        <v>1388</v>
      </c>
      <c r="F1451" s="17" t="s">
        <v>12</v>
      </c>
    </row>
    <row r="1452">
      <c r="A1452" s="17" t="s">
        <v>1389</v>
      </c>
      <c r="B1452" s="32">
        <v>60000.0</v>
      </c>
      <c r="C1452" s="33">
        <f>0.0175*B1452</f>
        <v>1050</v>
      </c>
      <c r="D1452" s="20">
        <v>45979.0</v>
      </c>
      <c r="E1452" s="17" t="s">
        <v>951</v>
      </c>
      <c r="F1452" s="17" t="s">
        <v>28</v>
      </c>
      <c r="H1452" s="17" t="s">
        <v>13</v>
      </c>
      <c r="I1452" s="35" t="s">
        <v>30</v>
      </c>
    </row>
    <row r="1453">
      <c r="A1453" s="17" t="s">
        <v>1390</v>
      </c>
      <c r="B1453" s="32">
        <v>45000.0</v>
      </c>
      <c r="C1453" s="33">
        <f t="shared" ref="C1453:C1454" si="376">0.0125*B1453</f>
        <v>562.5</v>
      </c>
      <c r="D1453" s="20">
        <v>45979.0</v>
      </c>
      <c r="E1453" s="17" t="s">
        <v>60</v>
      </c>
      <c r="F1453" s="17" t="s">
        <v>12</v>
      </c>
    </row>
    <row r="1454">
      <c r="A1454" s="17" t="s">
        <v>1391</v>
      </c>
      <c r="B1454" s="32">
        <v>70000.0</v>
      </c>
      <c r="C1454" s="33">
        <f t="shared" si="376"/>
        <v>875</v>
      </c>
      <c r="D1454" s="20">
        <v>45979.0</v>
      </c>
      <c r="E1454" s="17" t="s">
        <v>21</v>
      </c>
      <c r="F1454" s="17" t="s">
        <v>12</v>
      </c>
      <c r="H1454" s="17" t="s">
        <v>22</v>
      </c>
    </row>
    <row r="1455">
      <c r="A1455" s="17" t="s">
        <v>1392</v>
      </c>
      <c r="B1455" s="32">
        <v>100000.0</v>
      </c>
      <c r="C1455" s="33">
        <f t="shared" ref="C1455:C1456" si="377">0.0175*B1455</f>
        <v>1750</v>
      </c>
      <c r="D1455" s="20">
        <v>45979.0</v>
      </c>
      <c r="E1455" s="17" t="s">
        <v>60</v>
      </c>
      <c r="F1455" s="17" t="s">
        <v>28</v>
      </c>
      <c r="I1455" s="35" t="s">
        <v>30</v>
      </c>
    </row>
    <row r="1456">
      <c r="A1456" s="17" t="s">
        <v>1393</v>
      </c>
      <c r="B1456" s="32">
        <v>1250000.0</v>
      </c>
      <c r="C1456" s="33">
        <f t="shared" si="377"/>
        <v>21875</v>
      </c>
      <c r="D1456" s="20">
        <v>45980.0</v>
      </c>
      <c r="E1456" s="17" t="s">
        <v>118</v>
      </c>
      <c r="F1456" s="17" t="s">
        <v>28</v>
      </c>
      <c r="H1456" s="17" t="s">
        <v>1394</v>
      </c>
      <c r="I1456" s="35" t="s">
        <v>30</v>
      </c>
    </row>
    <row r="1457">
      <c r="A1457" s="17" t="s">
        <v>1395</v>
      </c>
      <c r="B1457" s="32">
        <v>220000.0</v>
      </c>
      <c r="C1457" s="33">
        <f>0.0125*B1457</f>
        <v>2750</v>
      </c>
      <c r="D1457" s="20">
        <v>45973.0</v>
      </c>
      <c r="E1457" s="17" t="s">
        <v>118</v>
      </c>
      <c r="F1457" s="17" t="s">
        <v>12</v>
      </c>
      <c r="H1457" s="17" t="s">
        <v>22</v>
      </c>
    </row>
    <row r="1458">
      <c r="A1458" s="17" t="s">
        <v>1396</v>
      </c>
      <c r="B1458" s="32">
        <v>20000.0</v>
      </c>
      <c r="C1458" s="33">
        <f t="shared" ref="C1458:C1459" si="378">0.0175*B1458</f>
        <v>350</v>
      </c>
      <c r="D1458" s="20">
        <v>45980.0</v>
      </c>
      <c r="E1458" s="17" t="s">
        <v>15</v>
      </c>
      <c r="F1458" s="17" t="s">
        <v>28</v>
      </c>
      <c r="H1458" s="31" t="s">
        <v>29</v>
      </c>
      <c r="I1458" s="35" t="s">
        <v>30</v>
      </c>
    </row>
    <row r="1459">
      <c r="A1459" s="17" t="s">
        <v>1397</v>
      </c>
      <c r="B1459" s="32">
        <v>150000.0</v>
      </c>
      <c r="C1459" s="33">
        <f t="shared" si="378"/>
        <v>2625</v>
      </c>
      <c r="D1459" s="20">
        <v>45980.0</v>
      </c>
      <c r="E1459" s="17" t="s">
        <v>11</v>
      </c>
      <c r="F1459" s="17" t="s">
        <v>28</v>
      </c>
      <c r="I1459" s="35" t="s">
        <v>30</v>
      </c>
    </row>
    <row r="1460">
      <c r="A1460" s="17" t="s">
        <v>714</v>
      </c>
      <c r="B1460" s="32">
        <v>115000.0</v>
      </c>
      <c r="C1460" s="33">
        <f>0.0125*B1460</f>
        <v>1437.5</v>
      </c>
      <c r="D1460" s="20">
        <v>45980.0</v>
      </c>
      <c r="E1460" s="17" t="s">
        <v>11</v>
      </c>
      <c r="F1460" s="17" t="s">
        <v>12</v>
      </c>
    </row>
    <row r="1461">
      <c r="A1461" s="17" t="s">
        <v>1398</v>
      </c>
      <c r="B1461" s="32">
        <v>200000.0</v>
      </c>
      <c r="C1461" s="33">
        <f>0.0175*B1461</f>
        <v>3500</v>
      </c>
      <c r="D1461" s="20">
        <v>45980.0</v>
      </c>
      <c r="E1461" s="17" t="s">
        <v>24</v>
      </c>
      <c r="F1461" s="17" t="s">
        <v>67</v>
      </c>
      <c r="H1461" s="17" t="s">
        <v>948</v>
      </c>
      <c r="I1461" s="35" t="s">
        <v>30</v>
      </c>
    </row>
    <row r="1462">
      <c r="A1462" s="17" t="s">
        <v>1399</v>
      </c>
      <c r="B1462" s="32">
        <v>160000.0</v>
      </c>
      <c r="C1462" s="33">
        <f t="shared" ref="C1462:C1465" si="379">0.0125*B1462</f>
        <v>2000</v>
      </c>
      <c r="D1462" s="20">
        <v>45981.0</v>
      </c>
      <c r="E1462" s="17" t="s">
        <v>60</v>
      </c>
      <c r="F1462" s="17" t="s">
        <v>12</v>
      </c>
    </row>
    <row r="1463">
      <c r="A1463" s="17" t="s">
        <v>1400</v>
      </c>
      <c r="B1463" s="32">
        <v>2000000.0</v>
      </c>
      <c r="C1463" s="33">
        <f t="shared" si="379"/>
        <v>25000</v>
      </c>
      <c r="D1463" s="20">
        <v>45981.0</v>
      </c>
      <c r="E1463" s="17" t="s">
        <v>1401</v>
      </c>
      <c r="F1463" s="17" t="s">
        <v>12</v>
      </c>
      <c r="H1463" s="17" t="s">
        <v>1402</v>
      </c>
    </row>
    <row r="1464">
      <c r="A1464" s="17" t="s">
        <v>1403</v>
      </c>
      <c r="B1464" s="32">
        <v>150000.0</v>
      </c>
      <c r="C1464" s="33">
        <f t="shared" si="379"/>
        <v>1875</v>
      </c>
      <c r="D1464" s="20">
        <v>45981.0</v>
      </c>
      <c r="E1464" s="17" t="s">
        <v>11</v>
      </c>
      <c r="F1464" s="17" t="s">
        <v>12</v>
      </c>
    </row>
    <row r="1465">
      <c r="A1465" s="17" t="s">
        <v>1404</v>
      </c>
      <c r="B1465" s="32">
        <v>50000.0</v>
      </c>
      <c r="C1465" s="33">
        <f t="shared" si="379"/>
        <v>625</v>
      </c>
      <c r="D1465" s="20">
        <v>45981.0</v>
      </c>
      <c r="E1465" s="17" t="s">
        <v>60</v>
      </c>
      <c r="F1465" s="17" t="s">
        <v>12</v>
      </c>
    </row>
    <row r="1466">
      <c r="A1466" s="17" t="s">
        <v>1100</v>
      </c>
      <c r="B1466" s="32">
        <v>150000.0</v>
      </c>
      <c r="C1466" s="33">
        <f t="shared" ref="C1466:C1467" si="380">0.0175*B1466</f>
        <v>2625</v>
      </c>
      <c r="D1466" s="20">
        <v>45981.0</v>
      </c>
      <c r="E1466" s="17" t="s">
        <v>73</v>
      </c>
      <c r="F1466" s="17" t="s">
        <v>67</v>
      </c>
      <c r="H1466" s="17" t="s">
        <v>1405</v>
      </c>
    </row>
    <row r="1467">
      <c r="A1467" s="17" t="s">
        <v>1406</v>
      </c>
      <c r="B1467" s="32">
        <v>180000.0</v>
      </c>
      <c r="C1467" s="33">
        <f t="shared" si="380"/>
        <v>3150</v>
      </c>
      <c r="D1467" s="20">
        <v>45981.0</v>
      </c>
      <c r="E1467" s="17" t="s">
        <v>11</v>
      </c>
      <c r="F1467" s="17" t="s">
        <v>28</v>
      </c>
      <c r="H1467" s="17"/>
      <c r="I1467" s="35" t="s">
        <v>30</v>
      </c>
    </row>
    <row r="1468">
      <c r="A1468" s="17" t="s">
        <v>1407</v>
      </c>
      <c r="B1468" s="32">
        <v>10500.0</v>
      </c>
      <c r="C1468" s="33">
        <f t="shared" ref="C1468:C1471" si="381">0.0125*B1468</f>
        <v>131.25</v>
      </c>
      <c r="D1468" s="20">
        <v>45981.0</v>
      </c>
      <c r="E1468" s="17" t="s">
        <v>376</v>
      </c>
      <c r="F1468" s="17" t="s">
        <v>144</v>
      </c>
      <c r="H1468" s="17" t="s">
        <v>22</v>
      </c>
    </row>
    <row r="1469">
      <c r="A1469" s="17" t="s">
        <v>843</v>
      </c>
      <c r="B1469" s="32">
        <v>115000.0</v>
      </c>
      <c r="C1469" s="33">
        <f t="shared" si="381"/>
        <v>1437.5</v>
      </c>
      <c r="D1469" s="20">
        <v>45981.0</v>
      </c>
      <c r="E1469" s="17" t="s">
        <v>11</v>
      </c>
      <c r="F1469" s="17" t="s">
        <v>12</v>
      </c>
    </row>
    <row r="1470">
      <c r="A1470" s="17" t="s">
        <v>1408</v>
      </c>
      <c r="B1470" s="32">
        <v>25000.0</v>
      </c>
      <c r="C1470" s="33">
        <f t="shared" si="381"/>
        <v>312.5</v>
      </c>
      <c r="D1470" s="20">
        <v>45981.0</v>
      </c>
      <c r="E1470" s="17" t="s">
        <v>11</v>
      </c>
      <c r="F1470" s="17" t="s">
        <v>12</v>
      </c>
    </row>
    <row r="1471">
      <c r="A1471" s="17" t="s">
        <v>1409</v>
      </c>
      <c r="B1471" s="32">
        <v>65000.0</v>
      </c>
      <c r="C1471" s="33">
        <f t="shared" si="381"/>
        <v>812.5</v>
      </c>
      <c r="D1471" s="20">
        <v>45981.0</v>
      </c>
      <c r="E1471" s="17" t="s">
        <v>15</v>
      </c>
      <c r="F1471" s="17" t="s">
        <v>12</v>
      </c>
      <c r="H1471" s="31" t="s">
        <v>16</v>
      </c>
    </row>
    <row r="1472">
      <c r="A1472" s="17" t="s">
        <v>1410</v>
      </c>
      <c r="B1472" s="32">
        <v>950000.0</v>
      </c>
      <c r="C1472" s="33">
        <f t="shared" ref="C1472:C1473" si="382">0.0175*B1472</f>
        <v>16625</v>
      </c>
      <c r="D1472" s="20">
        <v>45981.0</v>
      </c>
      <c r="E1472" s="17" t="s">
        <v>60</v>
      </c>
      <c r="F1472" s="17" t="s">
        <v>28</v>
      </c>
      <c r="I1472" s="35" t="s">
        <v>30</v>
      </c>
    </row>
    <row r="1473">
      <c r="A1473" s="17" t="s">
        <v>1411</v>
      </c>
      <c r="B1473" s="32">
        <v>75000.0</v>
      </c>
      <c r="C1473" s="33">
        <f t="shared" si="382"/>
        <v>1312.5</v>
      </c>
      <c r="D1473" s="20">
        <v>45981.0</v>
      </c>
      <c r="E1473" s="17" t="s">
        <v>1412</v>
      </c>
      <c r="F1473" s="17" t="s">
        <v>28</v>
      </c>
    </row>
    <row r="1474">
      <c r="A1474" s="17" t="s">
        <v>1413</v>
      </c>
      <c r="B1474" s="32">
        <v>175000.0</v>
      </c>
      <c r="C1474" s="33">
        <f t="shared" ref="C1474:C1477" si="383">0.0125*B1474</f>
        <v>2187.5</v>
      </c>
      <c r="D1474" s="20">
        <v>45981.0</v>
      </c>
      <c r="E1474" s="17" t="s">
        <v>11</v>
      </c>
      <c r="F1474" s="17" t="s">
        <v>12</v>
      </c>
    </row>
    <row r="1475">
      <c r="A1475" s="17" t="s">
        <v>603</v>
      </c>
      <c r="B1475" s="32">
        <v>150000.0</v>
      </c>
      <c r="C1475" s="33">
        <f t="shared" si="383"/>
        <v>1875</v>
      </c>
      <c r="D1475" s="20">
        <v>45981.0</v>
      </c>
      <c r="E1475" s="17" t="s">
        <v>11</v>
      </c>
      <c r="F1475" s="17" t="s">
        <v>12</v>
      </c>
    </row>
    <row r="1476">
      <c r="A1476" s="17" t="s">
        <v>1104</v>
      </c>
      <c r="B1476" s="32">
        <v>295000.0</v>
      </c>
      <c r="C1476" s="33">
        <f t="shared" si="383"/>
        <v>3687.5</v>
      </c>
      <c r="D1476" s="20">
        <v>45981.0</v>
      </c>
      <c r="E1476" s="17" t="s">
        <v>11</v>
      </c>
      <c r="F1476" s="17" t="s">
        <v>12</v>
      </c>
    </row>
    <row r="1477">
      <c r="A1477" s="17" t="s">
        <v>1414</v>
      </c>
      <c r="B1477" s="18">
        <v>1600000.0</v>
      </c>
      <c r="C1477" s="19">
        <f t="shared" si="383"/>
        <v>20000</v>
      </c>
      <c r="D1477" s="20">
        <v>45981.0</v>
      </c>
      <c r="E1477" s="17" t="s">
        <v>11</v>
      </c>
      <c r="F1477" s="17" t="s">
        <v>12</v>
      </c>
    </row>
    <row r="1478">
      <c r="A1478" s="17" t="s">
        <v>1415</v>
      </c>
      <c r="B1478" s="18">
        <v>15000.0</v>
      </c>
      <c r="C1478" s="19">
        <f t="shared" ref="C1478:C1479" si="384">0.0175*B1478</f>
        <v>262.5</v>
      </c>
      <c r="D1478" s="20">
        <v>45981.0</v>
      </c>
      <c r="E1478" s="17" t="s">
        <v>11</v>
      </c>
      <c r="F1478" s="17" t="s">
        <v>28</v>
      </c>
      <c r="I1478" s="35" t="s">
        <v>30</v>
      </c>
    </row>
    <row r="1479">
      <c r="A1479" s="17" t="s">
        <v>1416</v>
      </c>
      <c r="B1479" s="18">
        <v>150000.0</v>
      </c>
      <c r="C1479" s="19">
        <f t="shared" si="384"/>
        <v>2625</v>
      </c>
      <c r="D1479" s="20">
        <v>45982.0</v>
      </c>
      <c r="E1479" s="17" t="s">
        <v>951</v>
      </c>
      <c r="F1479" s="17" t="s">
        <v>28</v>
      </c>
      <c r="H1479" s="17" t="s">
        <v>13</v>
      </c>
      <c r="I1479" s="35" t="s">
        <v>30</v>
      </c>
    </row>
    <row r="1480">
      <c r="A1480" s="17" t="s">
        <v>809</v>
      </c>
      <c r="B1480" s="32">
        <v>50000.0</v>
      </c>
      <c r="C1480" s="33">
        <f>0.0125*B1480</f>
        <v>625</v>
      </c>
      <c r="D1480" s="20">
        <v>45982.0</v>
      </c>
      <c r="E1480" s="17" t="s">
        <v>11</v>
      </c>
      <c r="F1480" s="17" t="s">
        <v>12</v>
      </c>
    </row>
    <row r="1481">
      <c r="A1481" s="17" t="s">
        <v>1417</v>
      </c>
      <c r="B1481" s="32">
        <v>250000.0</v>
      </c>
      <c r="C1481" s="33">
        <f t="shared" ref="C1481:C1482" si="385">0.0175*B1481</f>
        <v>4375</v>
      </c>
      <c r="D1481" s="20">
        <v>45982.0</v>
      </c>
      <c r="E1481" s="17" t="s">
        <v>15</v>
      </c>
      <c r="F1481" s="17" t="s">
        <v>28</v>
      </c>
      <c r="H1481" s="31" t="s">
        <v>54</v>
      </c>
      <c r="I1481" s="35" t="s">
        <v>30</v>
      </c>
    </row>
    <row r="1482">
      <c r="A1482" s="17" t="s">
        <v>1418</v>
      </c>
      <c r="B1482" s="32">
        <v>450000.0</v>
      </c>
      <c r="C1482" s="33">
        <f t="shared" si="385"/>
        <v>7875</v>
      </c>
      <c r="D1482" s="20">
        <v>45982.0</v>
      </c>
      <c r="E1482" s="17" t="s">
        <v>15</v>
      </c>
      <c r="F1482" s="17" t="s">
        <v>28</v>
      </c>
      <c r="H1482" s="31" t="s">
        <v>98</v>
      </c>
      <c r="I1482" s="35" t="s">
        <v>30</v>
      </c>
    </row>
    <row r="1483">
      <c r="A1483" s="17" t="s">
        <v>524</v>
      </c>
      <c r="B1483" s="32">
        <v>72500.0</v>
      </c>
      <c r="C1483" s="33">
        <f t="shared" ref="C1483:C1485" si="386">0.0125*B1483</f>
        <v>906.25</v>
      </c>
      <c r="D1483" s="20">
        <v>45982.0</v>
      </c>
      <c r="E1483" s="17" t="s">
        <v>11</v>
      </c>
      <c r="F1483" s="17" t="s">
        <v>12</v>
      </c>
    </row>
    <row r="1484">
      <c r="A1484" s="17" t="s">
        <v>1419</v>
      </c>
      <c r="B1484" s="32">
        <v>265000.0</v>
      </c>
      <c r="C1484" s="33">
        <f t="shared" si="386"/>
        <v>3312.5</v>
      </c>
      <c r="D1484" s="20">
        <v>45982.0</v>
      </c>
      <c r="E1484" s="17" t="s">
        <v>11</v>
      </c>
      <c r="F1484" s="17" t="s">
        <v>12</v>
      </c>
    </row>
    <row r="1485">
      <c r="A1485" s="17" t="s">
        <v>1420</v>
      </c>
      <c r="B1485" s="32">
        <v>187500.0</v>
      </c>
      <c r="C1485" s="33">
        <f t="shared" si="386"/>
        <v>2343.75</v>
      </c>
      <c r="D1485" s="20">
        <v>45982.0</v>
      </c>
      <c r="E1485" s="17" t="s">
        <v>60</v>
      </c>
      <c r="F1485" s="17" t="s">
        <v>12</v>
      </c>
    </row>
    <row r="1486">
      <c r="A1486" s="17" t="s">
        <v>1421</v>
      </c>
      <c r="B1486" s="32">
        <v>85000.0</v>
      </c>
      <c r="C1486" s="33">
        <f>0.0175*B1486</f>
        <v>1487.5</v>
      </c>
      <c r="D1486" s="20">
        <v>45982.0</v>
      </c>
      <c r="E1486" s="17" t="s">
        <v>60</v>
      </c>
      <c r="F1486" s="17" t="s">
        <v>28</v>
      </c>
      <c r="I1486" s="35" t="s">
        <v>30</v>
      </c>
    </row>
    <row r="1487">
      <c r="A1487" s="17" t="s">
        <v>190</v>
      </c>
      <c r="B1487" s="32">
        <v>145000.0</v>
      </c>
      <c r="C1487" s="33">
        <f t="shared" ref="C1487:C1493" si="387">0.0125*B1487</f>
        <v>1812.5</v>
      </c>
      <c r="D1487" s="20">
        <v>45982.0</v>
      </c>
      <c r="E1487" s="17" t="s">
        <v>21</v>
      </c>
      <c r="F1487" s="17" t="s">
        <v>12</v>
      </c>
      <c r="H1487" s="17" t="s">
        <v>22</v>
      </c>
    </row>
    <row r="1488">
      <c r="A1488" s="17" t="s">
        <v>1422</v>
      </c>
      <c r="B1488" s="32">
        <v>160000.0</v>
      </c>
      <c r="C1488" s="33">
        <f t="shared" si="387"/>
        <v>2000</v>
      </c>
      <c r="D1488" s="20">
        <v>45985.0</v>
      </c>
      <c r="E1488" s="17" t="s">
        <v>345</v>
      </c>
      <c r="F1488" s="17" t="s">
        <v>12</v>
      </c>
      <c r="H1488" s="17" t="s">
        <v>22</v>
      </c>
    </row>
    <row r="1489">
      <c r="A1489" s="17" t="s">
        <v>1423</v>
      </c>
      <c r="B1489" s="32">
        <v>160000.0</v>
      </c>
      <c r="C1489" s="33">
        <f t="shared" si="387"/>
        <v>2000</v>
      </c>
      <c r="D1489" s="20">
        <v>45985.0</v>
      </c>
      <c r="E1489" s="17" t="s">
        <v>345</v>
      </c>
      <c r="F1489" s="17" t="s">
        <v>12</v>
      </c>
      <c r="H1489" s="17" t="s">
        <v>22</v>
      </c>
    </row>
    <row r="1490">
      <c r="A1490" s="17" t="s">
        <v>1424</v>
      </c>
      <c r="B1490" s="32">
        <v>105000.0</v>
      </c>
      <c r="C1490" s="33">
        <f t="shared" si="387"/>
        <v>1312.5</v>
      </c>
      <c r="D1490" s="20">
        <v>45985.0</v>
      </c>
      <c r="E1490" s="17" t="s">
        <v>15</v>
      </c>
      <c r="F1490" s="17" t="s">
        <v>12</v>
      </c>
      <c r="H1490" s="31" t="s">
        <v>35</v>
      </c>
    </row>
    <row r="1491">
      <c r="A1491" s="17" t="s">
        <v>200</v>
      </c>
      <c r="B1491" s="18">
        <v>250000.0</v>
      </c>
      <c r="C1491" s="19">
        <f t="shared" si="387"/>
        <v>3125</v>
      </c>
      <c r="D1491" s="20">
        <v>45985.0</v>
      </c>
      <c r="E1491" s="17" t="s">
        <v>60</v>
      </c>
      <c r="F1491" s="17" t="s">
        <v>12</v>
      </c>
    </row>
    <row r="1492">
      <c r="A1492" s="17" t="s">
        <v>1425</v>
      </c>
      <c r="B1492" s="18">
        <v>225000.0</v>
      </c>
      <c r="C1492" s="19">
        <f t="shared" si="387"/>
        <v>2812.5</v>
      </c>
      <c r="D1492" s="20">
        <v>45985.0</v>
      </c>
      <c r="E1492" s="17" t="s">
        <v>118</v>
      </c>
      <c r="F1492" s="17" t="s">
        <v>12</v>
      </c>
    </row>
    <row r="1493">
      <c r="A1493" s="17" t="s">
        <v>1426</v>
      </c>
      <c r="B1493" s="18">
        <v>145000.0</v>
      </c>
      <c r="C1493" s="19">
        <f t="shared" si="387"/>
        <v>1812.5</v>
      </c>
      <c r="D1493" s="20">
        <v>45985.0</v>
      </c>
      <c r="E1493" s="17" t="s">
        <v>15</v>
      </c>
      <c r="F1493" s="17" t="s">
        <v>12</v>
      </c>
      <c r="H1493" s="31" t="s">
        <v>98</v>
      </c>
    </row>
    <row r="1494">
      <c r="A1494" s="17" t="s">
        <v>1427</v>
      </c>
      <c r="B1494" s="32">
        <v>500000.0</v>
      </c>
      <c r="C1494" s="33">
        <f t="shared" ref="C1494:C1495" si="388">0.0175*B1494</f>
        <v>8750</v>
      </c>
      <c r="D1494" s="20">
        <v>45985.0</v>
      </c>
      <c r="E1494" s="17" t="s">
        <v>24</v>
      </c>
      <c r="F1494" s="17" t="s">
        <v>28</v>
      </c>
      <c r="H1494" s="17" t="s">
        <v>642</v>
      </c>
      <c r="I1494" s="35" t="s">
        <v>30</v>
      </c>
    </row>
    <row r="1495">
      <c r="A1495" s="17" t="s">
        <v>1428</v>
      </c>
      <c r="B1495" s="32">
        <v>100000.0</v>
      </c>
      <c r="C1495" s="33">
        <f t="shared" si="388"/>
        <v>1750</v>
      </c>
      <c r="D1495" s="20">
        <v>45985.0</v>
      </c>
      <c r="E1495" s="17" t="s">
        <v>376</v>
      </c>
      <c r="F1495" s="17" t="s">
        <v>28</v>
      </c>
      <c r="H1495" s="17" t="s">
        <v>13</v>
      </c>
      <c r="I1495" s="35" t="s">
        <v>30</v>
      </c>
    </row>
    <row r="1496">
      <c r="A1496" s="17" t="s">
        <v>1429</v>
      </c>
      <c r="B1496" s="32">
        <v>95000.0</v>
      </c>
      <c r="C1496" s="33">
        <f t="shared" ref="C1496:C1497" si="389">0.0125*B1496</f>
        <v>1187.5</v>
      </c>
      <c r="D1496" s="20">
        <v>45986.0</v>
      </c>
      <c r="E1496" s="17" t="s">
        <v>165</v>
      </c>
      <c r="F1496" s="17" t="s">
        <v>12</v>
      </c>
      <c r="H1496" s="17" t="s">
        <v>22</v>
      </c>
    </row>
    <row r="1497">
      <c r="A1497" s="17" t="s">
        <v>1430</v>
      </c>
      <c r="B1497" s="32">
        <v>127500.0</v>
      </c>
      <c r="C1497" s="33">
        <f t="shared" si="389"/>
        <v>1593.75</v>
      </c>
      <c r="D1497" s="20">
        <v>45986.0</v>
      </c>
      <c r="E1497" s="17" t="s">
        <v>11</v>
      </c>
      <c r="F1497" s="17" t="s">
        <v>12</v>
      </c>
    </row>
    <row r="1498">
      <c r="A1498" s="17" t="s">
        <v>1431</v>
      </c>
      <c r="B1498" s="32">
        <v>50000.0</v>
      </c>
      <c r="C1498" s="33">
        <f>0.0175*B1498</f>
        <v>875</v>
      </c>
      <c r="D1498" s="20">
        <v>45986.0</v>
      </c>
      <c r="E1498" s="17" t="s">
        <v>15</v>
      </c>
      <c r="F1498" s="17" t="s">
        <v>28</v>
      </c>
      <c r="H1498" s="31" t="s">
        <v>220</v>
      </c>
      <c r="I1498" s="35" t="s">
        <v>30</v>
      </c>
    </row>
    <row r="1499">
      <c r="A1499" s="17" t="s">
        <v>1432</v>
      </c>
      <c r="B1499" s="32">
        <v>80000.0</v>
      </c>
      <c r="C1499" s="33">
        <f>0.0125*B1499</f>
        <v>1000</v>
      </c>
      <c r="D1499" s="20">
        <v>45986.0</v>
      </c>
      <c r="E1499" s="17" t="s">
        <v>11</v>
      </c>
      <c r="F1499" s="17" t="s">
        <v>12</v>
      </c>
    </row>
    <row r="1500">
      <c r="A1500" s="17" t="s">
        <v>1433</v>
      </c>
      <c r="B1500" s="32">
        <v>100000.0</v>
      </c>
      <c r="C1500" s="33">
        <f>0.0175*B1500</f>
        <v>1750</v>
      </c>
      <c r="D1500" s="20">
        <v>45986.0</v>
      </c>
      <c r="E1500" s="17" t="s">
        <v>376</v>
      </c>
      <c r="F1500" s="17" t="s">
        <v>28</v>
      </c>
      <c r="H1500" s="17" t="s">
        <v>13</v>
      </c>
    </row>
    <row r="1501">
      <c r="A1501" s="17" t="s">
        <v>812</v>
      </c>
      <c r="B1501" s="32">
        <v>100000.0</v>
      </c>
      <c r="C1501" s="33">
        <f t="shared" ref="C1501:C1502" si="390">0.0125*B1501</f>
        <v>1250</v>
      </c>
      <c r="D1501" s="20">
        <v>45986.0</v>
      </c>
      <c r="E1501" s="17" t="s">
        <v>11</v>
      </c>
      <c r="F1501" s="17" t="s">
        <v>12</v>
      </c>
    </row>
    <row r="1502">
      <c r="A1502" s="17" t="s">
        <v>1434</v>
      </c>
      <c r="B1502" s="32">
        <v>125000.0</v>
      </c>
      <c r="C1502" s="33">
        <f t="shared" si="390"/>
        <v>1562.5</v>
      </c>
      <c r="D1502" s="20">
        <v>45986.0</v>
      </c>
      <c r="E1502" s="17" t="s">
        <v>24</v>
      </c>
      <c r="F1502" s="17" t="s">
        <v>12</v>
      </c>
      <c r="H1502" s="17" t="s">
        <v>948</v>
      </c>
    </row>
    <row r="1503">
      <c r="A1503" s="17" t="s">
        <v>1435</v>
      </c>
      <c r="B1503" s="32">
        <v>150000.0</v>
      </c>
      <c r="C1503" s="33">
        <f>0.0175*B1503</f>
        <v>2625</v>
      </c>
      <c r="D1503" s="20">
        <v>45986.0</v>
      </c>
      <c r="E1503" s="17" t="s">
        <v>15</v>
      </c>
      <c r="F1503" s="17" t="s">
        <v>67</v>
      </c>
      <c r="H1503" s="31" t="s">
        <v>35</v>
      </c>
    </row>
    <row r="1504">
      <c r="A1504" s="17" t="s">
        <v>748</v>
      </c>
      <c r="B1504" s="32">
        <v>255000.0</v>
      </c>
      <c r="C1504" s="33">
        <f t="shared" ref="C1504:C1506" si="391">0.0125*B1504</f>
        <v>3187.5</v>
      </c>
      <c r="D1504" s="20">
        <v>45986.0</v>
      </c>
      <c r="E1504" s="17" t="s">
        <v>24</v>
      </c>
      <c r="F1504" s="17" t="s">
        <v>12</v>
      </c>
      <c r="H1504" s="17" t="s">
        <v>948</v>
      </c>
    </row>
    <row r="1505">
      <c r="A1505" s="17" t="s">
        <v>1436</v>
      </c>
      <c r="B1505" s="32">
        <v>70000.0</v>
      </c>
      <c r="C1505" s="33">
        <f t="shared" si="391"/>
        <v>875</v>
      </c>
      <c r="D1505" s="20">
        <v>45986.0</v>
      </c>
      <c r="E1505" s="17" t="s">
        <v>11</v>
      </c>
      <c r="F1505" s="17" t="s">
        <v>12</v>
      </c>
    </row>
    <row r="1506">
      <c r="A1506" s="17" t="s">
        <v>1437</v>
      </c>
      <c r="B1506" s="32">
        <v>500000.0</v>
      </c>
      <c r="C1506" s="33">
        <f t="shared" si="391"/>
        <v>6250</v>
      </c>
      <c r="D1506" s="20">
        <v>45986.0</v>
      </c>
      <c r="E1506" s="17" t="s">
        <v>11</v>
      </c>
      <c r="F1506" s="17" t="s">
        <v>12</v>
      </c>
    </row>
    <row r="1507">
      <c r="A1507" s="17" t="s">
        <v>1438</v>
      </c>
      <c r="B1507" s="32">
        <v>125000.0</v>
      </c>
      <c r="C1507" s="33">
        <f t="shared" ref="C1507:C1508" si="392">0.0175*B1507</f>
        <v>2187.5</v>
      </c>
      <c r="D1507" s="20">
        <v>45986.0</v>
      </c>
      <c r="E1507" s="17" t="s">
        <v>11</v>
      </c>
      <c r="F1507" s="17" t="s">
        <v>649</v>
      </c>
    </row>
    <row r="1508">
      <c r="A1508" s="17" t="s">
        <v>1439</v>
      </c>
      <c r="B1508" s="32">
        <v>25000.0</v>
      </c>
      <c r="C1508" s="33">
        <f t="shared" si="392"/>
        <v>437.5</v>
      </c>
      <c r="D1508" s="20">
        <v>45986.0</v>
      </c>
      <c r="E1508" s="17" t="s">
        <v>11</v>
      </c>
      <c r="F1508" s="17" t="s">
        <v>28</v>
      </c>
      <c r="I1508" s="35" t="s">
        <v>30</v>
      </c>
    </row>
    <row r="1509">
      <c r="A1509" s="17" t="s">
        <v>1440</v>
      </c>
      <c r="B1509" s="32">
        <v>150000.0</v>
      </c>
      <c r="C1509" s="33">
        <f t="shared" ref="C1509:C1510" si="393">0.0125*B1509</f>
        <v>1875</v>
      </c>
      <c r="D1509" s="20">
        <v>45986.0</v>
      </c>
      <c r="E1509" s="17" t="s">
        <v>24</v>
      </c>
      <c r="F1509" s="17" t="s">
        <v>12</v>
      </c>
      <c r="H1509" s="17" t="s">
        <v>948</v>
      </c>
    </row>
    <row r="1510">
      <c r="A1510" s="17" t="s">
        <v>1441</v>
      </c>
      <c r="B1510" s="32">
        <v>80000.0</v>
      </c>
      <c r="C1510" s="33">
        <f t="shared" si="393"/>
        <v>1000</v>
      </c>
      <c r="D1510" s="20">
        <v>45987.0</v>
      </c>
      <c r="E1510" s="17" t="s">
        <v>11</v>
      </c>
      <c r="F1510" s="17" t="s">
        <v>12</v>
      </c>
    </row>
    <row r="1511">
      <c r="A1511" s="17" t="s">
        <v>1442</v>
      </c>
      <c r="B1511" s="18">
        <v>350000.0</v>
      </c>
      <c r="C1511" s="19">
        <f t="shared" ref="C1511:C1513" si="394">0.0175*B1511</f>
        <v>6125</v>
      </c>
      <c r="D1511" s="20">
        <v>45987.0</v>
      </c>
      <c r="E1511" s="17" t="s">
        <v>15</v>
      </c>
      <c r="F1511" s="17" t="s">
        <v>28</v>
      </c>
      <c r="H1511" s="31" t="s">
        <v>98</v>
      </c>
      <c r="I1511" s="35" t="s">
        <v>30</v>
      </c>
    </row>
    <row r="1512">
      <c r="A1512" s="17" t="s">
        <v>1443</v>
      </c>
      <c r="B1512" s="18">
        <v>100000.0</v>
      </c>
      <c r="C1512" s="19">
        <f t="shared" si="394"/>
        <v>1750</v>
      </c>
      <c r="D1512" s="20">
        <v>45987.0</v>
      </c>
      <c r="E1512" s="17" t="s">
        <v>939</v>
      </c>
      <c r="F1512" s="17" t="s">
        <v>28</v>
      </c>
      <c r="H1512" s="17" t="s">
        <v>13</v>
      </c>
      <c r="I1512" s="35" t="s">
        <v>30</v>
      </c>
    </row>
    <row r="1513">
      <c r="A1513" s="17" t="s">
        <v>1444</v>
      </c>
      <c r="B1513" s="18">
        <v>500000.0</v>
      </c>
      <c r="C1513" s="19">
        <f t="shared" si="394"/>
        <v>8750</v>
      </c>
      <c r="D1513" s="20">
        <v>45987.0</v>
      </c>
      <c r="E1513" s="17" t="s">
        <v>15</v>
      </c>
      <c r="F1513" s="17" t="s">
        <v>28</v>
      </c>
      <c r="H1513" s="31" t="s">
        <v>282</v>
      </c>
      <c r="I1513" s="35" t="s">
        <v>30</v>
      </c>
    </row>
    <row r="1514">
      <c r="A1514" s="17" t="s">
        <v>236</v>
      </c>
      <c r="B1514" s="18">
        <v>70000.0</v>
      </c>
      <c r="C1514" s="19">
        <f>0.0125*B1514</f>
        <v>875</v>
      </c>
      <c r="D1514" s="20">
        <v>45987.0</v>
      </c>
      <c r="E1514" s="17" t="s">
        <v>15</v>
      </c>
      <c r="F1514" s="17" t="s">
        <v>12</v>
      </c>
      <c r="H1514" s="31" t="s">
        <v>54</v>
      </c>
    </row>
    <row r="1515">
      <c r="A1515" s="17" t="s">
        <v>1445</v>
      </c>
      <c r="B1515" s="18">
        <v>600000.0</v>
      </c>
      <c r="C1515" s="19">
        <f t="shared" ref="C1515:C1516" si="395">0.0175*B1515</f>
        <v>10500</v>
      </c>
      <c r="D1515" s="20">
        <v>45987.0</v>
      </c>
      <c r="E1515" s="17" t="s">
        <v>1446</v>
      </c>
      <c r="F1515" s="17" t="s">
        <v>649</v>
      </c>
      <c r="H1515" s="17" t="s">
        <v>1298</v>
      </c>
    </row>
    <row r="1516">
      <c r="A1516" s="17" t="s">
        <v>1447</v>
      </c>
      <c r="B1516" s="18">
        <v>50000.0</v>
      </c>
      <c r="C1516" s="19">
        <f t="shared" si="395"/>
        <v>875</v>
      </c>
      <c r="D1516" s="20">
        <v>45987.0</v>
      </c>
      <c r="E1516" s="17" t="s">
        <v>15</v>
      </c>
      <c r="F1516" s="17" t="s">
        <v>28</v>
      </c>
      <c r="H1516" s="31" t="s">
        <v>16</v>
      </c>
      <c r="I1516" s="35" t="s">
        <v>30</v>
      </c>
    </row>
    <row r="1517">
      <c r="B1517" s="19"/>
      <c r="C1517" s="19"/>
      <c r="D1517" s="20"/>
    </row>
    <row r="1518">
      <c r="B1518" s="19"/>
      <c r="C1518" s="19"/>
      <c r="D1518" s="20"/>
    </row>
    <row r="1519">
      <c r="B1519" s="19"/>
      <c r="C1519" s="19"/>
      <c r="D1519" s="20"/>
    </row>
    <row r="1520">
      <c r="B1520" s="19"/>
      <c r="C1520" s="19"/>
      <c r="D1520" s="20"/>
    </row>
    <row r="1521">
      <c r="B1521" s="19"/>
      <c r="C1521" s="19"/>
      <c r="D1521" s="20"/>
    </row>
    <row r="1522">
      <c r="B1522" s="19"/>
      <c r="C1522" s="19"/>
      <c r="D1522" s="20"/>
    </row>
    <row r="1523">
      <c r="B1523" s="19"/>
      <c r="C1523" s="19"/>
      <c r="D1523" s="20"/>
    </row>
    <row r="1524">
      <c r="B1524" s="19"/>
      <c r="C1524" s="19"/>
      <c r="D1524" s="20"/>
    </row>
    <row r="1525">
      <c r="D1525" s="20"/>
    </row>
    <row r="1526">
      <c r="D1526" s="20"/>
    </row>
    <row r="1527">
      <c r="D1527" s="20"/>
    </row>
    <row r="1528">
      <c r="D1528" s="20"/>
    </row>
    <row r="1529">
      <c r="D1529" s="20"/>
    </row>
    <row r="1530">
      <c r="D1530" s="20"/>
    </row>
    <row r="1531">
      <c r="D1531" s="20"/>
    </row>
    <row r="1532">
      <c r="D1532" s="20"/>
    </row>
    <row r="1533">
      <c r="D1533" s="20"/>
    </row>
    <row r="1534">
      <c r="D1534" s="20"/>
    </row>
    <row r="1535">
      <c r="D1535" s="20"/>
    </row>
    <row r="1536">
      <c r="D1536" s="20"/>
    </row>
    <row r="1537">
      <c r="D1537" s="20"/>
    </row>
    <row r="1538">
      <c r="D1538" s="20"/>
    </row>
    <row r="1539">
      <c r="D1539" s="20"/>
    </row>
    <row r="1540">
      <c r="D1540" s="20"/>
    </row>
    <row r="1541">
      <c r="D1541" s="20"/>
    </row>
    <row r="1542">
      <c r="D1542" s="20"/>
    </row>
    <row r="1543">
      <c r="D1543" s="20"/>
    </row>
    <row r="1544">
      <c r="D1544" s="20"/>
    </row>
    <row r="1545">
      <c r="D1545" s="20"/>
    </row>
    <row r="1546">
      <c r="D1546" s="20"/>
    </row>
    <row r="1547">
      <c r="D1547" s="20"/>
    </row>
    <row r="1548">
      <c r="D1548" s="20"/>
    </row>
    <row r="1549">
      <c r="D1549" s="20"/>
    </row>
    <row r="1550">
      <c r="D1550" s="20"/>
    </row>
    <row r="1551">
      <c r="D1551" s="20"/>
    </row>
    <row r="1552">
      <c r="D1552" s="20"/>
    </row>
    <row r="1553">
      <c r="D1553" s="20"/>
    </row>
    <row r="1554">
      <c r="D1554" s="20"/>
    </row>
    <row r="1555">
      <c r="D1555" s="20"/>
    </row>
    <row r="1556">
      <c r="D1556" s="20"/>
    </row>
    <row r="1557">
      <c r="D1557" s="20"/>
    </row>
    <row r="1558">
      <c r="D1558" s="20"/>
    </row>
    <row r="1559">
      <c r="D1559" s="20"/>
    </row>
    <row r="1560">
      <c r="D1560" s="20"/>
    </row>
    <row r="1561">
      <c r="D1561" s="20"/>
    </row>
    <row r="1562">
      <c r="D1562" s="20"/>
    </row>
    <row r="1563">
      <c r="D1563" s="20"/>
    </row>
    <row r="1564">
      <c r="D1564" s="20"/>
    </row>
    <row r="1565">
      <c r="D1565" s="20"/>
    </row>
    <row r="1566">
      <c r="D1566" s="20"/>
    </row>
    <row r="1567">
      <c r="D1567" s="20"/>
    </row>
    <row r="1568">
      <c r="D1568" s="20"/>
    </row>
    <row r="1569">
      <c r="D1569" s="20"/>
    </row>
    <row r="1570">
      <c r="D1570" s="20"/>
    </row>
    <row r="1571">
      <c r="D1571" s="20"/>
    </row>
    <row r="1572">
      <c r="D1572" s="20"/>
    </row>
    <row r="1573">
      <c r="D1573" s="20"/>
    </row>
    <row r="1574">
      <c r="D1574" s="20"/>
    </row>
    <row r="1575">
      <c r="D1575" s="20"/>
    </row>
    <row r="1576">
      <c r="D1576" s="20"/>
    </row>
    <row r="1577">
      <c r="D1577" s="20"/>
    </row>
    <row r="1578">
      <c r="D1578" s="20"/>
    </row>
    <row r="1579">
      <c r="D1579" s="20"/>
    </row>
    <row r="1580">
      <c r="D1580" s="20"/>
    </row>
    <row r="1581">
      <c r="D1581" s="20"/>
    </row>
    <row r="1582">
      <c r="D1582" s="20"/>
    </row>
    <row r="1583">
      <c r="D1583" s="20"/>
    </row>
    <row r="1584">
      <c r="D1584" s="20"/>
    </row>
    <row r="1585">
      <c r="D1585" s="20"/>
    </row>
    <row r="1586">
      <c r="D1586" s="20"/>
    </row>
    <row r="1587">
      <c r="D1587" s="20"/>
    </row>
    <row r="1588">
      <c r="D1588" s="20"/>
    </row>
    <row r="1589">
      <c r="D1589" s="20"/>
    </row>
    <row r="1590">
      <c r="D1590" s="20"/>
    </row>
    <row r="1591">
      <c r="D1591" s="20"/>
    </row>
    <row r="1592">
      <c r="D1592" s="20"/>
    </row>
    <row r="1593">
      <c r="D1593" s="20"/>
    </row>
    <row r="1594">
      <c r="D1594" s="20"/>
    </row>
    <row r="1595">
      <c r="D1595" s="20"/>
    </row>
    <row r="1596">
      <c r="D1596" s="20"/>
    </row>
    <row r="1597">
      <c r="D1597" s="20"/>
    </row>
    <row r="1598">
      <c r="D1598" s="20"/>
    </row>
    <row r="1599">
      <c r="D1599" s="20"/>
    </row>
    <row r="1600">
      <c r="D1600" s="20"/>
    </row>
    <row r="1601">
      <c r="D1601" s="20"/>
    </row>
    <row r="1602">
      <c r="D1602" s="20"/>
    </row>
    <row r="1603">
      <c r="D1603" s="20"/>
    </row>
    <row r="1604">
      <c r="D1604" s="20"/>
    </row>
    <row r="1605">
      <c r="D1605" s="20"/>
    </row>
    <row r="1606">
      <c r="D1606" s="20"/>
    </row>
    <row r="1607">
      <c r="D1607" s="20"/>
    </row>
    <row r="1608">
      <c r="D1608" s="20"/>
    </row>
    <row r="1609">
      <c r="D1609" s="20"/>
    </row>
    <row r="1610">
      <c r="D1610" s="20"/>
    </row>
    <row r="1611">
      <c r="D1611" s="20"/>
    </row>
    <row r="1612">
      <c r="D1612" s="20"/>
    </row>
    <row r="1613">
      <c r="D1613" s="20"/>
    </row>
    <row r="1614">
      <c r="D1614" s="20"/>
    </row>
    <row r="1615">
      <c r="D1615" s="20"/>
    </row>
    <row r="1616">
      <c r="D1616" s="20"/>
    </row>
    <row r="1617">
      <c r="D1617" s="20"/>
    </row>
    <row r="1618">
      <c r="D1618" s="20"/>
    </row>
    <row r="1619">
      <c r="D1619" s="20"/>
    </row>
    <row r="1620">
      <c r="D1620" s="20"/>
    </row>
    <row r="1621">
      <c r="D1621" s="20"/>
    </row>
    <row r="1622">
      <c r="D1622" s="20"/>
    </row>
    <row r="1623">
      <c r="D1623" s="20"/>
    </row>
    <row r="1624">
      <c r="D1624" s="20"/>
    </row>
    <row r="1625">
      <c r="D1625" s="20"/>
    </row>
    <row r="1626">
      <c r="D1626" s="20"/>
    </row>
    <row r="1627">
      <c r="D1627" s="20"/>
    </row>
    <row r="1628">
      <c r="D1628" s="20"/>
    </row>
    <row r="1629">
      <c r="D1629" s="20"/>
    </row>
    <row r="1630">
      <c r="D1630" s="20"/>
    </row>
    <row r="1631">
      <c r="D1631" s="20"/>
    </row>
    <row r="1632">
      <c r="D1632" s="20"/>
    </row>
    <row r="1633">
      <c r="D1633" s="20"/>
    </row>
    <row r="1634">
      <c r="D1634" s="20"/>
    </row>
    <row r="1635">
      <c r="D1635" s="20"/>
    </row>
    <row r="1636">
      <c r="D1636" s="20"/>
    </row>
    <row r="1637">
      <c r="D1637" s="20"/>
    </row>
    <row r="1638">
      <c r="D1638" s="20"/>
    </row>
    <row r="1639">
      <c r="D1639" s="20"/>
    </row>
    <row r="1640">
      <c r="D1640" s="20"/>
    </row>
    <row r="1641">
      <c r="D1641" s="20"/>
    </row>
    <row r="1642">
      <c r="D1642" s="20"/>
    </row>
    <row r="1643">
      <c r="D1643" s="20"/>
    </row>
    <row r="1644">
      <c r="D1644" s="20"/>
    </row>
    <row r="1645">
      <c r="D1645" s="20"/>
    </row>
    <row r="1646">
      <c r="D1646" s="20"/>
    </row>
    <row r="1647">
      <c r="D1647" s="20"/>
    </row>
    <row r="1648">
      <c r="D1648" s="20"/>
    </row>
    <row r="1649">
      <c r="D1649" s="20"/>
    </row>
    <row r="1650">
      <c r="D1650" s="20"/>
    </row>
    <row r="1651">
      <c r="D1651" s="20"/>
    </row>
    <row r="1652">
      <c r="D1652" s="20"/>
    </row>
    <row r="1653">
      <c r="D1653" s="20"/>
    </row>
    <row r="1654">
      <c r="D1654" s="20"/>
    </row>
    <row r="1655">
      <c r="D1655" s="20"/>
    </row>
    <row r="1656">
      <c r="D1656" s="20"/>
    </row>
    <row r="1657">
      <c r="D1657" s="20"/>
    </row>
    <row r="1658">
      <c r="D1658" s="20"/>
    </row>
    <row r="1659">
      <c r="D1659" s="20"/>
    </row>
    <row r="1660">
      <c r="D1660" s="20"/>
    </row>
    <row r="1661">
      <c r="D1661" s="20"/>
    </row>
    <row r="1662">
      <c r="D1662" s="20"/>
    </row>
    <row r="1663">
      <c r="D1663" s="20"/>
    </row>
    <row r="1664">
      <c r="D1664" s="20"/>
    </row>
    <row r="1665">
      <c r="D1665" s="20"/>
    </row>
    <row r="1666">
      <c r="D1666" s="20"/>
    </row>
    <row r="1667">
      <c r="D1667" s="20"/>
    </row>
    <row r="1668">
      <c r="D1668" s="20"/>
    </row>
    <row r="1669">
      <c r="D1669" s="20"/>
    </row>
    <row r="1670">
      <c r="D1670" s="20"/>
    </row>
    <row r="1671">
      <c r="D1671" s="20"/>
    </row>
    <row r="1672">
      <c r="D1672" s="20"/>
    </row>
    <row r="1673">
      <c r="D1673" s="20"/>
    </row>
    <row r="1674">
      <c r="D1674" s="20"/>
    </row>
    <row r="1675">
      <c r="D1675" s="20"/>
    </row>
    <row r="1676">
      <c r="D1676" s="20"/>
    </row>
    <row r="1677">
      <c r="D1677" s="20"/>
    </row>
    <row r="1678">
      <c r="D1678" s="20"/>
    </row>
    <row r="1679">
      <c r="D1679" s="20"/>
    </row>
    <row r="1680">
      <c r="D1680" s="20"/>
    </row>
    <row r="1681">
      <c r="D1681" s="20"/>
    </row>
    <row r="1682">
      <c r="D1682" s="20"/>
    </row>
    <row r="1683">
      <c r="D1683" s="20"/>
    </row>
    <row r="1684">
      <c r="D1684" s="20"/>
    </row>
    <row r="1685">
      <c r="D1685" s="20"/>
    </row>
    <row r="1686">
      <c r="D1686" s="20"/>
    </row>
    <row r="1687">
      <c r="D1687" s="20"/>
    </row>
    <row r="1688">
      <c r="D1688" s="20"/>
    </row>
    <row r="1689">
      <c r="D1689" s="20"/>
    </row>
    <row r="1690">
      <c r="D1690" s="20"/>
    </row>
    <row r="1691">
      <c r="D1691" s="20"/>
    </row>
    <row r="1692">
      <c r="D1692" s="20"/>
    </row>
    <row r="1693">
      <c r="D1693" s="20"/>
    </row>
    <row r="1694">
      <c r="D1694" s="20"/>
    </row>
    <row r="1695">
      <c r="D1695" s="20"/>
    </row>
    <row r="1696">
      <c r="D1696" s="20"/>
    </row>
    <row r="1697">
      <c r="D1697" s="20"/>
    </row>
    <row r="1698">
      <c r="D1698" s="20"/>
    </row>
    <row r="1699">
      <c r="D1699" s="20"/>
    </row>
    <row r="1700">
      <c r="D1700" s="20"/>
    </row>
    <row r="1701">
      <c r="D1701" s="20"/>
    </row>
    <row r="1702">
      <c r="D1702" s="20"/>
    </row>
    <row r="1703">
      <c r="D1703" s="20"/>
    </row>
    <row r="1704">
      <c r="D1704" s="20"/>
    </row>
    <row r="1705">
      <c r="D1705" s="20"/>
    </row>
    <row r="1706">
      <c r="D1706" s="20"/>
    </row>
    <row r="1707">
      <c r="D1707" s="20"/>
    </row>
    <row r="1708">
      <c r="D1708" s="20"/>
    </row>
    <row r="1709">
      <c r="D1709" s="20"/>
    </row>
    <row r="1710">
      <c r="D1710" s="20"/>
    </row>
    <row r="1711">
      <c r="D1711" s="20"/>
    </row>
    <row r="1712">
      <c r="D1712" s="20"/>
    </row>
    <row r="1713">
      <c r="D1713" s="20"/>
    </row>
    <row r="1714">
      <c r="D1714" s="20"/>
    </row>
    <row r="1715">
      <c r="D1715" s="20"/>
    </row>
    <row r="1716">
      <c r="D1716" s="20"/>
    </row>
    <row r="1717">
      <c r="D1717" s="20"/>
    </row>
    <row r="1718">
      <c r="D1718" s="20"/>
    </row>
    <row r="1719">
      <c r="D1719" s="20"/>
    </row>
    <row r="1720">
      <c r="D1720" s="20"/>
    </row>
    <row r="1721">
      <c r="D1721" s="20"/>
    </row>
    <row r="1722">
      <c r="D1722" s="20"/>
    </row>
    <row r="1723">
      <c r="D1723" s="20"/>
    </row>
    <row r="1724">
      <c r="D1724" s="20"/>
    </row>
    <row r="1725">
      <c r="D1725" s="20"/>
    </row>
    <row r="1726">
      <c r="D1726" s="20"/>
    </row>
    <row r="1727">
      <c r="D1727" s="20"/>
    </row>
    <row r="1728">
      <c r="D1728" s="20"/>
    </row>
    <row r="1729">
      <c r="D1729" s="20"/>
    </row>
    <row r="1730">
      <c r="D1730" s="20"/>
    </row>
    <row r="1731">
      <c r="D1731" s="20"/>
    </row>
    <row r="1732">
      <c r="D1732" s="20"/>
    </row>
    <row r="1733">
      <c r="D1733" s="20"/>
    </row>
    <row r="1734">
      <c r="D1734" s="20"/>
    </row>
    <row r="1735">
      <c r="D1735" s="20"/>
    </row>
    <row r="1736">
      <c r="D1736" s="20"/>
    </row>
    <row r="1737">
      <c r="D1737" s="20"/>
    </row>
    <row r="1738">
      <c r="D1738" s="20"/>
    </row>
    <row r="1739">
      <c r="D1739" s="20"/>
    </row>
    <row r="1740">
      <c r="D1740" s="20"/>
    </row>
    <row r="1741">
      <c r="D1741" s="20"/>
    </row>
    <row r="1742">
      <c r="D1742" s="20"/>
    </row>
    <row r="1743">
      <c r="D1743" s="20"/>
    </row>
    <row r="1744">
      <c r="D1744" s="20"/>
    </row>
    <row r="1745">
      <c r="D1745" s="20"/>
    </row>
    <row r="1746">
      <c r="D1746" s="20"/>
    </row>
    <row r="1747">
      <c r="D1747" s="20"/>
    </row>
    <row r="1748">
      <c r="D1748" s="20"/>
    </row>
    <row r="1749">
      <c r="D1749" s="20"/>
    </row>
    <row r="1750">
      <c r="D1750" s="20"/>
    </row>
    <row r="1751">
      <c r="D1751" s="20"/>
    </row>
    <row r="1752">
      <c r="D1752" s="20"/>
    </row>
    <row r="1753">
      <c r="D1753" s="20"/>
    </row>
    <row r="1754">
      <c r="D1754" s="20"/>
    </row>
    <row r="1755">
      <c r="D1755" s="20"/>
    </row>
    <row r="1756">
      <c r="D1756" s="20"/>
    </row>
    <row r="1757">
      <c r="D1757" s="20"/>
    </row>
    <row r="1758">
      <c r="D1758" s="20"/>
    </row>
    <row r="1759">
      <c r="D1759" s="20"/>
    </row>
    <row r="1760">
      <c r="D1760" s="20"/>
    </row>
    <row r="1761">
      <c r="D1761" s="20"/>
    </row>
    <row r="1762">
      <c r="D1762" s="20"/>
    </row>
    <row r="1763">
      <c r="D1763" s="20"/>
    </row>
    <row r="1764">
      <c r="D1764" s="20"/>
    </row>
    <row r="1765">
      <c r="D1765" s="20"/>
    </row>
    <row r="1766">
      <c r="D1766" s="20"/>
    </row>
    <row r="1767">
      <c r="D1767" s="20"/>
    </row>
    <row r="1768">
      <c r="D1768" s="20"/>
    </row>
    <row r="1769">
      <c r="D1769" s="20"/>
    </row>
    <row r="1770">
      <c r="D1770" s="20"/>
    </row>
    <row r="1771">
      <c r="D1771" s="20"/>
    </row>
    <row r="1772">
      <c r="D1772" s="20"/>
    </row>
    <row r="1773">
      <c r="D1773" s="20"/>
    </row>
    <row r="1774">
      <c r="D1774" s="20"/>
    </row>
    <row r="1775">
      <c r="D1775" s="20"/>
    </row>
    <row r="1776">
      <c r="D1776" s="20"/>
    </row>
    <row r="1777">
      <c r="D1777" s="20"/>
    </row>
    <row r="1778">
      <c r="D1778" s="20"/>
    </row>
    <row r="1779">
      <c r="D1779" s="20"/>
    </row>
    <row r="1780">
      <c r="D1780" s="20"/>
    </row>
    <row r="1781">
      <c r="D1781" s="20"/>
    </row>
    <row r="1782">
      <c r="D1782" s="20"/>
    </row>
    <row r="1783">
      <c r="D1783" s="20"/>
    </row>
    <row r="1784">
      <c r="D1784" s="20"/>
    </row>
    <row r="1785">
      <c r="D1785" s="20"/>
    </row>
    <row r="1786">
      <c r="D1786" s="20"/>
    </row>
    <row r="1787">
      <c r="D1787" s="20"/>
    </row>
    <row r="1788">
      <c r="D1788" s="20"/>
    </row>
    <row r="1789">
      <c r="D1789" s="20"/>
    </row>
    <row r="1790">
      <c r="D1790" s="20"/>
    </row>
    <row r="1791">
      <c r="D1791" s="20"/>
    </row>
    <row r="1792">
      <c r="D1792" s="20"/>
    </row>
    <row r="1793">
      <c r="D1793" s="20"/>
    </row>
    <row r="1794">
      <c r="D1794" s="20"/>
    </row>
    <row r="1795">
      <c r="D1795" s="20"/>
    </row>
    <row r="1796">
      <c r="D1796" s="20"/>
    </row>
    <row r="1797">
      <c r="D1797" s="20"/>
    </row>
    <row r="1798">
      <c r="D1798" s="20"/>
    </row>
    <row r="1799">
      <c r="D1799" s="20"/>
    </row>
    <row r="1800">
      <c r="D1800" s="20"/>
    </row>
    <row r="1801">
      <c r="D1801" s="20"/>
    </row>
    <row r="1802">
      <c r="D1802" s="20"/>
    </row>
    <row r="1803">
      <c r="D1803" s="20"/>
    </row>
    <row r="1804">
      <c r="D1804" s="20"/>
    </row>
    <row r="1805">
      <c r="D1805" s="20"/>
    </row>
    <row r="1806">
      <c r="D1806" s="20"/>
    </row>
    <row r="1807">
      <c r="D1807" s="20"/>
    </row>
    <row r="1808">
      <c r="D1808" s="20"/>
    </row>
    <row r="1809">
      <c r="D1809" s="20"/>
    </row>
    <row r="1810">
      <c r="D1810" s="20"/>
    </row>
    <row r="1811">
      <c r="D1811" s="20"/>
    </row>
    <row r="1812">
      <c r="D1812" s="20"/>
    </row>
    <row r="1813">
      <c r="D1813" s="20"/>
    </row>
    <row r="1814">
      <c r="D1814" s="20"/>
    </row>
    <row r="1815">
      <c r="D1815" s="20"/>
    </row>
    <row r="1816">
      <c r="D1816" s="20"/>
    </row>
    <row r="1817">
      <c r="D1817" s="20"/>
    </row>
    <row r="1818">
      <c r="D1818" s="20"/>
    </row>
    <row r="1819">
      <c r="D1819" s="20"/>
    </row>
    <row r="1820">
      <c r="D1820" s="20"/>
    </row>
    <row r="1821">
      <c r="D1821" s="20"/>
    </row>
    <row r="1822">
      <c r="D1822" s="20"/>
    </row>
    <row r="1823">
      <c r="D1823" s="20"/>
    </row>
    <row r="1824">
      <c r="D1824" s="20"/>
    </row>
    <row r="1825">
      <c r="D1825" s="20"/>
    </row>
    <row r="1826">
      <c r="D1826" s="20"/>
    </row>
    <row r="1827">
      <c r="D1827" s="20"/>
    </row>
    <row r="1828">
      <c r="D1828" s="20"/>
    </row>
    <row r="1829">
      <c r="D1829" s="20"/>
    </row>
    <row r="1830">
      <c r="D1830" s="20"/>
    </row>
    <row r="1831">
      <c r="D1831" s="20"/>
    </row>
    <row r="1832">
      <c r="D1832" s="20"/>
    </row>
    <row r="1833">
      <c r="D1833" s="20"/>
    </row>
    <row r="1834">
      <c r="D1834" s="20"/>
    </row>
    <row r="1835">
      <c r="D1835" s="20"/>
    </row>
    <row r="1836">
      <c r="D1836" s="20"/>
    </row>
    <row r="1837">
      <c r="D1837" s="20"/>
    </row>
    <row r="1838">
      <c r="D1838" s="20"/>
    </row>
    <row r="1839">
      <c r="D1839" s="20"/>
    </row>
    <row r="1840">
      <c r="D1840" s="20"/>
    </row>
    <row r="1841">
      <c r="D1841" s="20"/>
    </row>
    <row r="1842">
      <c r="D1842" s="20"/>
    </row>
    <row r="1843">
      <c r="D1843" s="20"/>
    </row>
    <row r="1844">
      <c r="D1844" s="20"/>
    </row>
    <row r="1845">
      <c r="D1845" s="20"/>
    </row>
    <row r="1846">
      <c r="D1846" s="20"/>
    </row>
    <row r="1847">
      <c r="D1847" s="20"/>
    </row>
    <row r="1848">
      <c r="D1848" s="20"/>
    </row>
    <row r="1849">
      <c r="D1849" s="20"/>
    </row>
    <row r="1850">
      <c r="D1850" s="20"/>
    </row>
    <row r="1851">
      <c r="D1851" s="20"/>
    </row>
    <row r="1852">
      <c r="D1852" s="20"/>
    </row>
    <row r="1853">
      <c r="D1853" s="20"/>
    </row>
    <row r="1854">
      <c r="D1854" s="20"/>
    </row>
    <row r="1855">
      <c r="D1855" s="20"/>
    </row>
    <row r="1856">
      <c r="D1856" s="20"/>
    </row>
    <row r="1857">
      <c r="D1857" s="20"/>
    </row>
    <row r="1858">
      <c r="D1858" s="20"/>
    </row>
    <row r="1859">
      <c r="D1859" s="20"/>
    </row>
    <row r="1860">
      <c r="D1860" s="20"/>
    </row>
    <row r="1861">
      <c r="D1861" s="20"/>
    </row>
    <row r="1862">
      <c r="D1862" s="20"/>
    </row>
    <row r="1863">
      <c r="D1863" s="20"/>
    </row>
    <row r="1864">
      <c r="D1864" s="20"/>
    </row>
    <row r="1865">
      <c r="D1865" s="20"/>
    </row>
    <row r="1866">
      <c r="D1866" s="20"/>
    </row>
    <row r="1867">
      <c r="D1867" s="20"/>
    </row>
    <row r="1868">
      <c r="D1868" s="20"/>
    </row>
    <row r="1869">
      <c r="D1869" s="20"/>
    </row>
    <row r="1870">
      <c r="D1870" s="20"/>
    </row>
    <row r="1871">
      <c r="D1871" s="20"/>
    </row>
    <row r="1872">
      <c r="D1872" s="20"/>
    </row>
    <row r="1873">
      <c r="D1873" s="20"/>
    </row>
    <row r="1874">
      <c r="D1874" s="20"/>
    </row>
    <row r="1875">
      <c r="D1875" s="20"/>
    </row>
    <row r="1876">
      <c r="D1876" s="20"/>
    </row>
    <row r="1877">
      <c r="D1877" s="20"/>
    </row>
    <row r="1878">
      <c r="D1878" s="20"/>
    </row>
    <row r="1879">
      <c r="D1879" s="20"/>
    </row>
    <row r="1880">
      <c r="D1880" s="20"/>
    </row>
    <row r="1881">
      <c r="D1881" s="20"/>
    </row>
    <row r="1882">
      <c r="D1882" s="20"/>
    </row>
    <row r="1883">
      <c r="D1883" s="20"/>
    </row>
    <row r="1884">
      <c r="D1884" s="20"/>
    </row>
    <row r="1885">
      <c r="D1885" s="20"/>
    </row>
    <row r="1886">
      <c r="D1886" s="20"/>
    </row>
    <row r="1887">
      <c r="D1887" s="20"/>
    </row>
    <row r="1888">
      <c r="D1888" s="20"/>
    </row>
    <row r="1889">
      <c r="D1889" s="20"/>
    </row>
    <row r="1890">
      <c r="D1890" s="20"/>
    </row>
    <row r="1891">
      <c r="D1891" s="20"/>
    </row>
    <row r="1892">
      <c r="D1892" s="20"/>
    </row>
    <row r="1893">
      <c r="D1893" s="20"/>
    </row>
    <row r="1894">
      <c r="D1894" s="20"/>
    </row>
    <row r="1895">
      <c r="D1895" s="20"/>
    </row>
    <row r="1896">
      <c r="D1896" s="20"/>
    </row>
    <row r="1897">
      <c r="D1897" s="20"/>
    </row>
    <row r="1898">
      <c r="D1898" s="20"/>
    </row>
    <row r="1899">
      <c r="D1899" s="20"/>
    </row>
    <row r="1900">
      <c r="D1900" s="20"/>
    </row>
    <row r="1901">
      <c r="D1901" s="20"/>
    </row>
    <row r="1902">
      <c r="D1902" s="20"/>
    </row>
    <row r="1903">
      <c r="D1903" s="20"/>
    </row>
    <row r="1904">
      <c r="D1904" s="20"/>
    </row>
    <row r="1905">
      <c r="D1905" s="20"/>
    </row>
    <row r="1906">
      <c r="D1906" s="20"/>
    </row>
    <row r="1907">
      <c r="D1907" s="20"/>
    </row>
    <row r="1908">
      <c r="D1908" s="20"/>
    </row>
    <row r="1909">
      <c r="D1909" s="20"/>
    </row>
    <row r="1910">
      <c r="D1910" s="20"/>
    </row>
    <row r="1911">
      <c r="D1911" s="20"/>
    </row>
    <row r="1912">
      <c r="D1912" s="20"/>
    </row>
    <row r="1913">
      <c r="D1913" s="20"/>
    </row>
    <row r="1914">
      <c r="D1914" s="20"/>
    </row>
    <row r="1915">
      <c r="D1915" s="20"/>
    </row>
    <row r="1916">
      <c r="D1916" s="20"/>
    </row>
    <row r="1917">
      <c r="D1917" s="20"/>
    </row>
    <row r="1918">
      <c r="D1918" s="20"/>
    </row>
    <row r="1919">
      <c r="D1919" s="20"/>
    </row>
    <row r="1920">
      <c r="D1920" s="20"/>
    </row>
    <row r="1921">
      <c r="D1921" s="20"/>
    </row>
    <row r="1922">
      <c r="D1922" s="20"/>
    </row>
    <row r="1923">
      <c r="D1923" s="20"/>
    </row>
    <row r="1924">
      <c r="D1924" s="20"/>
    </row>
    <row r="1925">
      <c r="D1925" s="20"/>
    </row>
    <row r="1926">
      <c r="D1926" s="20"/>
    </row>
    <row r="1927">
      <c r="D1927" s="20"/>
    </row>
    <row r="1928">
      <c r="D1928" s="20"/>
    </row>
    <row r="1929">
      <c r="D1929" s="20"/>
    </row>
    <row r="1930">
      <c r="D1930" s="20"/>
    </row>
    <row r="1931">
      <c r="D1931" s="20"/>
    </row>
    <row r="1932">
      <c r="D1932" s="20"/>
    </row>
    <row r="1933">
      <c r="D1933" s="20"/>
    </row>
    <row r="1934">
      <c r="D1934" s="20"/>
    </row>
    <row r="1935">
      <c r="D1935" s="20"/>
    </row>
    <row r="1936">
      <c r="D1936" s="20"/>
    </row>
    <row r="1937">
      <c r="D1937" s="20"/>
    </row>
    <row r="1938">
      <c r="D1938" s="20"/>
    </row>
    <row r="1939">
      <c r="D1939" s="20"/>
    </row>
    <row r="1940">
      <c r="D1940" s="20"/>
    </row>
    <row r="1941">
      <c r="D1941" s="20"/>
    </row>
    <row r="1942">
      <c r="D1942" s="20"/>
    </row>
    <row r="1943">
      <c r="D1943" s="20"/>
    </row>
    <row r="1944">
      <c r="D1944" s="20"/>
    </row>
    <row r="1945">
      <c r="D1945" s="20"/>
    </row>
    <row r="1946">
      <c r="D1946" s="20"/>
    </row>
    <row r="1947">
      <c r="D1947" s="20"/>
    </row>
    <row r="1948">
      <c r="D1948" s="20"/>
    </row>
    <row r="1949">
      <c r="D1949" s="20"/>
    </row>
    <row r="1950">
      <c r="D1950" s="20"/>
    </row>
    <row r="1951">
      <c r="D1951" s="20"/>
    </row>
    <row r="1952">
      <c r="D1952" s="20"/>
    </row>
    <row r="1953">
      <c r="D1953" s="20"/>
    </row>
    <row r="1954">
      <c r="D1954" s="20"/>
    </row>
    <row r="1955">
      <c r="D1955" s="20"/>
    </row>
    <row r="1956">
      <c r="D1956" s="20"/>
    </row>
    <row r="1957">
      <c r="D1957" s="20"/>
    </row>
    <row r="1958">
      <c r="D1958" s="20"/>
    </row>
    <row r="1959">
      <c r="D1959" s="20"/>
    </row>
    <row r="1960">
      <c r="D1960" s="20"/>
    </row>
    <row r="1961">
      <c r="D1961" s="20"/>
    </row>
    <row r="1962">
      <c r="D1962" s="20"/>
    </row>
    <row r="1963">
      <c r="D1963" s="20"/>
    </row>
    <row r="1964">
      <c r="D1964" s="20"/>
    </row>
    <row r="1965">
      <c r="D1965" s="20"/>
    </row>
    <row r="1966">
      <c r="D1966" s="20"/>
    </row>
    <row r="1967">
      <c r="D1967" s="20"/>
    </row>
    <row r="1968">
      <c r="D1968" s="20"/>
    </row>
    <row r="1969">
      <c r="D1969" s="20"/>
    </row>
    <row r="1970">
      <c r="D1970" s="20"/>
    </row>
    <row r="1971">
      <c r="D1971" s="20"/>
    </row>
    <row r="1972">
      <c r="D1972" s="20"/>
    </row>
    <row r="1973">
      <c r="D1973" s="20"/>
    </row>
    <row r="1974">
      <c r="D1974" s="20"/>
    </row>
    <row r="1975">
      <c r="D1975" s="20"/>
    </row>
    <row r="1976">
      <c r="D1976" s="20"/>
    </row>
    <row r="1977">
      <c r="D1977" s="20"/>
    </row>
    <row r="1978">
      <c r="D1978" s="20"/>
    </row>
    <row r="1979">
      <c r="D1979" s="20"/>
    </row>
    <row r="1980">
      <c r="D1980" s="20"/>
    </row>
    <row r="1981">
      <c r="D1981" s="20"/>
    </row>
    <row r="1982">
      <c r="D1982" s="20"/>
    </row>
    <row r="1983">
      <c r="D1983" s="20"/>
    </row>
    <row r="1984">
      <c r="D1984" s="20"/>
    </row>
    <row r="1985">
      <c r="D1985" s="20"/>
    </row>
    <row r="1986">
      <c r="D1986" s="20"/>
    </row>
  </sheetData>
  <conditionalFormatting sqref="F1:F3 F181 F321 F457 F577 F704 F816 F949 F1079 F1238 F1370">
    <cfRule type="notContainsBlanks" dxfId="0" priority="1">
      <formula>LEN(TRIM(F1))&gt;0</formula>
    </cfRule>
  </conditionalFormatting>
  <drawing r:id="rId1"/>
</worksheet>
</file>