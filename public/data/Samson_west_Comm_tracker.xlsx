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A7E8B41-4878-4E43-84E8-7649A45304F1}" xr6:coauthVersionLast="47" xr6:coauthVersionMax="47" xr10:uidLastSave="{00000000-0000-0000-0000-000000000000}"/>
  <bookViews>
    <workbookView xWindow="690" yWindow="690" windowWidth="21810" windowHeight="12420" firstSheet="2" activeTab="3" xr2:uid="{00000000-000D-0000-FFFF-FFFF00000000}"/>
  </bookViews>
  <sheets>
    <sheet name="Samson West 2025" sheetId="1" r:id="rId1"/>
    <sheet name="Samson West 2024" sheetId="4" r:id="rId2"/>
    <sheet name="Samson West 2023" sheetId="9" r:id="rId3"/>
    <sheet name="Samson West 2022" sheetId="12" r:id="rId4"/>
  </sheets>
  <definedNames>
    <definedName name="_xlnm._FilterDatabase" localSheetId="1" hidden="1">'Samson West 2024'!$E$1:$E$1976</definedName>
    <definedName name="Z_7B2DB1C0_B16B_4D0B_B4E2_7078121D3D36_.wvu.FilterData" localSheetId="1" hidden="1">'Samson West 2024'!$F$1:$F$1976</definedName>
    <definedName name="Z_C26E5E53_F287_4EDA_90DC_758E090C44F5_.wvu.FilterData" localSheetId="1" hidden="1">'Samson West 2024'!$E$1:$E$1976</definedName>
  </definedNames>
  <calcPr calcId="191029"/>
  <customWorkbookViews>
    <customWorkbookView name="Filter 1" guid="{7B2DB1C0-B16B-4D0B-B4E2-7078121D3D36}" maximized="1" windowWidth="0" windowHeight="0" activeSheetId="0"/>
    <customWorkbookView name="Filter 2" guid="{C26E5E53-F287-4EDA-90DC-758E090C44F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16" i="12" l="1"/>
  <c r="C1015" i="12"/>
  <c r="C1014" i="12"/>
  <c r="C1013" i="12"/>
  <c r="C1012" i="12"/>
  <c r="C1011" i="12"/>
  <c r="C1010" i="12"/>
  <c r="C1009" i="12"/>
  <c r="C1008" i="12"/>
  <c r="C1007" i="12"/>
  <c r="C1006" i="12"/>
  <c r="C1005" i="12"/>
  <c r="C1004" i="12"/>
  <c r="C1003" i="12"/>
  <c r="C1002" i="12"/>
  <c r="C1001" i="12"/>
  <c r="C1000" i="12"/>
  <c r="C999" i="12"/>
  <c r="C998" i="12"/>
  <c r="C997" i="12"/>
  <c r="C996" i="12"/>
  <c r="C995" i="12"/>
  <c r="C994" i="12"/>
  <c r="C993" i="12"/>
  <c r="C992" i="12"/>
  <c r="C991" i="12"/>
  <c r="C990" i="12"/>
  <c r="C989" i="12"/>
  <c r="C988" i="12"/>
  <c r="C987" i="12"/>
  <c r="C986" i="12"/>
  <c r="C985" i="12"/>
  <c r="C984" i="12"/>
  <c r="C983" i="12"/>
  <c r="C982" i="12"/>
  <c r="C981" i="12"/>
  <c r="C980" i="12"/>
  <c r="C979" i="12"/>
  <c r="C978" i="12"/>
  <c r="C977" i="12"/>
  <c r="C976" i="12"/>
  <c r="C975" i="12"/>
  <c r="C974" i="12"/>
  <c r="C973" i="12"/>
  <c r="C972" i="12"/>
  <c r="C971" i="12"/>
  <c r="C970" i="12"/>
  <c r="C969" i="12"/>
  <c r="C968" i="12"/>
  <c r="C967" i="12"/>
  <c r="C966" i="12"/>
  <c r="C965" i="12"/>
  <c r="C964" i="12"/>
  <c r="C963" i="12"/>
  <c r="C962" i="12"/>
  <c r="C961" i="12"/>
  <c r="C960" i="12"/>
  <c r="C959" i="12"/>
  <c r="C958" i="12"/>
  <c r="C957" i="12"/>
  <c r="C956" i="12"/>
  <c r="C955" i="12"/>
  <c r="C954" i="12"/>
  <c r="C953" i="12"/>
  <c r="C952" i="12"/>
  <c r="C951" i="12"/>
  <c r="C950" i="12"/>
  <c r="C949" i="12"/>
  <c r="C948" i="12"/>
  <c r="C947" i="12"/>
  <c r="C946" i="12"/>
  <c r="C945" i="12"/>
  <c r="C944" i="12"/>
  <c r="C943" i="12"/>
  <c r="C942" i="12"/>
  <c r="C941" i="12"/>
  <c r="C940" i="12"/>
  <c r="C939" i="12"/>
  <c r="C938" i="12"/>
  <c r="C937" i="12"/>
  <c r="C936" i="12"/>
  <c r="C935" i="12"/>
  <c r="C934" i="12"/>
  <c r="C933" i="12"/>
  <c r="C932" i="12"/>
  <c r="C931" i="12"/>
  <c r="C930" i="12"/>
  <c r="C929" i="12"/>
  <c r="C928" i="12"/>
  <c r="C927" i="12"/>
  <c r="C926" i="12"/>
  <c r="C925" i="12"/>
  <c r="C924" i="12"/>
  <c r="C923" i="12"/>
  <c r="C922" i="12"/>
  <c r="C921" i="12"/>
  <c r="C920" i="12"/>
  <c r="C919" i="12"/>
  <c r="C918" i="12"/>
  <c r="C916" i="12"/>
  <c r="C915" i="12"/>
  <c r="C914" i="12"/>
  <c r="C913" i="12"/>
  <c r="C912" i="12"/>
  <c r="C911" i="12"/>
  <c r="C910" i="12"/>
  <c r="C909" i="12"/>
  <c r="C908" i="12" s="1"/>
  <c r="B908" i="12"/>
  <c r="C906" i="12"/>
  <c r="C905" i="12"/>
  <c r="C904" i="12"/>
  <c r="C903" i="12"/>
  <c r="C902" i="12"/>
  <c r="C901" i="12"/>
  <c r="C900" i="12"/>
  <c r="C899" i="12"/>
  <c r="C898" i="12"/>
  <c r="C897" i="12"/>
  <c r="C896" i="12"/>
  <c r="C895" i="12"/>
  <c r="C894" i="12"/>
  <c r="C893" i="12"/>
  <c r="C892" i="12"/>
  <c r="C891" i="12"/>
  <c r="C890" i="12"/>
  <c r="C889" i="12"/>
  <c r="C888" i="12"/>
  <c r="C887" i="12"/>
  <c r="C886" i="12"/>
  <c r="C885" i="12"/>
  <c r="C883" i="12" s="1"/>
  <c r="B883" i="12"/>
  <c r="C879" i="12"/>
  <c r="C878" i="12"/>
  <c r="C877" i="12"/>
  <c r="C876" i="12"/>
  <c r="C875" i="12"/>
  <c r="C874" i="12"/>
  <c r="C873" i="12"/>
  <c r="C872" i="12"/>
  <c r="C871" i="12"/>
  <c r="C870" i="12"/>
  <c r="C869" i="12"/>
  <c r="C868" i="12"/>
  <c r="C867" i="12"/>
  <c r="C866" i="12"/>
  <c r="C865" i="12"/>
  <c r="C864" i="12"/>
  <c r="C863" i="12"/>
  <c r="C862" i="12"/>
  <c r="C861" i="12"/>
  <c r="C860" i="12"/>
  <c r="C859" i="12"/>
  <c r="C858" i="12"/>
  <c r="C857" i="12"/>
  <c r="C856" i="12"/>
  <c r="C855" i="12"/>
  <c r="C854" i="12"/>
  <c r="C853" i="12"/>
  <c r="C852" i="12"/>
  <c r="C851" i="12"/>
  <c r="C850" i="12"/>
  <c r="C849" i="12"/>
  <c r="C848" i="12"/>
  <c r="C847" i="12"/>
  <c r="C846" i="12"/>
  <c r="C845" i="12"/>
  <c r="C844" i="12"/>
  <c r="C843" i="12"/>
  <c r="C842" i="12"/>
  <c r="C841" i="12"/>
  <c r="C840" i="12"/>
  <c r="C839" i="12"/>
  <c r="C838" i="12"/>
  <c r="C837" i="12"/>
  <c r="C836" i="12"/>
  <c r="C826" i="12" s="1"/>
  <c r="C835" i="12"/>
  <c r="C834" i="12"/>
  <c r="C833" i="12"/>
  <c r="C832" i="12"/>
  <c r="C831" i="12"/>
  <c r="C830" i="12"/>
  <c r="C829" i="12"/>
  <c r="C828" i="12"/>
  <c r="C827" i="12"/>
  <c r="G826" i="12"/>
  <c r="B826" i="12"/>
  <c r="I2" i="12" s="1"/>
  <c r="C825" i="12"/>
  <c r="C824" i="12"/>
  <c r="C823" i="12"/>
  <c r="C822" i="12"/>
  <c r="C821" i="12"/>
  <c r="C820" i="12"/>
  <c r="C819" i="12"/>
  <c r="C818" i="12"/>
  <c r="C817" i="12"/>
  <c r="C816" i="12"/>
  <c r="C815" i="12"/>
  <c r="C814" i="12"/>
  <c r="C813" i="12"/>
  <c r="C812" i="12"/>
  <c r="C811" i="12"/>
  <c r="C810" i="12"/>
  <c r="C809" i="12"/>
  <c r="C808" i="12"/>
  <c r="C807" i="12"/>
  <c r="C806" i="12"/>
  <c r="C805" i="12"/>
  <c r="C804" i="12"/>
  <c r="C803" i="12"/>
  <c r="C802" i="12"/>
  <c r="C801" i="12"/>
  <c r="C800" i="12"/>
  <c r="C799" i="12"/>
  <c r="C798" i="12"/>
  <c r="C797" i="12"/>
  <c r="C796" i="12"/>
  <c r="C795" i="12"/>
  <c r="C794" i="12"/>
  <c r="C793" i="12"/>
  <c r="C792" i="12"/>
  <c r="C791" i="12"/>
  <c r="C790" i="12"/>
  <c r="C789" i="12"/>
  <c r="C788" i="12"/>
  <c r="C787" i="12"/>
  <c r="C786" i="12"/>
  <c r="C785" i="12"/>
  <c r="C784" i="12"/>
  <c r="C783" i="12"/>
  <c r="C782" i="12"/>
  <c r="C781" i="12"/>
  <c r="C780" i="12"/>
  <c r="C779" i="12"/>
  <c r="C778" i="12"/>
  <c r="C777" i="12"/>
  <c r="C776" i="12"/>
  <c r="C775" i="12"/>
  <c r="C774" i="12"/>
  <c r="C773" i="12"/>
  <c r="C772" i="12"/>
  <c r="C771" i="12"/>
  <c r="C770" i="12"/>
  <c r="C769" i="12"/>
  <c r="C768" i="12"/>
  <c r="C767" i="12"/>
  <c r="C766" i="12"/>
  <c r="C765" i="12"/>
  <c r="C764" i="12"/>
  <c r="C763" i="12"/>
  <c r="C762" i="12"/>
  <c r="C761" i="12"/>
  <c r="C760" i="12"/>
  <c r="C759" i="12"/>
  <c r="C758" i="12"/>
  <c r="C757" i="12"/>
  <c r="C756" i="12"/>
  <c r="C755" i="12"/>
  <c r="C754" i="12"/>
  <c r="C753" i="12"/>
  <c r="C752" i="12"/>
  <c r="C751" i="12"/>
  <c r="C750" i="12"/>
  <c r="C749" i="12"/>
  <c r="C748" i="12"/>
  <c r="C747" i="12"/>
  <c r="C746" i="12"/>
  <c r="C745" i="12"/>
  <c r="C744" i="12"/>
  <c r="C743" i="12"/>
  <c r="C742" i="12" s="1"/>
  <c r="K742" i="12"/>
  <c r="G742" i="12"/>
  <c r="B742" i="12"/>
  <c r="C741" i="12"/>
  <c r="C740" i="12"/>
  <c r="C739" i="12"/>
  <c r="C738" i="12"/>
  <c r="C737" i="12"/>
  <c r="C736" i="12"/>
  <c r="C735" i="12"/>
  <c r="C734" i="12"/>
  <c r="C733" i="12"/>
  <c r="C732" i="12"/>
  <c r="C731" i="12"/>
  <c r="C730" i="12"/>
  <c r="C729" i="12"/>
  <c r="C728" i="12"/>
  <c r="C727" i="12"/>
  <c r="C726" i="12"/>
  <c r="C725" i="12"/>
  <c r="C724" i="12"/>
  <c r="C723" i="12"/>
  <c r="C722" i="12"/>
  <c r="C721" i="12"/>
  <c r="C720" i="12"/>
  <c r="C719" i="12"/>
  <c r="C718" i="12"/>
  <c r="C717" i="12"/>
  <c r="C716" i="12"/>
  <c r="C715" i="12"/>
  <c r="C714" i="12"/>
  <c r="C713" i="12"/>
  <c r="C712" i="12"/>
  <c r="C711" i="12"/>
  <c r="C710" i="12"/>
  <c r="C709" i="12"/>
  <c r="C708" i="12"/>
  <c r="C707" i="12"/>
  <c r="C706" i="12"/>
  <c r="C705" i="12"/>
  <c r="C704" i="12"/>
  <c r="C703" i="12"/>
  <c r="C702" i="12"/>
  <c r="C701" i="12"/>
  <c r="C700" i="12"/>
  <c r="C699" i="12"/>
  <c r="C698" i="12"/>
  <c r="C697" i="12"/>
  <c r="C696" i="12"/>
  <c r="C695" i="12"/>
  <c r="C694" i="12"/>
  <c r="C692" i="12"/>
  <c r="C691" i="12"/>
  <c r="C690" i="12"/>
  <c r="C689" i="12"/>
  <c r="C688" i="12"/>
  <c r="C687" i="12"/>
  <c r="C686" i="12"/>
  <c r="C685" i="12"/>
  <c r="C684" i="12"/>
  <c r="C683" i="12"/>
  <c r="C682" i="12"/>
  <c r="C681" i="12"/>
  <c r="C680" i="12"/>
  <c r="C679" i="12"/>
  <c r="C678" i="12"/>
  <c r="C677" i="12"/>
  <c r="C676" i="12"/>
  <c r="C675" i="12"/>
  <c r="C674" i="12"/>
  <c r="C673" i="12"/>
  <c r="C672" i="12"/>
  <c r="C671" i="12"/>
  <c r="C670" i="12"/>
  <c r="C669" i="12"/>
  <c r="C668" i="12"/>
  <c r="C667" i="12"/>
  <c r="C666" i="12"/>
  <c r="C665" i="12"/>
  <c r="C664" i="12"/>
  <c r="C663" i="12"/>
  <c r="C662" i="12"/>
  <c r="C661" i="12"/>
  <c r="C660" i="12"/>
  <c r="C659" i="12"/>
  <c r="C658" i="12"/>
  <c r="C657" i="12"/>
  <c r="C656" i="12"/>
  <c r="C655" i="12"/>
  <c r="C654" i="12"/>
  <c r="C653" i="12"/>
  <c r="C652" i="12"/>
  <c r="C651" i="12"/>
  <c r="C650" i="12"/>
  <c r="C649" i="12"/>
  <c r="C648" i="12"/>
  <c r="K647" i="12"/>
  <c r="G647" i="12"/>
  <c r="C647" i="12"/>
  <c r="B647" i="12"/>
  <c r="C646" i="12"/>
  <c r="C645" i="12"/>
  <c r="C644" i="12"/>
  <c r="C643" i="12"/>
  <c r="C642" i="12"/>
  <c r="C641" i="12"/>
  <c r="C640" i="12"/>
  <c r="C639" i="12"/>
  <c r="C638" i="12"/>
  <c r="C637" i="12"/>
  <c r="C636" i="12"/>
  <c r="C635" i="12"/>
  <c r="C634" i="12"/>
  <c r="C633" i="12"/>
  <c r="C632" i="12"/>
  <c r="C631" i="12"/>
  <c r="C630" i="12"/>
  <c r="C629" i="12"/>
  <c r="C628" i="12"/>
  <c r="C627" i="12"/>
  <c r="C626" i="12"/>
  <c r="C625" i="12"/>
  <c r="C624" i="12"/>
  <c r="C623" i="12"/>
  <c r="C622" i="12"/>
  <c r="C621" i="12"/>
  <c r="C620" i="12"/>
  <c r="C619" i="12"/>
  <c r="C618" i="12"/>
  <c r="C617" i="12"/>
  <c r="C616" i="12"/>
  <c r="C615" i="12"/>
  <c r="C614" i="12"/>
  <c r="C613" i="12"/>
  <c r="C612" i="12"/>
  <c r="C611" i="12"/>
  <c r="C610" i="12"/>
  <c r="C609" i="12"/>
  <c r="C608" i="12"/>
  <c r="C607" i="12"/>
  <c r="C606" i="12"/>
  <c r="C605" i="12"/>
  <c r="C604" i="12"/>
  <c r="C603" i="12"/>
  <c r="C602" i="12"/>
  <c r="C601" i="12"/>
  <c r="C600" i="12"/>
  <c r="C599" i="12"/>
  <c r="C598" i="12"/>
  <c r="C597" i="12"/>
  <c r="C596" i="12"/>
  <c r="C595" i="12"/>
  <c r="C594" i="12"/>
  <c r="C593" i="12"/>
  <c r="C592" i="12"/>
  <c r="C591" i="12"/>
  <c r="C590" i="12"/>
  <c r="C589" i="12"/>
  <c r="C588" i="12"/>
  <c r="C587" i="12"/>
  <c r="C586" i="12"/>
  <c r="C585" i="12"/>
  <c r="C584" i="12"/>
  <c r="C583" i="12"/>
  <c r="C582" i="12"/>
  <c r="C581" i="12"/>
  <c r="C580" i="12"/>
  <c r="C579" i="12"/>
  <c r="C578" i="12"/>
  <c r="C577" i="12"/>
  <c r="C576" i="12"/>
  <c r="C575" i="12"/>
  <c r="C574" i="12"/>
  <c r="C573" i="12"/>
  <c r="C572" i="12"/>
  <c r="C571" i="12"/>
  <c r="C570" i="12"/>
  <c r="C569" i="12"/>
  <c r="C568" i="12"/>
  <c r="C567" i="12"/>
  <c r="C566" i="12"/>
  <c r="C565" i="12"/>
  <c r="C564" i="12"/>
  <c r="C562" i="12" s="1"/>
  <c r="C563" i="12"/>
  <c r="G562" i="12"/>
  <c r="B562" i="12"/>
  <c r="K562" i="12" s="1"/>
  <c r="C561" i="12"/>
  <c r="C560" i="12"/>
  <c r="C559" i="12"/>
  <c r="C558" i="12"/>
  <c r="C557" i="12"/>
  <c r="C556" i="12"/>
  <c r="C555" i="12"/>
  <c r="C554" i="12"/>
  <c r="C553" i="12"/>
  <c r="C552" i="12"/>
  <c r="C551" i="12"/>
  <c r="C550" i="12"/>
  <c r="C549" i="12"/>
  <c r="C548" i="12"/>
  <c r="C547" i="12"/>
  <c r="C546" i="12"/>
  <c r="C545" i="12"/>
  <c r="C544" i="12"/>
  <c r="C543" i="12"/>
  <c r="C542" i="12"/>
  <c r="C541" i="12"/>
  <c r="C540" i="12"/>
  <c r="C539" i="12"/>
  <c r="C538" i="12"/>
  <c r="C537" i="12"/>
  <c r="C536" i="12"/>
  <c r="C535" i="12"/>
  <c r="C534" i="12"/>
  <c r="C533" i="12"/>
  <c r="C532" i="12"/>
  <c r="C531" i="12"/>
  <c r="C530" i="12"/>
  <c r="C529" i="12"/>
  <c r="C528" i="12"/>
  <c r="C527" i="12"/>
  <c r="C526" i="12"/>
  <c r="C525" i="12"/>
  <c r="C524" i="12"/>
  <c r="C523" i="12"/>
  <c r="C522" i="12"/>
  <c r="C521" i="12"/>
  <c r="C520" i="12"/>
  <c r="C519" i="12"/>
  <c r="C518" i="12"/>
  <c r="C517" i="12"/>
  <c r="C516" i="12"/>
  <c r="C515" i="12"/>
  <c r="C514" i="12"/>
  <c r="C513" i="12"/>
  <c r="C512" i="12"/>
  <c r="C511" i="12"/>
  <c r="C510" i="12"/>
  <c r="C509" i="12"/>
  <c r="C508" i="12"/>
  <c r="C507" i="12"/>
  <c r="C506" i="12"/>
  <c r="C504" i="12"/>
  <c r="C503" i="12"/>
  <c r="C502" i="12"/>
  <c r="C501" i="12"/>
  <c r="C500" i="12"/>
  <c r="C499" i="12"/>
  <c r="C498" i="12"/>
  <c r="C497" i="12"/>
  <c r="C496" i="12"/>
  <c r="C488" i="12" s="1"/>
  <c r="C495" i="12"/>
  <c r="C494" i="12"/>
  <c r="C493" i="12"/>
  <c r="C492" i="12"/>
  <c r="C491" i="12"/>
  <c r="C490" i="12"/>
  <c r="C489" i="12"/>
  <c r="K488" i="12"/>
  <c r="G488" i="12"/>
  <c r="B488" i="12"/>
  <c r="C487" i="12"/>
  <c r="C486" i="12"/>
  <c r="C485" i="12"/>
  <c r="C484" i="12"/>
  <c r="C483" i="12"/>
  <c r="C482" i="12"/>
  <c r="C481" i="12"/>
  <c r="C480" i="12"/>
  <c r="C479" i="12"/>
  <c r="C478" i="12"/>
  <c r="C477" i="12"/>
  <c r="C476" i="12"/>
  <c r="C475" i="12"/>
  <c r="C474" i="12"/>
  <c r="C473" i="12"/>
  <c r="C472" i="12"/>
  <c r="C471" i="12"/>
  <c r="C470" i="12"/>
  <c r="C469" i="12"/>
  <c r="C468" i="12"/>
  <c r="C467" i="12"/>
  <c r="C466" i="12"/>
  <c r="C465" i="12"/>
  <c r="C464" i="12"/>
  <c r="C463" i="12"/>
  <c r="C462" i="12"/>
  <c r="C461" i="12"/>
  <c r="C460" i="12"/>
  <c r="C459" i="12"/>
  <c r="C458" i="12"/>
  <c r="C457" i="12"/>
  <c r="C456" i="12"/>
  <c r="C455" i="12"/>
  <c r="C454" i="12"/>
  <c r="C453" i="12"/>
  <c r="C452" i="12"/>
  <c r="C451" i="12"/>
  <c r="C450" i="12"/>
  <c r="C449" i="12"/>
  <c r="C448" i="12"/>
  <c r="C447" i="12"/>
  <c r="C446" i="12"/>
  <c r="C445" i="12"/>
  <c r="C444" i="12"/>
  <c r="C443" i="12"/>
  <c r="C442" i="12"/>
  <c r="C441" i="12"/>
  <c r="C440" i="12"/>
  <c r="C439" i="12"/>
  <c r="C438" i="12"/>
  <c r="C437" i="12"/>
  <c r="C436" i="12"/>
  <c r="C435" i="12"/>
  <c r="C434" i="12"/>
  <c r="C433" i="12"/>
  <c r="C432" i="12"/>
  <c r="C431" i="12"/>
  <c r="C430" i="12"/>
  <c r="C429" i="12"/>
  <c r="C428" i="12"/>
  <c r="C427" i="12"/>
  <c r="C426" i="12"/>
  <c r="C425" i="12"/>
  <c r="C424" i="12"/>
  <c r="C423" i="12"/>
  <c r="C422" i="12"/>
  <c r="C420" i="12"/>
  <c r="C419" i="12"/>
  <c r="C418" i="12"/>
  <c r="C417" i="12"/>
  <c r="C416" i="12"/>
  <c r="C415" i="12"/>
  <c r="C414" i="12"/>
  <c r="C413" i="12"/>
  <c r="C412" i="12"/>
  <c r="C411" i="12"/>
  <c r="C410" i="12"/>
  <c r="C409" i="12"/>
  <c r="C408" i="12"/>
  <c r="C407" i="12"/>
  <c r="C406" i="12"/>
  <c r="C405" i="12"/>
  <c r="C404" i="12"/>
  <c r="C403" i="12"/>
  <c r="C402" i="12"/>
  <c r="C401" i="12"/>
  <c r="C400" i="12"/>
  <c r="C399" i="12"/>
  <c r="C398" i="12"/>
  <c r="C397" i="12"/>
  <c r="C396" i="12"/>
  <c r="C395" i="12"/>
  <c r="C394" i="12"/>
  <c r="C393" i="12"/>
  <c r="C392" i="12"/>
  <c r="C391" i="12"/>
  <c r="C390" i="12"/>
  <c r="C389" i="12"/>
  <c r="C388" i="12"/>
  <c r="C387" i="12"/>
  <c r="C386" i="12"/>
  <c r="C385" i="12" s="1"/>
  <c r="H385" i="12"/>
  <c r="B385" i="12"/>
  <c r="K385" i="12" s="1"/>
  <c r="C381" i="12"/>
  <c r="C380" i="12"/>
  <c r="C379" i="12"/>
  <c r="C378" i="12"/>
  <c r="C377" i="12"/>
  <c r="C375" i="12"/>
  <c r="C374" i="12"/>
  <c r="C373" i="12"/>
  <c r="C372" i="12"/>
  <c r="C371" i="12"/>
  <c r="C370" i="12"/>
  <c r="C369" i="12"/>
  <c r="C368" i="12"/>
  <c r="C367" i="12"/>
  <c r="C366" i="12"/>
  <c r="C365" i="12"/>
  <c r="C364" i="12"/>
  <c r="C363" i="12"/>
  <c r="C362" i="12"/>
  <c r="C361" i="12"/>
  <c r="C360" i="12"/>
  <c r="C359" i="12"/>
  <c r="C358" i="12"/>
  <c r="C357" i="12"/>
  <c r="C356" i="12"/>
  <c r="C355" i="12"/>
  <c r="C354" i="12"/>
  <c r="C353" i="12"/>
  <c r="C352" i="12"/>
  <c r="C351" i="12"/>
  <c r="C350" i="12"/>
  <c r="C349" i="12"/>
  <c r="C348" i="12"/>
  <c r="C347" i="12"/>
  <c r="C346" i="12"/>
  <c r="C345" i="12"/>
  <c r="C344" i="12"/>
  <c r="C343" i="12"/>
  <c r="C342" i="12"/>
  <c r="C341" i="12"/>
  <c r="C340" i="12"/>
  <c r="C339" i="12"/>
  <c r="C338" i="12"/>
  <c r="C337" i="12"/>
  <c r="C336" i="12"/>
  <c r="C335" i="12"/>
  <c r="C334" i="12"/>
  <c r="C333" i="12"/>
  <c r="C332" i="12"/>
  <c r="C331" i="12"/>
  <c r="C330" i="12"/>
  <c r="C329" i="12"/>
  <c r="C328" i="12"/>
  <c r="C327" i="12"/>
  <c r="C326" i="12"/>
  <c r="C325" i="12"/>
  <c r="C324" i="12"/>
  <c r="C323" i="12"/>
  <c r="C322" i="12"/>
  <c r="C321" i="12"/>
  <c r="C320" i="12"/>
  <c r="C319" i="12"/>
  <c r="C318" i="12"/>
  <c r="C317" i="12"/>
  <c r="C316" i="12"/>
  <c r="C315" i="12"/>
  <c r="C314" i="12"/>
  <c r="C312" i="12"/>
  <c r="C311" i="12"/>
  <c r="C310" i="12"/>
  <c r="C309" i="12"/>
  <c r="C308" i="12"/>
  <c r="C307" i="12"/>
  <c r="C306" i="12"/>
  <c r="C305" i="12"/>
  <c r="C304" i="12"/>
  <c r="C303" i="12"/>
  <c r="C302" i="12"/>
  <c r="C301" i="12"/>
  <c r="C300" i="12"/>
  <c r="C299" i="12"/>
  <c r="C298" i="12"/>
  <c r="C297" i="12"/>
  <c r="C296" i="12"/>
  <c r="C295" i="12" s="1"/>
  <c r="B295" i="12"/>
  <c r="K295" i="12" s="1"/>
  <c r="C293" i="12"/>
  <c r="C292" i="12"/>
  <c r="C291" i="12"/>
  <c r="C290" i="12"/>
  <c r="C289" i="12"/>
  <c r="C288" i="12"/>
  <c r="C287" i="12"/>
  <c r="C286" i="12"/>
  <c r="C285" i="12"/>
  <c r="C284" i="12"/>
  <c r="C283" i="12"/>
  <c r="C282" i="12"/>
  <c r="C281" i="12"/>
  <c r="C280" i="12"/>
  <c r="C279" i="12"/>
  <c r="C278" i="12"/>
  <c r="C277" i="12"/>
  <c r="C276" i="12"/>
  <c r="C275" i="12"/>
  <c r="C273" i="12"/>
  <c r="C272" i="12"/>
  <c r="C271" i="12"/>
  <c r="C270" i="12"/>
  <c r="C269" i="12"/>
  <c r="C268" i="12"/>
  <c r="C267" i="12"/>
  <c r="C266" i="12"/>
  <c r="C265" i="12"/>
  <c r="C264" i="12"/>
  <c r="C263" i="12"/>
  <c r="C262" i="12"/>
  <c r="C261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3" i="12" s="1"/>
  <c r="C228" i="12"/>
  <c r="C227" i="12"/>
  <c r="C226" i="12"/>
  <c r="C225" i="12"/>
  <c r="C224" i="12"/>
  <c r="B223" i="12"/>
  <c r="K223" i="12" s="1"/>
  <c r="C220" i="12"/>
  <c r="C219" i="12"/>
  <c r="C217" i="12"/>
  <c r="C216" i="12"/>
  <c r="C215" i="12"/>
  <c r="C214" i="12"/>
  <c r="C213" i="12"/>
  <c r="C212" i="12"/>
  <c r="C210" i="12"/>
  <c r="C209" i="12"/>
  <c r="C208" i="12"/>
  <c r="C207" i="12"/>
  <c r="C206" i="12"/>
  <c r="C205" i="12"/>
  <c r="C204" i="12"/>
  <c r="C203" i="12"/>
  <c r="C202" i="12"/>
  <c r="C201" i="12"/>
  <c r="C199" i="12"/>
  <c r="C198" i="12"/>
  <c r="C197" i="12"/>
  <c r="C196" i="12"/>
  <c r="C195" i="12"/>
  <c r="C194" i="12"/>
  <c r="C192" i="12"/>
  <c r="C191" i="12"/>
  <c r="C190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44" i="12" s="1"/>
  <c r="C153" i="12"/>
  <c r="C152" i="12"/>
  <c r="C151" i="12"/>
  <c r="C150" i="12"/>
  <c r="C149" i="12"/>
  <c r="C147" i="12"/>
  <c r="C146" i="12"/>
  <c r="C145" i="12"/>
  <c r="K144" i="12"/>
  <c r="B144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4" i="12"/>
  <c r="C112" i="12"/>
  <c r="C111" i="12"/>
  <c r="C110" i="12"/>
  <c r="C109" i="12"/>
  <c r="C108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8" i="12" s="1"/>
  <c r="C79" i="12"/>
  <c r="G78" i="12"/>
  <c r="B78" i="12"/>
  <c r="K78" i="12" s="1"/>
  <c r="C76" i="12"/>
  <c r="C75" i="12"/>
  <c r="C74" i="12"/>
  <c r="C73" i="12"/>
  <c r="C72" i="12"/>
  <c r="C71" i="12"/>
  <c r="C70" i="12"/>
  <c r="C69" i="12"/>
  <c r="C67" i="12"/>
  <c r="C66" i="12"/>
  <c r="C65" i="12"/>
  <c r="C64" i="12"/>
  <c r="C63" i="12"/>
  <c r="C62" i="12"/>
  <c r="C61" i="12"/>
  <c r="C60" i="12"/>
  <c r="C59" i="12"/>
  <c r="C58" i="12"/>
  <c r="C57" i="12"/>
  <c r="C55" i="12"/>
  <c r="C54" i="12"/>
  <c r="C53" i="12"/>
  <c r="C52" i="12"/>
  <c r="C51" i="12"/>
  <c r="C50" i="12"/>
  <c r="C49" i="12"/>
  <c r="C48" i="12"/>
  <c r="C47" i="12"/>
  <c r="C46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6" i="12"/>
  <c r="C5" i="12"/>
  <c r="C4" i="12"/>
  <c r="C3" i="12" s="1"/>
  <c r="B3" i="12"/>
  <c r="C1256" i="9"/>
  <c r="C1255" i="9"/>
  <c r="C1254" i="9"/>
  <c r="C1253" i="9"/>
  <c r="C1252" i="9"/>
  <c r="C1251" i="9"/>
  <c r="C1250" i="9"/>
  <c r="C1249" i="9"/>
  <c r="C1248" i="9"/>
  <c r="C1247" i="9"/>
  <c r="C1246" i="9"/>
  <c r="C1245" i="9"/>
  <c r="C1244" i="9"/>
  <c r="C1243" i="9"/>
  <c r="C1242" i="9"/>
  <c r="C1241" i="9"/>
  <c r="C1240" i="9"/>
  <c r="C1239" i="9"/>
  <c r="C1238" i="9"/>
  <c r="C1237" i="9"/>
  <c r="C1236" i="9"/>
  <c r="C1235" i="9"/>
  <c r="C1234" i="9"/>
  <c r="C1233" i="9"/>
  <c r="C1232" i="9"/>
  <c r="C1231" i="9"/>
  <c r="C1230" i="9"/>
  <c r="C1229" i="9"/>
  <c r="C1228" i="9"/>
  <c r="C1227" i="9"/>
  <c r="C1226" i="9"/>
  <c r="C1225" i="9"/>
  <c r="C1224" i="9"/>
  <c r="C1223" i="9"/>
  <c r="C1222" i="9"/>
  <c r="C1221" i="9"/>
  <c r="C1220" i="9"/>
  <c r="C1219" i="9"/>
  <c r="C1218" i="9"/>
  <c r="C1217" i="9"/>
  <c r="C1216" i="9"/>
  <c r="C1215" i="9"/>
  <c r="C1214" i="9"/>
  <c r="C1213" i="9"/>
  <c r="C1212" i="9"/>
  <c r="C1211" i="9"/>
  <c r="C1210" i="9"/>
  <c r="C1209" i="9"/>
  <c r="C1208" i="9"/>
  <c r="C1207" i="9"/>
  <c r="C1206" i="9"/>
  <c r="C1205" i="9"/>
  <c r="C1204" i="9"/>
  <c r="C1203" i="9"/>
  <c r="C1202" i="9"/>
  <c r="C1201" i="9"/>
  <c r="C1200" i="9"/>
  <c r="C1199" i="9"/>
  <c r="C1198" i="9"/>
  <c r="C1197" i="9"/>
  <c r="C1196" i="9"/>
  <c r="C1195" i="9"/>
  <c r="C1194" i="9"/>
  <c r="C1193" i="9"/>
  <c r="C1192" i="9"/>
  <c r="C1191" i="9"/>
  <c r="C1190" i="9"/>
  <c r="C1189" i="9"/>
  <c r="C1188" i="9"/>
  <c r="C1187" i="9"/>
  <c r="C1186" i="9"/>
  <c r="C1185" i="9"/>
  <c r="C1184" i="9"/>
  <c r="C1183" i="9"/>
  <c r="C1182" i="9"/>
  <c r="C1181" i="9"/>
  <c r="C1180" i="9"/>
  <c r="C1179" i="9"/>
  <c r="C1178" i="9"/>
  <c r="C1177" i="9"/>
  <c r="C1176" i="9"/>
  <c r="C1175" i="9"/>
  <c r="C1174" i="9"/>
  <c r="C1173" i="9"/>
  <c r="C1172" i="9"/>
  <c r="C1171" i="9"/>
  <c r="C1170" i="9"/>
  <c r="C1169" i="9"/>
  <c r="C1168" i="9"/>
  <c r="C1167" i="9"/>
  <c r="C1166" i="9"/>
  <c r="C1165" i="9"/>
  <c r="C1164" i="9"/>
  <c r="C1163" i="9"/>
  <c r="C1162" i="9"/>
  <c r="C1161" i="9"/>
  <c r="C1160" i="9"/>
  <c r="C1159" i="9"/>
  <c r="C1158" i="9"/>
  <c r="C1157" i="9"/>
  <c r="C1156" i="9"/>
  <c r="C1155" i="9"/>
  <c r="C1154" i="9"/>
  <c r="C1153" i="9"/>
  <c r="C1152" i="9"/>
  <c r="C1151" i="9"/>
  <c r="C1150" i="9"/>
  <c r="C1149" i="9"/>
  <c r="C1148" i="9"/>
  <c r="C1147" i="9"/>
  <c r="C1146" i="9"/>
  <c r="C1145" i="9"/>
  <c r="C1144" i="9"/>
  <c r="C1143" i="9"/>
  <c r="C1142" i="9"/>
  <c r="C1141" i="9"/>
  <c r="C1140" i="9"/>
  <c r="C1139" i="9"/>
  <c r="C1138" i="9"/>
  <c r="C1137" i="9"/>
  <c r="C1136" i="9"/>
  <c r="C1135" i="9"/>
  <c r="C1134" i="9"/>
  <c r="C1133" i="9"/>
  <c r="C1132" i="9"/>
  <c r="C1131" i="9"/>
  <c r="C1130" i="9"/>
  <c r="C1129" i="9"/>
  <c r="C1128" i="9"/>
  <c r="C1127" i="9"/>
  <c r="C1126" i="9"/>
  <c r="C1125" i="9"/>
  <c r="C1124" i="9"/>
  <c r="C1120" i="9" s="1"/>
  <c r="C1123" i="9"/>
  <c r="C1122" i="9"/>
  <c r="C1121" i="9"/>
  <c r="B1120" i="9"/>
  <c r="C1119" i="9"/>
  <c r="C1118" i="9"/>
  <c r="C1117" i="9"/>
  <c r="C1116" i="9"/>
  <c r="C1115" i="9"/>
  <c r="C1114" i="9"/>
  <c r="C1113" i="9"/>
  <c r="C1112" i="9"/>
  <c r="C1111" i="9"/>
  <c r="C1110" i="9"/>
  <c r="C1109" i="9"/>
  <c r="C1108" i="9"/>
  <c r="C1107" i="9"/>
  <c r="C1106" i="9"/>
  <c r="C1105" i="9"/>
  <c r="C1104" i="9"/>
  <c r="C1103" i="9"/>
  <c r="C1102" i="9"/>
  <c r="C1101" i="9"/>
  <c r="C1100" i="9"/>
  <c r="C1099" i="9"/>
  <c r="C1098" i="9"/>
  <c r="C1097" i="9"/>
  <c r="C1096" i="9"/>
  <c r="C1095" i="9"/>
  <c r="C1094" i="9"/>
  <c r="C1093" i="9"/>
  <c r="C1092" i="9"/>
  <c r="C1091" i="9"/>
  <c r="C1090" i="9"/>
  <c r="C1089" i="9"/>
  <c r="C1088" i="9"/>
  <c r="C1087" i="9"/>
  <c r="C1086" i="9"/>
  <c r="C1085" i="9"/>
  <c r="C1084" i="9"/>
  <c r="C1083" i="9"/>
  <c r="C1082" i="9"/>
  <c r="C1081" i="9"/>
  <c r="C1080" i="9"/>
  <c r="C1079" i="9"/>
  <c r="C1078" i="9"/>
  <c r="C1077" i="9"/>
  <c r="C1076" i="9"/>
  <c r="C1075" i="9"/>
  <c r="C1074" i="9"/>
  <c r="C1073" i="9"/>
  <c r="C1072" i="9"/>
  <c r="C1071" i="9"/>
  <c r="C1070" i="9"/>
  <c r="C1069" i="9"/>
  <c r="C1068" i="9"/>
  <c r="C1067" i="9"/>
  <c r="C1066" i="9"/>
  <c r="C1065" i="9"/>
  <c r="C1064" i="9"/>
  <c r="C1063" i="9"/>
  <c r="C1062" i="9"/>
  <c r="C1061" i="9"/>
  <c r="C1060" i="9"/>
  <c r="C1059" i="9"/>
  <c r="C1058" i="9"/>
  <c r="C1057" i="9"/>
  <c r="C1056" i="9"/>
  <c r="C1055" i="9"/>
  <c r="C1054" i="9"/>
  <c r="C1053" i="9"/>
  <c r="C1052" i="9"/>
  <c r="C1051" i="9"/>
  <c r="C1050" i="9"/>
  <c r="C1049" i="9"/>
  <c r="C1048" i="9"/>
  <c r="C1047" i="9"/>
  <c r="C1046" i="9"/>
  <c r="C1045" i="9"/>
  <c r="C1044" i="9"/>
  <c r="C1043" i="9"/>
  <c r="C1042" i="9"/>
  <c r="C1041" i="9"/>
  <c r="C1040" i="9"/>
  <c r="C1039" i="9"/>
  <c r="C1038" i="9"/>
  <c r="C1037" i="9"/>
  <c r="C1036" i="9"/>
  <c r="C1035" i="9"/>
  <c r="C1034" i="9"/>
  <c r="C1033" i="9"/>
  <c r="C1032" i="9"/>
  <c r="C1031" i="9"/>
  <c r="C1030" i="9"/>
  <c r="C1029" i="9"/>
  <c r="C1028" i="9"/>
  <c r="C1027" i="9"/>
  <c r="C1020" i="9" s="1"/>
  <c r="C1026" i="9"/>
  <c r="C1025" i="9"/>
  <c r="C1024" i="9"/>
  <c r="C1023" i="9"/>
  <c r="C1022" i="9"/>
  <c r="C1021" i="9"/>
  <c r="B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C992" i="9"/>
  <c r="C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C949" i="9"/>
  <c r="C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7" i="9" s="1"/>
  <c r="C928" i="9"/>
  <c r="B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C906" i="9"/>
  <c r="C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C863" i="9"/>
  <c r="C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26" i="9" s="1"/>
  <c r="C832" i="9"/>
  <c r="C831" i="9"/>
  <c r="C830" i="9"/>
  <c r="C829" i="9"/>
  <c r="C828" i="9"/>
  <c r="C827" i="9"/>
  <c r="B826" i="9"/>
  <c r="C825" i="9"/>
  <c r="C824" i="9"/>
  <c r="C823" i="9"/>
  <c r="C822" i="9"/>
  <c r="C821" i="9"/>
  <c r="C820" i="9"/>
  <c r="C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C777" i="9"/>
  <c r="C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C734" i="9"/>
  <c r="C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 s="1"/>
  <c r="B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C691" i="9"/>
  <c r="C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C648" i="9"/>
  <c r="C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0" i="9" s="1"/>
  <c r="C624" i="9"/>
  <c r="C622" i="9"/>
  <c r="C621" i="9"/>
  <c r="B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C605" i="9"/>
  <c r="C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C562" i="9"/>
  <c r="C561" i="9"/>
  <c r="C560" i="9"/>
  <c r="C559" i="9"/>
  <c r="C558" i="9"/>
  <c r="C557" i="9"/>
  <c r="C556" i="9"/>
  <c r="C555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8" i="9"/>
  <c r="C527" i="9"/>
  <c r="C526" i="9"/>
  <c r="C525" i="9"/>
  <c r="C523" i="9"/>
  <c r="C521" i="9" s="1"/>
  <c r="C522" i="9"/>
  <c r="B521" i="9"/>
  <c r="C520" i="9"/>
  <c r="C519" i="9"/>
  <c r="C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C476" i="9"/>
  <c r="C475" i="9"/>
  <c r="C474" i="9"/>
  <c r="C473" i="9"/>
  <c r="C472" i="9"/>
  <c r="C471" i="9"/>
  <c r="C470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C433" i="9"/>
  <c r="C432" i="9"/>
  <c r="C431" i="9"/>
  <c r="C430" i="9"/>
  <c r="C429" i="9"/>
  <c r="C428" i="9"/>
  <c r="C427" i="9"/>
  <c r="C426" i="9"/>
  <c r="C425" i="9" s="1"/>
  <c r="B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C390" i="9"/>
  <c r="C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16" i="9" s="1"/>
  <c r="C328" i="9"/>
  <c r="C327" i="9"/>
  <c r="C326" i="9"/>
  <c r="C325" i="9"/>
  <c r="C324" i="9"/>
  <c r="C323" i="9"/>
  <c r="C322" i="9"/>
  <c r="C321" i="9"/>
  <c r="C320" i="9"/>
  <c r="C319" i="9"/>
  <c r="C318" i="9"/>
  <c r="C317" i="9"/>
  <c r="B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4" i="9" s="1"/>
  <c r="C217" i="9"/>
  <c r="C216" i="9"/>
  <c r="C215" i="9"/>
  <c r="B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 s="1"/>
  <c r="B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 s="1"/>
  <c r="B3" i="9"/>
  <c r="H2" i="9" s="1"/>
  <c r="C1676" i="4"/>
  <c r="C1675" i="4"/>
  <c r="C1674" i="4"/>
  <c r="C1673" i="4"/>
  <c r="C1672" i="4"/>
  <c r="C1671" i="4"/>
  <c r="C1670" i="4"/>
  <c r="C1669" i="4"/>
  <c r="C1668" i="4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C1634" i="4"/>
  <c r="C1633" i="4"/>
  <c r="C1632" i="4"/>
  <c r="C1631" i="4"/>
  <c r="C1630" i="4"/>
  <c r="C1629" i="4"/>
  <c r="C1628" i="4"/>
  <c r="C1627" i="4"/>
  <c r="C1626" i="4"/>
  <c r="C1625" i="4"/>
  <c r="C1624" i="4"/>
  <c r="C1623" i="4"/>
  <c r="C1622" i="4"/>
  <c r="C1621" i="4"/>
  <c r="C1620" i="4"/>
  <c r="C1619" i="4"/>
  <c r="C1618" i="4"/>
  <c r="C1617" i="4"/>
  <c r="C1616" i="4"/>
  <c r="C1615" i="4"/>
  <c r="C1614" i="4"/>
  <c r="C1613" i="4"/>
  <c r="C1612" i="4"/>
  <c r="C1611" i="4"/>
  <c r="C1610" i="4"/>
  <c r="C1609" i="4"/>
  <c r="C1608" i="4"/>
  <c r="C1607" i="4"/>
  <c r="C1606" i="4"/>
  <c r="C1605" i="4"/>
  <c r="C1604" i="4"/>
  <c r="C1603" i="4"/>
  <c r="C1602" i="4"/>
  <c r="C1601" i="4"/>
  <c r="C1600" i="4"/>
  <c r="C1599" i="4"/>
  <c r="C1598" i="4"/>
  <c r="C1597" i="4"/>
  <c r="C1596" i="4"/>
  <c r="C1595" i="4"/>
  <c r="C1594" i="4"/>
  <c r="C1593" i="4"/>
  <c r="C1592" i="4"/>
  <c r="C1591" i="4"/>
  <c r="C1590" i="4"/>
  <c r="C1589" i="4"/>
  <c r="C1588" i="4"/>
  <c r="C1587" i="4"/>
  <c r="C1586" i="4"/>
  <c r="C1585" i="4"/>
  <c r="C1584" i="4"/>
  <c r="C1583" i="4"/>
  <c r="C1582" i="4"/>
  <c r="C1581" i="4"/>
  <c r="C1580" i="4"/>
  <c r="C1579" i="4"/>
  <c r="C1578" i="4"/>
  <c r="C1577" i="4"/>
  <c r="C1576" i="4"/>
  <c r="C1575" i="4"/>
  <c r="C1574" i="4"/>
  <c r="C1573" i="4"/>
  <c r="C1572" i="4"/>
  <c r="C1571" i="4"/>
  <c r="C1570" i="4"/>
  <c r="C1569" i="4"/>
  <c r="C1568" i="4"/>
  <c r="C1567" i="4"/>
  <c r="C1566" i="4"/>
  <c r="C1565" i="4"/>
  <c r="C1564" i="4"/>
  <c r="C1563" i="4"/>
  <c r="C1562" i="4"/>
  <c r="C1561" i="4"/>
  <c r="C1560" i="4"/>
  <c r="C1559" i="4"/>
  <c r="C1558" i="4"/>
  <c r="C1557" i="4"/>
  <c r="C1556" i="4"/>
  <c r="C1555" i="4"/>
  <c r="C1554" i="4"/>
  <c r="C1553" i="4"/>
  <c r="C1552" i="4"/>
  <c r="C1551" i="4"/>
  <c r="C1550" i="4"/>
  <c r="C1549" i="4"/>
  <c r="C1548" i="4"/>
  <c r="C1547" i="4"/>
  <c r="C1546" i="4"/>
  <c r="C1545" i="4"/>
  <c r="C1544" i="4"/>
  <c r="C1543" i="4"/>
  <c r="C1542" i="4"/>
  <c r="C1541" i="4"/>
  <c r="C1540" i="4"/>
  <c r="C1539" i="4"/>
  <c r="C1538" i="4"/>
  <c r="C1537" i="4"/>
  <c r="C1536" i="4"/>
  <c r="C1535" i="4"/>
  <c r="C1534" i="4"/>
  <c r="C1533" i="4"/>
  <c r="C1532" i="4"/>
  <c r="C1531" i="4"/>
  <c r="C1530" i="4"/>
  <c r="C1529" i="4"/>
  <c r="C1528" i="4"/>
  <c r="C1527" i="4"/>
  <c r="C1526" i="4"/>
  <c r="C1525" i="4"/>
  <c r="C1524" i="4"/>
  <c r="C1523" i="4"/>
  <c r="C1522" i="4"/>
  <c r="C1521" i="4"/>
  <c r="C1520" i="4"/>
  <c r="C1519" i="4"/>
  <c r="C1518" i="4"/>
  <c r="C1517" i="4"/>
  <c r="C1516" i="4"/>
  <c r="C1515" i="4"/>
  <c r="C1514" i="4"/>
  <c r="C1513" i="4"/>
  <c r="C1512" i="4"/>
  <c r="C1511" i="4"/>
  <c r="C1510" i="4"/>
  <c r="C1509" i="4"/>
  <c r="C1508" i="4"/>
  <c r="C1507" i="4"/>
  <c r="C1506" i="4"/>
  <c r="C1505" i="4"/>
  <c r="C1504" i="4"/>
  <c r="C1503" i="4"/>
  <c r="C1502" i="4"/>
  <c r="C1501" i="4" s="1"/>
  <c r="B1501" i="4"/>
  <c r="C1500" i="4"/>
  <c r="C1499" i="4"/>
  <c r="C1498" i="4"/>
  <c r="C1497" i="4"/>
  <c r="C1496" i="4"/>
  <c r="C1495" i="4"/>
  <c r="C1494" i="4"/>
  <c r="C1493" i="4"/>
  <c r="C1492" i="4"/>
  <c r="C1491" i="4"/>
  <c r="C1490" i="4"/>
  <c r="C1489" i="4"/>
  <c r="C1488" i="4"/>
  <c r="C1487" i="4"/>
  <c r="C1486" i="4"/>
  <c r="C1485" i="4"/>
  <c r="C1484" i="4"/>
  <c r="C1483" i="4"/>
  <c r="C1482" i="4"/>
  <c r="C1481" i="4"/>
  <c r="C1480" i="4"/>
  <c r="C1479" i="4"/>
  <c r="C1478" i="4"/>
  <c r="C1477" i="4"/>
  <c r="C1476" i="4"/>
  <c r="C1475" i="4"/>
  <c r="C1474" i="4"/>
  <c r="C1473" i="4"/>
  <c r="C1472" i="4"/>
  <c r="C1471" i="4"/>
  <c r="C1470" i="4"/>
  <c r="C1469" i="4"/>
  <c r="C1468" i="4"/>
  <c r="C1467" i="4"/>
  <c r="C1466" i="4"/>
  <c r="C1465" i="4"/>
  <c r="C1464" i="4"/>
  <c r="C1463" i="4"/>
  <c r="C1462" i="4"/>
  <c r="C1461" i="4"/>
  <c r="C1460" i="4"/>
  <c r="C1459" i="4"/>
  <c r="C1458" i="4"/>
  <c r="C1457" i="4"/>
  <c r="C1456" i="4"/>
  <c r="C1455" i="4"/>
  <c r="C1454" i="4"/>
  <c r="C1453" i="4"/>
  <c r="C1452" i="4"/>
  <c r="C1451" i="4"/>
  <c r="C1450" i="4"/>
  <c r="C1449" i="4"/>
  <c r="C1448" i="4"/>
  <c r="C1447" i="4"/>
  <c r="C1446" i="4"/>
  <c r="C1445" i="4"/>
  <c r="C1444" i="4"/>
  <c r="C1443" i="4"/>
  <c r="C1442" i="4"/>
  <c r="C1441" i="4"/>
  <c r="C1440" i="4"/>
  <c r="C1439" i="4"/>
  <c r="C1438" i="4"/>
  <c r="C1437" i="4"/>
  <c r="C1436" i="4"/>
  <c r="C1435" i="4"/>
  <c r="C1434" i="4"/>
  <c r="C1433" i="4"/>
  <c r="C1432" i="4"/>
  <c r="C1431" i="4"/>
  <c r="C1430" i="4"/>
  <c r="C1429" i="4"/>
  <c r="C1428" i="4"/>
  <c r="C1427" i="4"/>
  <c r="C1426" i="4"/>
  <c r="C1425" i="4"/>
  <c r="C1424" i="4"/>
  <c r="C1423" i="4"/>
  <c r="C1422" i="4"/>
  <c r="C1421" i="4"/>
  <c r="C1420" i="4"/>
  <c r="C1419" i="4"/>
  <c r="C1418" i="4"/>
  <c r="C1417" i="4"/>
  <c r="C1416" i="4"/>
  <c r="C1415" i="4"/>
  <c r="C1414" i="4"/>
  <c r="C1413" i="4"/>
  <c r="C1412" i="4"/>
  <c r="C1411" i="4"/>
  <c r="C1410" i="4"/>
  <c r="C1409" i="4"/>
  <c r="C1408" i="4"/>
  <c r="C1407" i="4"/>
  <c r="C1406" i="4"/>
  <c r="C1405" i="4"/>
  <c r="C1404" i="4"/>
  <c r="C1403" i="4"/>
  <c r="C1402" i="4"/>
  <c r="C1401" i="4"/>
  <c r="C1400" i="4"/>
  <c r="C1399" i="4"/>
  <c r="C1398" i="4"/>
  <c r="C1397" i="4"/>
  <c r="C1396" i="4"/>
  <c r="C1389" i="4" s="1"/>
  <c r="C1395" i="4"/>
  <c r="C1394" i="4"/>
  <c r="C1393" i="4"/>
  <c r="C1392" i="4"/>
  <c r="C1391" i="4"/>
  <c r="C1390" i="4"/>
  <c r="B1389" i="4"/>
  <c r="C1388" i="4"/>
  <c r="C1387" i="4"/>
  <c r="C1386" i="4"/>
  <c r="C1385" i="4"/>
  <c r="C1384" i="4"/>
  <c r="C1383" i="4"/>
  <c r="C1382" i="4"/>
  <c r="C1381" i="4"/>
  <c r="C1380" i="4"/>
  <c r="C1379" i="4"/>
  <c r="C1378" i="4"/>
  <c r="C1377" i="4"/>
  <c r="C1376" i="4"/>
  <c r="C1375" i="4"/>
  <c r="C1374" i="4"/>
  <c r="C1373" i="4"/>
  <c r="C1372" i="4"/>
  <c r="C1371" i="4"/>
  <c r="C1370" i="4"/>
  <c r="C1369" i="4"/>
  <c r="C1368" i="4"/>
  <c r="C1367" i="4"/>
  <c r="C1366" i="4"/>
  <c r="C1365" i="4"/>
  <c r="C1364" i="4"/>
  <c r="C1363" i="4"/>
  <c r="C1362" i="4"/>
  <c r="C1361" i="4"/>
  <c r="C1360" i="4"/>
  <c r="C1359" i="4"/>
  <c r="C1358" i="4"/>
  <c r="C1357" i="4"/>
  <c r="C1356" i="4"/>
  <c r="C1355" i="4"/>
  <c r="C1354" i="4"/>
  <c r="C1353" i="4"/>
  <c r="C1352" i="4"/>
  <c r="C1351" i="4"/>
  <c r="C1350" i="4"/>
  <c r="C1349" i="4"/>
  <c r="C1348" i="4"/>
  <c r="C1347" i="4"/>
  <c r="C1346" i="4"/>
  <c r="C1345" i="4"/>
  <c r="C1344" i="4"/>
  <c r="C1343" i="4"/>
  <c r="C1342" i="4"/>
  <c r="C1341" i="4"/>
  <c r="C1340" i="4"/>
  <c r="C1339" i="4"/>
  <c r="C1338" i="4"/>
  <c r="C1337" i="4"/>
  <c r="C1336" i="4"/>
  <c r="C1335" i="4"/>
  <c r="C1334" i="4"/>
  <c r="C1333" i="4"/>
  <c r="C1332" i="4"/>
  <c r="C1331" i="4"/>
  <c r="C1330" i="4"/>
  <c r="C1329" i="4"/>
  <c r="C1328" i="4"/>
  <c r="C1327" i="4"/>
  <c r="C1326" i="4"/>
  <c r="C1325" i="4"/>
  <c r="C1324" i="4"/>
  <c r="C1323" i="4"/>
  <c r="C1322" i="4"/>
  <c r="C1321" i="4"/>
  <c r="C1320" i="4"/>
  <c r="C1319" i="4"/>
  <c r="C1318" i="4"/>
  <c r="C1317" i="4"/>
  <c r="C1316" i="4"/>
  <c r="C1315" i="4"/>
  <c r="C1314" i="4"/>
  <c r="C1313" i="4"/>
  <c r="C1312" i="4"/>
  <c r="C1311" i="4"/>
  <c r="C1310" i="4"/>
  <c r="C1309" i="4"/>
  <c r="C1308" i="4"/>
  <c r="C1307" i="4"/>
  <c r="C1306" i="4"/>
  <c r="C1305" i="4"/>
  <c r="C1304" i="4"/>
  <c r="C1303" i="4"/>
  <c r="C1302" i="4"/>
  <c r="C1301" i="4"/>
  <c r="C1299" i="4"/>
  <c r="C1298" i="4"/>
  <c r="C1297" i="4"/>
  <c r="C1296" i="4"/>
  <c r="C1295" i="4"/>
  <c r="C1294" i="4"/>
  <c r="C1293" i="4"/>
  <c r="C1292" i="4"/>
  <c r="C1291" i="4"/>
  <c r="C1290" i="4"/>
  <c r="C1289" i="4"/>
  <c r="C1288" i="4"/>
  <c r="C1287" i="4"/>
  <c r="C1286" i="4"/>
  <c r="C1285" i="4"/>
  <c r="C1284" i="4"/>
  <c r="C1283" i="4"/>
  <c r="C1282" i="4"/>
  <c r="C1281" i="4"/>
  <c r="C1280" i="4"/>
  <c r="C1279" i="4"/>
  <c r="C1278" i="4"/>
  <c r="C1277" i="4"/>
  <c r="C1276" i="4"/>
  <c r="C1275" i="4"/>
  <c r="C1274" i="4"/>
  <c r="C1273" i="4"/>
  <c r="C1272" i="4"/>
  <c r="C1271" i="4"/>
  <c r="C1270" i="4"/>
  <c r="C1269" i="4"/>
  <c r="C1268" i="4"/>
  <c r="C1267" i="4"/>
  <c r="C1266" i="4"/>
  <c r="C1265" i="4"/>
  <c r="C1264" i="4"/>
  <c r="C1263" i="4"/>
  <c r="C1262" i="4"/>
  <c r="C1261" i="4"/>
  <c r="C1260" i="4"/>
  <c r="C1259" i="4"/>
  <c r="C1258" i="4"/>
  <c r="C1257" i="4"/>
  <c r="C1256" i="4"/>
  <c r="C1247" i="4" s="1"/>
  <c r="C1255" i="4"/>
  <c r="C1254" i="4"/>
  <c r="C1253" i="4"/>
  <c r="C1252" i="4"/>
  <c r="C1251" i="4"/>
  <c r="C1250" i="4"/>
  <c r="C1249" i="4"/>
  <c r="C1248" i="4"/>
  <c r="B1247" i="4"/>
  <c r="C1246" i="4"/>
  <c r="C1245" i="4"/>
  <c r="C1244" i="4"/>
  <c r="C1243" i="4"/>
  <c r="C1242" i="4"/>
  <c r="C1241" i="4"/>
  <c r="C1240" i="4"/>
  <c r="C1239" i="4"/>
  <c r="C1238" i="4"/>
  <c r="C1237" i="4"/>
  <c r="C1236" i="4"/>
  <c r="C1235" i="4"/>
  <c r="C1234" i="4"/>
  <c r="C1233" i="4"/>
  <c r="C1232" i="4"/>
  <c r="C1231" i="4"/>
  <c r="C1230" i="4"/>
  <c r="C1229" i="4"/>
  <c r="C1228" i="4"/>
  <c r="C1227" i="4"/>
  <c r="C1226" i="4"/>
  <c r="C1225" i="4"/>
  <c r="C1224" i="4"/>
  <c r="C1223" i="4"/>
  <c r="C1222" i="4"/>
  <c r="C1221" i="4"/>
  <c r="C1220" i="4"/>
  <c r="C1219" i="4"/>
  <c r="C1218" i="4"/>
  <c r="C1217" i="4"/>
  <c r="C1216" i="4"/>
  <c r="C1215" i="4"/>
  <c r="C1214" i="4"/>
  <c r="C1213" i="4"/>
  <c r="C1212" i="4"/>
  <c r="C1211" i="4"/>
  <c r="C1210" i="4"/>
  <c r="C1209" i="4"/>
  <c r="C1208" i="4"/>
  <c r="C1207" i="4"/>
  <c r="C1206" i="4"/>
  <c r="C1205" i="4"/>
  <c r="C1204" i="4"/>
  <c r="C1203" i="4"/>
  <c r="C1202" i="4"/>
  <c r="C1201" i="4"/>
  <c r="C1200" i="4"/>
  <c r="C1199" i="4"/>
  <c r="C1198" i="4"/>
  <c r="C1197" i="4"/>
  <c r="C1196" i="4"/>
  <c r="C1195" i="4"/>
  <c r="C1194" i="4"/>
  <c r="C1193" i="4"/>
  <c r="C1192" i="4"/>
  <c r="C1191" i="4"/>
  <c r="C1190" i="4"/>
  <c r="C1189" i="4"/>
  <c r="C1188" i="4"/>
  <c r="C1187" i="4"/>
  <c r="C1186" i="4"/>
  <c r="C1185" i="4"/>
  <c r="C1184" i="4"/>
  <c r="C1183" i="4"/>
  <c r="C1182" i="4"/>
  <c r="C1181" i="4"/>
  <c r="C1180" i="4"/>
  <c r="C1179" i="4"/>
  <c r="C1178" i="4"/>
  <c r="C1177" i="4"/>
  <c r="C1176" i="4"/>
  <c r="C1175" i="4"/>
  <c r="C1174" i="4"/>
  <c r="C1173" i="4"/>
  <c r="C1172" i="4"/>
  <c r="C1171" i="4"/>
  <c r="C1170" i="4"/>
  <c r="C1169" i="4"/>
  <c r="C1168" i="4"/>
  <c r="C1167" i="4"/>
  <c r="C1166" i="4"/>
  <c r="C1165" i="4"/>
  <c r="C1164" i="4"/>
  <c r="C1163" i="4"/>
  <c r="C1162" i="4"/>
  <c r="C1161" i="4"/>
  <c r="C1160" i="4"/>
  <c r="C1159" i="4"/>
  <c r="C1158" i="4"/>
  <c r="C1157" i="4"/>
  <c r="C1156" i="4"/>
  <c r="C1155" i="4"/>
  <c r="C1154" i="4"/>
  <c r="C1153" i="4"/>
  <c r="C1152" i="4"/>
  <c r="C1151" i="4"/>
  <c r="C1150" i="4"/>
  <c r="C1149" i="4"/>
  <c r="C1148" i="4"/>
  <c r="C1147" i="4"/>
  <c r="C1146" i="4"/>
  <c r="C1145" i="4"/>
  <c r="C1144" i="4"/>
  <c r="C1143" i="4"/>
  <c r="C1142" i="4"/>
  <c r="C1141" i="4"/>
  <c r="C1140" i="4"/>
  <c r="C1139" i="4"/>
  <c r="C1138" i="4"/>
  <c r="C1137" i="4"/>
  <c r="C1136" i="4"/>
  <c r="C1135" i="4"/>
  <c r="C1134" i="4"/>
  <c r="C1133" i="4"/>
  <c r="C1132" i="4"/>
  <c r="C1131" i="4"/>
  <c r="C1130" i="4"/>
  <c r="C1129" i="4"/>
  <c r="C1128" i="4"/>
  <c r="C1127" i="4"/>
  <c r="C1126" i="4"/>
  <c r="C1125" i="4"/>
  <c r="C1124" i="4"/>
  <c r="C1123" i="4" s="1"/>
  <c r="B1123" i="4"/>
  <c r="C1122" i="4"/>
  <c r="C1121" i="4"/>
  <c r="C1120" i="4"/>
  <c r="C1119" i="4"/>
  <c r="C1118" i="4"/>
  <c r="C1117" i="4"/>
  <c r="C1116" i="4"/>
  <c r="C1115" i="4"/>
  <c r="C1114" i="4"/>
  <c r="C1113" i="4"/>
  <c r="C1112" i="4"/>
  <c r="C1111" i="4"/>
  <c r="C1110" i="4"/>
  <c r="C1109" i="4"/>
  <c r="C1108" i="4"/>
  <c r="C1107" i="4"/>
  <c r="C1106" i="4"/>
  <c r="C1105" i="4"/>
  <c r="C1104" i="4"/>
  <c r="C1103" i="4"/>
  <c r="C1102" i="4"/>
  <c r="C1101" i="4"/>
  <c r="C1100" i="4"/>
  <c r="C1099" i="4"/>
  <c r="C1098" i="4"/>
  <c r="C1097" i="4"/>
  <c r="C1096" i="4"/>
  <c r="C1095" i="4"/>
  <c r="C1094" i="4"/>
  <c r="C1093" i="4"/>
  <c r="C1092" i="4"/>
  <c r="C1091" i="4"/>
  <c r="C1090" i="4"/>
  <c r="C1089" i="4"/>
  <c r="C1088" i="4"/>
  <c r="C1087" i="4"/>
  <c r="C1086" i="4"/>
  <c r="C1085" i="4"/>
  <c r="C1084" i="4"/>
  <c r="C1083" i="4"/>
  <c r="C1082" i="4"/>
  <c r="C1081" i="4"/>
  <c r="C1080" i="4"/>
  <c r="C1079" i="4"/>
  <c r="C1078" i="4"/>
  <c r="C1077" i="4"/>
  <c r="C1076" i="4"/>
  <c r="C1075" i="4"/>
  <c r="C1074" i="4"/>
  <c r="C1073" i="4"/>
  <c r="C1072" i="4"/>
  <c r="C1071" i="4"/>
  <c r="C1070" i="4"/>
  <c r="C1069" i="4"/>
  <c r="C1068" i="4"/>
  <c r="C1067" i="4"/>
  <c r="C1066" i="4"/>
  <c r="C1065" i="4"/>
  <c r="C1064" i="4"/>
  <c r="C1063" i="4"/>
  <c r="C1062" i="4"/>
  <c r="C1061" i="4"/>
  <c r="C1060" i="4"/>
  <c r="C1059" i="4"/>
  <c r="C1058" i="4"/>
  <c r="C1057" i="4"/>
  <c r="C1056" i="4"/>
  <c r="C1055" i="4"/>
  <c r="C1054" i="4"/>
  <c r="C1053" i="4"/>
  <c r="C1052" i="4"/>
  <c r="C1051" i="4"/>
  <c r="C1050" i="4"/>
  <c r="C1049" i="4"/>
  <c r="C1048" i="4"/>
  <c r="C1047" i="4"/>
  <c r="C1046" i="4"/>
  <c r="C1045" i="4"/>
  <c r="C1043" i="4"/>
  <c r="C1042" i="4"/>
  <c r="C1041" i="4"/>
  <c r="C1040" i="4"/>
  <c r="C1039" i="4"/>
  <c r="C1038" i="4"/>
  <c r="C1037" i="4"/>
  <c r="C1036" i="4"/>
  <c r="C1035" i="4"/>
  <c r="C1034" i="4"/>
  <c r="C1033" i="4"/>
  <c r="C1032" i="4"/>
  <c r="C1031" i="4"/>
  <c r="C1030" i="4"/>
  <c r="C1029" i="4"/>
  <c r="C1028" i="4"/>
  <c r="C1027" i="4"/>
  <c r="C1026" i="4"/>
  <c r="C1025" i="4"/>
  <c r="C1024" i="4"/>
  <c r="C1023" i="4"/>
  <c r="C1022" i="4"/>
  <c r="C1021" i="4"/>
  <c r="C1020" i="4"/>
  <c r="C1019" i="4"/>
  <c r="C1018" i="4"/>
  <c r="C1017" i="4"/>
  <c r="C1016" i="4"/>
  <c r="C1015" i="4"/>
  <c r="C1014" i="4"/>
  <c r="C1013" i="4"/>
  <c r="C1012" i="4"/>
  <c r="C1011" i="4"/>
  <c r="C1010" i="4"/>
  <c r="C1009" i="4"/>
  <c r="C1008" i="4"/>
  <c r="C1007" i="4"/>
  <c r="C1006" i="4"/>
  <c r="C1005" i="4"/>
  <c r="C996" i="4" s="1"/>
  <c r="C1004" i="4"/>
  <c r="C1003" i="4"/>
  <c r="C1002" i="4"/>
  <c r="C1001" i="4"/>
  <c r="C1000" i="4"/>
  <c r="C999" i="4"/>
  <c r="C998" i="4"/>
  <c r="C997" i="4"/>
  <c r="B996" i="4"/>
  <c r="C995" i="4"/>
  <c r="C994" i="4"/>
  <c r="C993" i="4"/>
  <c r="C992" i="4"/>
  <c r="C991" i="4"/>
  <c r="C990" i="4"/>
  <c r="C989" i="4"/>
  <c r="C988" i="4"/>
  <c r="C987" i="4"/>
  <c r="C986" i="4"/>
  <c r="C985" i="4"/>
  <c r="C984" i="4"/>
  <c r="C983" i="4"/>
  <c r="C982" i="4"/>
  <c r="C981" i="4"/>
  <c r="C980" i="4"/>
  <c r="C979" i="4"/>
  <c r="C978" i="4"/>
  <c r="C977" i="4"/>
  <c r="C976" i="4"/>
  <c r="C975" i="4"/>
  <c r="C974" i="4"/>
  <c r="C973" i="4"/>
  <c r="C972" i="4"/>
  <c r="C971" i="4"/>
  <c r="C970" i="4"/>
  <c r="C969" i="4"/>
  <c r="C968" i="4"/>
  <c r="C967" i="4"/>
  <c r="C966" i="4"/>
  <c r="C965" i="4"/>
  <c r="C964" i="4"/>
  <c r="C963" i="4"/>
  <c r="C962" i="4"/>
  <c r="C961" i="4"/>
  <c r="C960" i="4"/>
  <c r="C959" i="4"/>
  <c r="C958" i="4"/>
  <c r="C957" i="4"/>
  <c r="C956" i="4"/>
  <c r="C955" i="4"/>
  <c r="C954" i="4"/>
  <c r="C953" i="4"/>
  <c r="C952" i="4"/>
  <c r="C951" i="4"/>
  <c r="C950" i="4"/>
  <c r="C949" i="4"/>
  <c r="C948" i="4"/>
  <c r="C947" i="4"/>
  <c r="C946" i="4"/>
  <c r="C945" i="4"/>
  <c r="C944" i="4"/>
  <c r="C943" i="4"/>
  <c r="C942" i="4"/>
  <c r="C941" i="4"/>
  <c r="C940" i="4"/>
  <c r="C939" i="4"/>
  <c r="C938" i="4"/>
  <c r="C937" i="4"/>
  <c r="C936" i="4"/>
  <c r="C935" i="4"/>
  <c r="C934" i="4"/>
  <c r="C933" i="4"/>
  <c r="C932" i="4"/>
  <c r="C931" i="4"/>
  <c r="C930" i="4"/>
  <c r="C929" i="4"/>
  <c r="C928" i="4"/>
  <c r="C927" i="4"/>
  <c r="C926" i="4"/>
  <c r="C925" i="4"/>
  <c r="C924" i="4"/>
  <c r="C923" i="4"/>
  <c r="C922" i="4"/>
  <c r="C921" i="4"/>
  <c r="C920" i="4"/>
  <c r="C919" i="4"/>
  <c r="C918" i="4"/>
  <c r="C917" i="4"/>
  <c r="C916" i="4"/>
  <c r="C915" i="4"/>
  <c r="C914" i="4"/>
  <c r="C913" i="4"/>
  <c r="C912" i="4"/>
  <c r="C911" i="4"/>
  <c r="C910" i="4"/>
  <c r="C909" i="4"/>
  <c r="C908" i="4"/>
  <c r="C907" i="4"/>
  <c r="C906" i="4"/>
  <c r="C905" i="4"/>
  <c r="C904" i="4"/>
  <c r="C903" i="4"/>
  <c r="C902" i="4"/>
  <c r="C901" i="4"/>
  <c r="C900" i="4"/>
  <c r="C899" i="4"/>
  <c r="C898" i="4"/>
  <c r="C897" i="4"/>
  <c r="C896" i="4"/>
  <c r="C895" i="4"/>
  <c r="C894" i="4"/>
  <c r="C893" i="4"/>
  <c r="C892" i="4"/>
  <c r="C891" i="4"/>
  <c r="C890" i="4"/>
  <c r="C889" i="4"/>
  <c r="C888" i="4"/>
  <c r="C887" i="4"/>
  <c r="C886" i="4"/>
  <c r="C885" i="4"/>
  <c r="C884" i="4"/>
  <c r="C883" i="4"/>
  <c r="C882" i="4"/>
  <c r="C881" i="4"/>
  <c r="C880" i="4"/>
  <c r="C879" i="4"/>
  <c r="C878" i="4"/>
  <c r="C877" i="4"/>
  <c r="C876" i="4"/>
  <c r="C875" i="4"/>
  <c r="C874" i="4"/>
  <c r="C873" i="4"/>
  <c r="C872" i="4"/>
  <c r="C871" i="4"/>
  <c r="C870" i="4"/>
  <c r="C869" i="4"/>
  <c r="C868" i="4"/>
  <c r="C867" i="4"/>
  <c r="C866" i="4"/>
  <c r="C865" i="4"/>
  <c r="C864" i="4"/>
  <c r="C863" i="4"/>
  <c r="C862" i="4"/>
  <c r="C861" i="4"/>
  <c r="C860" i="4"/>
  <c r="C859" i="4"/>
  <c r="C858" i="4"/>
  <c r="C857" i="4"/>
  <c r="C856" i="4"/>
  <c r="C855" i="4"/>
  <c r="C854" i="4"/>
  <c r="C853" i="4"/>
  <c r="C852" i="4"/>
  <c r="C851" i="4"/>
  <c r="C850" i="4"/>
  <c r="C849" i="4"/>
  <c r="C848" i="4"/>
  <c r="C847" i="4"/>
  <c r="C846" i="4"/>
  <c r="C845" i="4"/>
  <c r="C844" i="4"/>
  <c r="C843" i="4"/>
  <c r="C842" i="4"/>
  <c r="C841" i="4"/>
  <c r="C840" i="4"/>
  <c r="C839" i="4"/>
  <c r="C838" i="4"/>
  <c r="C837" i="4"/>
  <c r="C836" i="4"/>
  <c r="C835" i="4"/>
  <c r="C834" i="4"/>
  <c r="C833" i="4"/>
  <c r="C832" i="4"/>
  <c r="C831" i="4"/>
  <c r="C830" i="4"/>
  <c r="C829" i="4"/>
  <c r="C828" i="4"/>
  <c r="C827" i="4"/>
  <c r="C826" i="4"/>
  <c r="C825" i="4"/>
  <c r="C824" i="4"/>
  <c r="C814" i="4" s="1"/>
  <c r="C823" i="4"/>
  <c r="C822" i="4"/>
  <c r="C821" i="4"/>
  <c r="C820" i="4"/>
  <c r="C819" i="4"/>
  <c r="C818" i="4"/>
  <c r="C817" i="4"/>
  <c r="C816" i="4"/>
  <c r="C815" i="4"/>
  <c r="B814" i="4"/>
  <c r="C813" i="4"/>
  <c r="C812" i="4"/>
  <c r="C811" i="4"/>
  <c r="C810" i="4"/>
  <c r="C809" i="4"/>
  <c r="C808" i="4"/>
  <c r="C807" i="4"/>
  <c r="C806" i="4"/>
  <c r="C805" i="4"/>
  <c r="C804" i="4"/>
  <c r="C803" i="4"/>
  <c r="C802" i="4"/>
  <c r="C801" i="4"/>
  <c r="C800" i="4"/>
  <c r="C799" i="4"/>
  <c r="C798" i="4"/>
  <c r="C797" i="4"/>
  <c r="C796" i="4"/>
  <c r="C795" i="4"/>
  <c r="C794" i="4"/>
  <c r="C793" i="4"/>
  <c r="C792" i="4"/>
  <c r="C791" i="4"/>
  <c r="C790" i="4"/>
  <c r="C789" i="4"/>
  <c r="C788" i="4"/>
  <c r="C787" i="4"/>
  <c r="C786" i="4"/>
  <c r="C785" i="4"/>
  <c r="C784" i="4"/>
  <c r="C783" i="4"/>
  <c r="C782" i="4"/>
  <c r="C781" i="4"/>
  <c r="C780" i="4"/>
  <c r="C779" i="4"/>
  <c r="C778" i="4"/>
  <c r="C777" i="4"/>
  <c r="C776" i="4"/>
  <c r="C775" i="4"/>
  <c r="C774" i="4"/>
  <c r="C773" i="4"/>
  <c r="C772" i="4"/>
  <c r="C771" i="4"/>
  <c r="C770" i="4"/>
  <c r="C769" i="4"/>
  <c r="C768" i="4"/>
  <c r="C767" i="4"/>
  <c r="C766" i="4"/>
  <c r="C765" i="4"/>
  <c r="C764" i="4"/>
  <c r="C763" i="4"/>
  <c r="C762" i="4"/>
  <c r="C761" i="4"/>
  <c r="C760" i="4"/>
  <c r="C759" i="4"/>
  <c r="C758" i="4"/>
  <c r="C757" i="4"/>
  <c r="C756" i="4"/>
  <c r="C755" i="4"/>
  <c r="C754" i="4"/>
  <c r="C753" i="4"/>
  <c r="C752" i="4"/>
  <c r="C751" i="4"/>
  <c r="C750" i="4"/>
  <c r="C749" i="4"/>
  <c r="C748" i="4"/>
  <c r="C747" i="4"/>
  <c r="C746" i="4"/>
  <c r="C745" i="4"/>
  <c r="C744" i="4"/>
  <c r="C743" i="4"/>
  <c r="C742" i="4"/>
  <c r="C741" i="4"/>
  <c r="C740" i="4"/>
  <c r="C739" i="4"/>
  <c r="C738" i="4"/>
  <c r="C737" i="4"/>
  <c r="C736" i="4"/>
  <c r="C735" i="4"/>
  <c r="C734" i="4"/>
  <c r="C733" i="4"/>
  <c r="C732" i="4"/>
  <c r="C731" i="4"/>
  <c r="C730" i="4"/>
  <c r="C729" i="4"/>
  <c r="C728" i="4"/>
  <c r="C727" i="4"/>
  <c r="C726" i="4"/>
  <c r="C725" i="4"/>
  <c r="C724" i="4"/>
  <c r="C723" i="4"/>
  <c r="C722" i="4"/>
  <c r="C721" i="4"/>
  <c r="C720" i="4"/>
  <c r="C719" i="4"/>
  <c r="C718" i="4"/>
  <c r="C717" i="4"/>
  <c r="C716" i="4"/>
  <c r="C715" i="4"/>
  <c r="C714" i="4"/>
  <c r="C713" i="4"/>
  <c r="C711" i="4"/>
  <c r="C710" i="4"/>
  <c r="C709" i="4"/>
  <c r="C708" i="4"/>
  <c r="C707" i="4"/>
  <c r="C706" i="4"/>
  <c r="C705" i="4"/>
  <c r="C704" i="4"/>
  <c r="C703" i="4"/>
  <c r="C702" i="4"/>
  <c r="C701" i="4"/>
  <c r="C700" i="4"/>
  <c r="C699" i="4"/>
  <c r="C698" i="4"/>
  <c r="C697" i="4"/>
  <c r="C696" i="4"/>
  <c r="C695" i="4"/>
  <c r="C694" i="4"/>
  <c r="C693" i="4"/>
  <c r="C692" i="4"/>
  <c r="C691" i="4"/>
  <c r="C690" i="4"/>
  <c r="C689" i="4"/>
  <c r="C688" i="4"/>
  <c r="C687" i="4"/>
  <c r="C686" i="4"/>
  <c r="C685" i="4"/>
  <c r="C684" i="4"/>
  <c r="C683" i="4"/>
  <c r="C682" i="4"/>
  <c r="C681" i="4"/>
  <c r="C680" i="4"/>
  <c r="C679" i="4"/>
  <c r="C678" i="4"/>
  <c r="C677" i="4"/>
  <c r="C676" i="4"/>
  <c r="C675" i="4"/>
  <c r="C674" i="4"/>
  <c r="C673" i="4" s="1"/>
  <c r="B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O556" i="4"/>
  <c r="O557" i="4" s="1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26" i="4" s="1"/>
  <c r="C532" i="4"/>
  <c r="C531" i="4"/>
  <c r="C530" i="4"/>
  <c r="C529" i="4"/>
  <c r="C528" i="4"/>
  <c r="C527" i="4"/>
  <c r="B526" i="4"/>
  <c r="H2" i="4" s="1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 s="1"/>
  <c r="B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5" i="4" s="1"/>
  <c r="C268" i="4"/>
  <c r="C267" i="4"/>
  <c r="C266" i="4"/>
  <c r="B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 s="1"/>
  <c r="B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 s="1"/>
  <c r="B3" i="4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70" i="1" s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B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 s="1"/>
  <c r="B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79" i="1" s="1"/>
  <c r="C1080" i="1"/>
  <c r="B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 s="1"/>
  <c r="B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16" i="1" s="1"/>
  <c r="C825" i="1"/>
  <c r="C824" i="1"/>
  <c r="C823" i="1"/>
  <c r="C822" i="1"/>
  <c r="C821" i="1"/>
  <c r="C820" i="1"/>
  <c r="C819" i="1"/>
  <c r="C818" i="1"/>
  <c r="C817" i="1"/>
  <c r="B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P716" i="1"/>
  <c r="C716" i="1"/>
  <c r="C715" i="1"/>
  <c r="C714" i="1"/>
  <c r="C713" i="1"/>
  <c r="C712" i="1"/>
  <c r="C711" i="1"/>
  <c r="C710" i="1"/>
  <c r="C709" i="1"/>
  <c r="C708" i="1"/>
  <c r="C707" i="1"/>
  <c r="C706" i="1"/>
  <c r="C704" i="1" s="1"/>
  <c r="C705" i="1"/>
  <c r="B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P581" i="1"/>
  <c r="C581" i="1"/>
  <c r="C580" i="1"/>
  <c r="C579" i="1"/>
  <c r="C578" i="1"/>
  <c r="C577" i="1" s="1"/>
  <c r="B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57" i="1" s="1"/>
  <c r="C466" i="1"/>
  <c r="C465" i="1"/>
  <c r="C464" i="1"/>
  <c r="C463" i="1"/>
  <c r="C462" i="1"/>
  <c r="C461" i="1"/>
  <c r="C460" i="1"/>
  <c r="C459" i="1"/>
  <c r="C458" i="1"/>
  <c r="B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1" i="1" s="1"/>
  <c r="C327" i="1"/>
  <c r="C326" i="1"/>
  <c r="C325" i="1"/>
  <c r="C324" i="1"/>
  <c r="C323" i="1"/>
  <c r="C322" i="1"/>
  <c r="B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1" i="1" s="1"/>
  <c r="C188" i="1"/>
  <c r="C187" i="1"/>
  <c r="C186" i="1"/>
  <c r="C185" i="1"/>
  <c r="O184" i="1"/>
  <c r="C184" i="1"/>
  <c r="C183" i="1"/>
  <c r="C182" i="1"/>
  <c r="B181" i="1"/>
  <c r="H2" i="1" s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 s="1"/>
  <c r="B3" i="1"/>
  <c r="K826" i="12" l="1"/>
</calcChain>
</file>

<file path=xl/sharedStrings.xml><?xml version="1.0" encoding="utf-8"?>
<sst xmlns="http://schemas.openxmlformats.org/spreadsheetml/2006/main" count="20356" uniqueCount="4828">
  <si>
    <t xml:space="preserve">Jump to Current Month </t>
  </si>
  <si>
    <t>Funded Amount</t>
  </si>
  <si>
    <t>Mgmt Fee Total</t>
  </si>
  <si>
    <t xml:space="preserve">Funding date </t>
  </si>
  <si>
    <t>Partner</t>
  </si>
  <si>
    <t>New / Renewal</t>
  </si>
  <si>
    <t>Notes</t>
  </si>
  <si>
    <t>2025 YTD</t>
  </si>
  <si>
    <t>Jared/Thomas</t>
  </si>
  <si>
    <t>2024 total</t>
  </si>
  <si>
    <t>Azores - 1.25%</t>
  </si>
  <si>
    <t>Platform</t>
  </si>
  <si>
    <t>Renew</t>
  </si>
  <si>
    <t>Justin</t>
  </si>
  <si>
    <t>Learning Academy of Austell - 1.25%</t>
  </si>
  <si>
    <t>Direct</t>
  </si>
  <si>
    <t xml:space="preserve">Justin 5% of upsell (8% comm) </t>
  </si>
  <si>
    <t>Salary</t>
  </si>
  <si>
    <t>Kissable Dental - 1.25%</t>
  </si>
  <si>
    <t>Guru</t>
  </si>
  <si>
    <t>Roger Bell - 1.25%</t>
  </si>
  <si>
    <t>AFN</t>
  </si>
  <si>
    <t>Justin Renew</t>
  </si>
  <si>
    <t>Accurate Home Services - 1.25%</t>
  </si>
  <si>
    <t>Capital Gurus</t>
  </si>
  <si>
    <t>Justin rev share Renew</t>
  </si>
  <si>
    <t>ISO New</t>
  </si>
  <si>
    <t>Valor Creations - 1.75%</t>
  </si>
  <si>
    <t>New</t>
  </si>
  <si>
    <t xml:space="preserve">Justin 5% of upsell (9% comm) </t>
  </si>
  <si>
    <t>Yes</t>
  </si>
  <si>
    <t>ISO Renew</t>
  </si>
  <si>
    <t>Reisch Plumbing - 1.25%</t>
  </si>
  <si>
    <t>Sector - 1.75%</t>
  </si>
  <si>
    <t>Bailey Building &amp; Construction - 1.75%</t>
  </si>
  <si>
    <t xml:space="preserve">Justin 5% of upsell (4% comm) </t>
  </si>
  <si>
    <t>Leveris - 1.75%</t>
  </si>
  <si>
    <t>American Crematory - 1.25%</t>
  </si>
  <si>
    <t>Alcaraz Trucking - 1.25%</t>
  </si>
  <si>
    <t>Five Guys Transportation - 1.75%</t>
  </si>
  <si>
    <t>Glazer/Samson</t>
  </si>
  <si>
    <t>New - PIF</t>
  </si>
  <si>
    <t>Cano - 1.25%</t>
  </si>
  <si>
    <t>Macrays Seafood - 1.75%</t>
  </si>
  <si>
    <t>Finley Interests - 1.75%</t>
  </si>
  <si>
    <t>Justin rev share. Gurus $15k Syn</t>
  </si>
  <si>
    <t>Frickers - 1.25%</t>
  </si>
  <si>
    <t>Della Infotech - 1.25%</t>
  </si>
  <si>
    <t>Justin rev share Renew. Gurus $15k syn</t>
  </si>
  <si>
    <t>The Martinez Painting - 1.25%</t>
  </si>
  <si>
    <t>TechSys - 1.75%</t>
  </si>
  <si>
    <t xml:space="preserve">Justin 5% of upsell (10% comm) </t>
  </si>
  <si>
    <t>Like Dreams - 1.25%</t>
  </si>
  <si>
    <t>2JM Mixing Center - 1.75%</t>
  </si>
  <si>
    <t xml:space="preserve">Justin 5% of upsell (12% comm) </t>
  </si>
  <si>
    <t>CLB Trucking - 1.25%</t>
  </si>
  <si>
    <t>CM Bruce - 1.25%</t>
  </si>
  <si>
    <t>316 Group - 1.75%</t>
  </si>
  <si>
    <t>Justin rev share. Gurus $15k syn</t>
  </si>
  <si>
    <t>Canyon Building - 1.75%</t>
  </si>
  <si>
    <t>Byzloan / Vetted</t>
  </si>
  <si>
    <t>Wright Family Medical - 1.25%</t>
  </si>
  <si>
    <t>Patroncito - 1.75%</t>
  </si>
  <si>
    <t>Sierra Consulting - 1.25%</t>
  </si>
  <si>
    <t>The Cervantes Group - 1.75%</t>
  </si>
  <si>
    <t>DCE Construction - 1.75%</t>
  </si>
  <si>
    <t>Incomm Summits - 1.75%</t>
  </si>
  <si>
    <t>New - Add On</t>
  </si>
  <si>
    <t>Henderson Recovery - 1.25%</t>
  </si>
  <si>
    <t>Lendflow</t>
  </si>
  <si>
    <t>RD3 Muslce Motors - 1.75%</t>
  </si>
  <si>
    <t>Reclamation Furnishings - 1.75%</t>
  </si>
  <si>
    <t>Engineered Air - 1.75%</t>
  </si>
  <si>
    <t>Glazer</t>
  </si>
  <si>
    <t>Custom Aire - 1.75%</t>
  </si>
  <si>
    <t>Samson</t>
  </si>
  <si>
    <t>5M - 1.75%</t>
  </si>
  <si>
    <t>MO Paradice - 1.75%</t>
  </si>
  <si>
    <t>Kings Heating and Air - 1.75%</t>
  </si>
  <si>
    <t>Candlelight Cabinetry - 1.25%</t>
  </si>
  <si>
    <t>Designer Kitchen and Bath / Turns Incoprated - 1.75%</t>
  </si>
  <si>
    <t>Fejes - 1.25%</t>
  </si>
  <si>
    <t>Hoffman / Discount Kars - 1.25%</t>
  </si>
  <si>
    <t>Tumblin Automotive - 1.75%</t>
  </si>
  <si>
    <t>Wolverine - 1.25%</t>
  </si>
  <si>
    <t>Engineered Air - 1.25%</t>
  </si>
  <si>
    <t>Roadlink - 1.25%</t>
  </si>
  <si>
    <t>Rocksteady Technology - 1.25%</t>
  </si>
  <si>
    <t>MC McColum Holdings - 1.75%</t>
  </si>
  <si>
    <t>Juvelo - 1.25%</t>
  </si>
  <si>
    <t>Pierce - 1.25%</t>
  </si>
  <si>
    <t>Finno Services - 1.25%</t>
  </si>
  <si>
    <t>Byzloan</t>
  </si>
  <si>
    <t>Chief Engineering - 1.25%</t>
  </si>
  <si>
    <t>Able Helpers - 1.25%</t>
  </si>
  <si>
    <t>Resource Contracting - 1.75%</t>
  </si>
  <si>
    <t>Mac Mechanical - 1.75%</t>
  </si>
  <si>
    <t>Henna Industires - 1.75%</t>
  </si>
  <si>
    <t xml:space="preserve">Justin 5% of upsell (6% comm) </t>
  </si>
  <si>
    <t>Atlantic Asphalt - 1.75%</t>
  </si>
  <si>
    <t>Thursh &amp; Son - 1.75%</t>
  </si>
  <si>
    <t>R&amp;B Rising Star - 1.75%</t>
  </si>
  <si>
    <t>Lee Nails - 1.25%</t>
  </si>
  <si>
    <t>Concrete Services - 1.25%</t>
  </si>
  <si>
    <t>Esteemed - 1.25%</t>
  </si>
  <si>
    <t>Galt Ocean - 1.25%</t>
  </si>
  <si>
    <t>Graffiti Graphics - 1.25%</t>
  </si>
  <si>
    <t>JMEC - 1.25%</t>
  </si>
  <si>
    <t>Burton - 1.75%</t>
  </si>
  <si>
    <t>Anfield - 1.25%</t>
  </si>
  <si>
    <t>Oral Care Technologies - 1.75%</t>
  </si>
  <si>
    <t>Lake State - 1.75%</t>
  </si>
  <si>
    <t>Marathon Moving - 1.25%</t>
  </si>
  <si>
    <t>Loughlin and Son Construction - 1.75%</t>
  </si>
  <si>
    <t>HOK Automotive - 1.25%</t>
  </si>
  <si>
    <t>Velocity USA - 1.75%</t>
  </si>
  <si>
    <t>Business Funding Source</t>
  </si>
  <si>
    <t>Advanced Technology - 1.75%</t>
  </si>
  <si>
    <t>PMF</t>
  </si>
  <si>
    <t>Builder 1 - 1.75%</t>
  </si>
  <si>
    <t>Kenbrook - 1.25%</t>
  </si>
  <si>
    <t>Hoosier Body - 1.75%</t>
  </si>
  <si>
    <t>Great Lakes Biomedical - 1.25%</t>
  </si>
  <si>
    <t>Oklahoma Motorcars - 1.75%</t>
  </si>
  <si>
    <t>Montealegre Finazas - 1.75%</t>
  </si>
  <si>
    <t>Craven Performance and Off- Road - 1.75%</t>
  </si>
  <si>
    <t>Maximum Advantage Building - 1.25%</t>
  </si>
  <si>
    <t>Collage Day School - 1.75%</t>
  </si>
  <si>
    <t>Law Office Russell Kerr  - 1.75%</t>
  </si>
  <si>
    <t>LE3 - 1.25%</t>
  </si>
  <si>
    <t>Glider Express - 1.75%</t>
  </si>
  <si>
    <t>Sports Lab - 1.75%</t>
  </si>
  <si>
    <t>Ricci Law - 1.75%</t>
  </si>
  <si>
    <t>Patroncito - 1.25%</t>
  </si>
  <si>
    <t>Quality Compressor - 1.25%</t>
  </si>
  <si>
    <t>Loanability</t>
  </si>
  <si>
    <t>Pro Flooring - 1.75%</t>
  </si>
  <si>
    <t>LJ Construction - 1.25%</t>
  </si>
  <si>
    <t>Upright Construction - 1.75%</t>
  </si>
  <si>
    <t>Palmieri Movers - 1.75%</t>
  </si>
  <si>
    <t>Lancaster - 1.25%</t>
  </si>
  <si>
    <t>Davison Vision Center - 1.75%</t>
  </si>
  <si>
    <t>REI - 1.75%</t>
  </si>
  <si>
    <t>Decorative Ventures - 1.25%</t>
  </si>
  <si>
    <t>Renew - Add On</t>
  </si>
  <si>
    <t>Southpoint Motors - 1.75%</t>
  </si>
  <si>
    <t>Iris Nail Bar - 1.75%</t>
  </si>
  <si>
    <t xml:space="preserve">First Union </t>
  </si>
  <si>
    <t>J Bachman Design - 1.75%</t>
  </si>
  <si>
    <t xml:space="preserve">Justin 5% of upsell (5% comm) </t>
  </si>
  <si>
    <t>Muzco - 1.25%</t>
  </si>
  <si>
    <t>Exterior Solutions - 1.75%</t>
  </si>
  <si>
    <t>Mcmillan and Quinn - 1.25%</t>
  </si>
  <si>
    <t>Breeland - 1.25%</t>
  </si>
  <si>
    <t>Whiskey Business Ventures - 1.75%</t>
  </si>
  <si>
    <t>Havana - 1.75%</t>
  </si>
  <si>
    <t>Pro Turf - 1.25%</t>
  </si>
  <si>
    <t>Sierra Forrest - 1.25%</t>
  </si>
  <si>
    <t>LHB Holdings - 1.75%</t>
  </si>
  <si>
    <t>Crazyhorse Campground - 1.75%</t>
  </si>
  <si>
    <t>New Cabinet Company - 1.25%</t>
  </si>
  <si>
    <t>JP Transporation - 1.25%</t>
  </si>
  <si>
    <t>Lee Hoffman Roofing - 1.75%</t>
  </si>
  <si>
    <t>Accurate Site Development - 1.75%</t>
  </si>
  <si>
    <t>Adept Technolgoies - 1.75%</t>
  </si>
  <si>
    <t>Samson/Glazer</t>
  </si>
  <si>
    <t>Soap Gal - 1.75%</t>
  </si>
  <si>
    <t>Pav M&amp;E - 1.75%</t>
  </si>
  <si>
    <t xml:space="preserve">Justin 5% of upsell (5.5% comm) </t>
  </si>
  <si>
    <t>Wooden World Enterprise - 1.75%</t>
  </si>
  <si>
    <t>BRS Trucking - 1.75%</t>
  </si>
  <si>
    <t>Direct/Vetted</t>
  </si>
  <si>
    <t xml:space="preserve">Justin 5% of upsell (3% comm) </t>
  </si>
  <si>
    <t>Bayshore Transport - 1.75%</t>
  </si>
  <si>
    <t>KW Earthworks - 1.75%</t>
  </si>
  <si>
    <t>Baron Tour - 1.75%</t>
  </si>
  <si>
    <t>Jays Handyman Service - 1.75%</t>
  </si>
  <si>
    <t>K2 Vision - 1.75%</t>
  </si>
  <si>
    <t>Lily Pad - 1.75%</t>
  </si>
  <si>
    <t>United Tire Service - 1.75%</t>
  </si>
  <si>
    <t>Viking</t>
  </si>
  <si>
    <t>Saci - 1.25%</t>
  </si>
  <si>
    <t>Flex Solutions - 1.75%</t>
  </si>
  <si>
    <t>Steve's Electric - 1.75%</t>
  </si>
  <si>
    <t>Industrial Fence Group - 1.25%</t>
  </si>
  <si>
    <t>PGI Distributors - 1.75%</t>
  </si>
  <si>
    <t>Northwest Florida Landscape - 1.75%</t>
  </si>
  <si>
    <t>Dial Construction - 1.75%</t>
  </si>
  <si>
    <t>Stronghand - 1.25%</t>
  </si>
  <si>
    <t>Capital Gurus / Vetted</t>
  </si>
  <si>
    <t>James Gray - 1.25%</t>
  </si>
  <si>
    <t>Liberty Building - 1.75%</t>
  </si>
  <si>
    <t>Southern Spear - 1.75%</t>
  </si>
  <si>
    <t>WC Clark - 1.75%</t>
  </si>
  <si>
    <t>Hyson's Towing - 1.75%</t>
  </si>
  <si>
    <t>Onyx Capital Partners - 1.75%</t>
  </si>
  <si>
    <t>JB Rogers Landscape - 1.25%</t>
  </si>
  <si>
    <t>Citizens</t>
  </si>
  <si>
    <t>Precision Powered Products - 1.75%</t>
  </si>
  <si>
    <t>Pacific Aviation - 1.25%</t>
  </si>
  <si>
    <t>Control Fire - 1.25%</t>
  </si>
  <si>
    <t>Oakland Linen - 1.25%</t>
  </si>
  <si>
    <t>Vecmar - 1.75%</t>
  </si>
  <si>
    <t xml:space="preserve">Direct </t>
  </si>
  <si>
    <t xml:space="preserve">Justin 5% of upsell (2.5% comm) </t>
  </si>
  <si>
    <t>ACA Transport - 1.25%</t>
  </si>
  <si>
    <t>GVS Hospitality - 1.25%</t>
  </si>
  <si>
    <t>STLM - 1.75%</t>
  </si>
  <si>
    <t>Biaggi - 1.75%</t>
  </si>
  <si>
    <t>ADC &amp; T - 1.75%</t>
  </si>
  <si>
    <t>Essential</t>
  </si>
  <si>
    <t>Rockstar Auto and Collision - 1.75%</t>
  </si>
  <si>
    <t>Acqua Di Mare - 1.75%</t>
  </si>
  <si>
    <t>H&amp;G Investment - 1.25%</t>
  </si>
  <si>
    <t>Perez - 1.75%</t>
  </si>
  <si>
    <t>Creative Caregivers - 1.75%</t>
  </si>
  <si>
    <t>JA&amp;D auto detailing - 1.75%</t>
  </si>
  <si>
    <t>Twisted G - 1.25%</t>
  </si>
  <si>
    <t>Reflection of You - 1.75%</t>
  </si>
  <si>
    <t>Rea Homes - 1.25%</t>
  </si>
  <si>
    <t xml:space="preserve">Justin 5% of upsell (7% comm) </t>
  </si>
  <si>
    <t>Victory Lane Motorcars - 1.75%</t>
  </si>
  <si>
    <t>Malt &amp; B - 1.25%</t>
  </si>
  <si>
    <t>Colorado Custom Carpet - 1.75%</t>
  </si>
  <si>
    <t>Penson and Green Security - 1.75%</t>
  </si>
  <si>
    <t>Edgar Flores - 1.75%</t>
  </si>
  <si>
    <t>Williamson Builders - 1.75%</t>
  </si>
  <si>
    <t>US Coachways  - 1.25%</t>
  </si>
  <si>
    <t>UW Coachways - 1.25%</t>
  </si>
  <si>
    <t>Samson west</t>
  </si>
  <si>
    <t>Titan Shoring - 1.25%</t>
  </si>
  <si>
    <t>Yarrow</t>
  </si>
  <si>
    <t>Riverside Meats - 1.25%</t>
  </si>
  <si>
    <t>Evolution Parking - 1.75%</t>
  </si>
  <si>
    <t>Stewart Automotive Group - 1.75%</t>
  </si>
  <si>
    <t>Paxton &amp; Associates - 1.75%</t>
  </si>
  <si>
    <t>Tri-Cities IT - 1.25%</t>
  </si>
  <si>
    <t>Unique Candies - 1.25%</t>
  </si>
  <si>
    <t>DIIBS Specialist - 1.25%</t>
  </si>
  <si>
    <t>Stripe A Lot - 1.25%</t>
  </si>
  <si>
    <t>Glazer / Samson</t>
  </si>
  <si>
    <t>NSI Construction - 1.25%</t>
  </si>
  <si>
    <t>Off Book</t>
  </si>
  <si>
    <t>Elephant Building Materials - 1.75%</t>
  </si>
  <si>
    <t xml:space="preserve">Justin 5% of upsell (11% comm) </t>
  </si>
  <si>
    <t>Barber</t>
  </si>
  <si>
    <t>Pipe ED - 1.25%</t>
  </si>
  <si>
    <t>JP Transporation Co - 1.25%</t>
  </si>
  <si>
    <t>Native Plumbing - 1.25%</t>
  </si>
  <si>
    <t>Gripon Group - 1.25%</t>
  </si>
  <si>
    <t>Cellini Group - 1.75%</t>
  </si>
  <si>
    <t>Constructora - 1.75%</t>
  </si>
  <si>
    <t>The Comfy Belly - 1.75%</t>
  </si>
  <si>
    <t>Triplett Brothers - 1.75%</t>
  </si>
  <si>
    <t>ANC - 1.25%</t>
  </si>
  <si>
    <t>Luciani Pump - 1.75%</t>
  </si>
  <si>
    <t>Bailey European  - 1.25%</t>
  </si>
  <si>
    <t>Blackwater Structures - 1.75%</t>
  </si>
  <si>
    <t>La Original Tortilla - 1.75%</t>
  </si>
  <si>
    <t>Afka - 1.25%</t>
  </si>
  <si>
    <t>Triple R Custom Homes - 1.75%</t>
  </si>
  <si>
    <t>Jarvis - 1.75%</t>
  </si>
  <si>
    <t>Open Market Enterprises - 1.75%</t>
  </si>
  <si>
    <t>C and R Repair - 1.75%</t>
  </si>
  <si>
    <t>Snyder Manufactring - 1.25%</t>
  </si>
  <si>
    <t>Tedder Equipment of Northeast - 1.75%</t>
  </si>
  <si>
    <t>Creekside Auto Sales - 1.75%</t>
  </si>
  <si>
    <t>TD Sports - 1.75%</t>
  </si>
  <si>
    <t>Shane's Air Conditioning - 1.75%</t>
  </si>
  <si>
    <t>MC Land &amp; Property - 1.25%</t>
  </si>
  <si>
    <t>Lets Roll Roll - 1.25%</t>
  </si>
  <si>
    <t>Southern Star Building - 1.75%</t>
  </si>
  <si>
    <t>Washington Fat Angelos - 1.75%</t>
  </si>
  <si>
    <t>PA Epoxy - 1.75%</t>
  </si>
  <si>
    <t>Minutu Coffee - 1.25%</t>
  </si>
  <si>
    <t>Powerhouse Roofing - 1.25%</t>
  </si>
  <si>
    <t>All One Landscapping - 1.75%</t>
  </si>
  <si>
    <t>Structures Northwest - 1.25%</t>
  </si>
  <si>
    <t>SunnyMac - 1.75%</t>
  </si>
  <si>
    <t>EMC</t>
  </si>
  <si>
    <t>Bulldog Roofing - 1.25%</t>
  </si>
  <si>
    <t>Platform/Direct</t>
  </si>
  <si>
    <t xml:space="preserve">Justin 5% of upsell (2% comm) </t>
  </si>
  <si>
    <t>Apex Landscapping - 1.75%</t>
  </si>
  <si>
    <t>LBA Logistics - 1.75%</t>
  </si>
  <si>
    <t>Home and Decor By Alpine - 1.75%</t>
  </si>
  <si>
    <t>Ecuamex - 1.75%</t>
  </si>
  <si>
    <t>JBW - 1.25%</t>
  </si>
  <si>
    <t>Data Network - 1.75%</t>
  </si>
  <si>
    <t>Direct / Guru</t>
  </si>
  <si>
    <t>MP Concrete - 1.75%</t>
  </si>
  <si>
    <t>Postema Marketing Group - 1.75%</t>
  </si>
  <si>
    <t>Empire Technical Fabrication - 1.75%</t>
  </si>
  <si>
    <t>Ready 3 - 1.75%</t>
  </si>
  <si>
    <t>Lilmod - 1.75%</t>
  </si>
  <si>
    <t>Justin/Greg</t>
  </si>
  <si>
    <t>Justin - cap 1%</t>
  </si>
  <si>
    <t>Apparatus Equipment - 1.75%</t>
  </si>
  <si>
    <t>Loving Heats Hospice - 1.75%</t>
  </si>
  <si>
    <t>RJP - 1.25%</t>
  </si>
  <si>
    <t>311 Auto - 1.25%</t>
  </si>
  <si>
    <t>Skema Courier - 1.75%</t>
  </si>
  <si>
    <t>Centennial Concrete - 1.75%</t>
  </si>
  <si>
    <t>Regional Roofing - 1.75%</t>
  </si>
  <si>
    <t>Discover Casting - 1.25%</t>
  </si>
  <si>
    <t>Shamrock Overhead Door - 1.75%</t>
  </si>
  <si>
    <t>Jones &amp; Son Logging - 1.75%</t>
  </si>
  <si>
    <t>Gladiator Roofing and Restoration - 1.25%</t>
  </si>
  <si>
    <t>TCG - 1.75%</t>
  </si>
  <si>
    <t>Canyon Creek Builders - 1.75%</t>
  </si>
  <si>
    <t>Renorelo - 1.75%</t>
  </si>
  <si>
    <t>Tox USA - 1.25%</t>
  </si>
  <si>
    <t>Tox USA - 1.75%</t>
  </si>
  <si>
    <t>MISSED 06/2024</t>
  </si>
  <si>
    <t>Ox and Son - 1.25%</t>
  </si>
  <si>
    <t>MISSED 5/2/24</t>
  </si>
  <si>
    <t>Medical Centre of Lehigh Acres - 1.75%</t>
  </si>
  <si>
    <t>Greenhouses Hotel - 1.25%</t>
  </si>
  <si>
    <t>Andaman / Thai Garden - 1.25%</t>
  </si>
  <si>
    <t>REI Steel - 1.75%</t>
  </si>
  <si>
    <t>J&amp;J Harvest - 1.75%</t>
  </si>
  <si>
    <t>Marbach Properties - 1.75%</t>
  </si>
  <si>
    <t>Roger Hemming - 1.75%</t>
  </si>
  <si>
    <t>Cavaliar Transport - 1.75%</t>
  </si>
  <si>
    <t>Sales Transformation - 1.75%</t>
  </si>
  <si>
    <t>Urbane Flooring - 1.75%</t>
  </si>
  <si>
    <t>Providia Management - 1.75%</t>
  </si>
  <si>
    <t>New Generation Concrete - 1.75%</t>
  </si>
  <si>
    <t>Phoenix Marketing - 1.75%</t>
  </si>
  <si>
    <t>Bob Russell Trucking - 1.75%</t>
  </si>
  <si>
    <t>DOK / KZY - 1.25%</t>
  </si>
  <si>
    <t>Techoled - 1.75%</t>
  </si>
  <si>
    <t>Guardians Security Services - 1.25%</t>
  </si>
  <si>
    <t>Production Plus Technologies - 1.75%</t>
  </si>
  <si>
    <t>Eaglestone Landscaping - 1.75%</t>
  </si>
  <si>
    <t>CNF Services - 1.75%</t>
  </si>
  <si>
    <t>Brookes Enterprises - 1.75%</t>
  </si>
  <si>
    <t>Jerry's Sports Service - 1.25%</t>
  </si>
  <si>
    <t>Trelzo - 1.75%</t>
  </si>
  <si>
    <t>Busted Bra - 1.25%</t>
  </si>
  <si>
    <t>JCS Systems / A &amp; MS - 1.75%</t>
  </si>
  <si>
    <t>Brannon's Porta Pot Rentals - 1.75%</t>
  </si>
  <si>
    <t>Hale Industries - 1.25%</t>
  </si>
  <si>
    <t>Nuvision - 1.75%</t>
  </si>
  <si>
    <t>Jakes' Steakhouse - 1.25%</t>
  </si>
  <si>
    <t xml:space="preserve">Loanability </t>
  </si>
  <si>
    <t>Frontline Steel Structurres - 1.25%</t>
  </si>
  <si>
    <t>New - Add on</t>
  </si>
  <si>
    <t>Mister Window - 1.25%</t>
  </si>
  <si>
    <t>3RC General Contracting - 1.75%</t>
  </si>
  <si>
    <t>369 Logistcis Management - 1.25%</t>
  </si>
  <si>
    <t>Gunhand Welding - 1.75%</t>
  </si>
  <si>
    <t>Midwest Rail - 1.25%</t>
  </si>
  <si>
    <t>Pinnacle Property - 1.25%</t>
  </si>
  <si>
    <t>Titan Construction Management - 1.75%</t>
  </si>
  <si>
    <t>Triple 7 Construction - 1.75%</t>
  </si>
  <si>
    <t>Micronet - 1.75%</t>
  </si>
  <si>
    <t>JIS Measurement &amp; Operating - 1.75%</t>
  </si>
  <si>
    <t>Castro Custom - 1.75%</t>
  </si>
  <si>
    <t>JKWC - 1.75%</t>
  </si>
  <si>
    <t>Apex Pavers - 1.25%</t>
  </si>
  <si>
    <t>Melodia - 1.25%</t>
  </si>
  <si>
    <t>Apex Medical - 1.25%</t>
  </si>
  <si>
    <t>US Protection / Sorrento Acquisitions - 1.75%</t>
  </si>
  <si>
    <t>Munster Drywall - 1.25%</t>
  </si>
  <si>
    <t>Brothers Transportaiton - 1.25%</t>
  </si>
  <si>
    <t>Lead Mechanical - 1.75%</t>
  </si>
  <si>
    <t>Henry Acres - 1.75%</t>
  </si>
  <si>
    <t>Analgesic - 1.75%</t>
  </si>
  <si>
    <t>Flecto - 1.25%</t>
  </si>
  <si>
    <t>Concrete basement walls - 1.75%</t>
  </si>
  <si>
    <t>Woodstown - 1.75%</t>
  </si>
  <si>
    <t>Muvall - 1.25%</t>
  </si>
  <si>
    <t>Arc City - 1.25%</t>
  </si>
  <si>
    <t>Premier Reimbursement - 1.25%</t>
  </si>
  <si>
    <t>Regal - 1.75%</t>
  </si>
  <si>
    <t>CFI</t>
  </si>
  <si>
    <t>Grip Automotive - 1.75%</t>
  </si>
  <si>
    <t>Jettsyn - 1.75%</t>
  </si>
  <si>
    <t>Patrick Tirado Concrete - 1.75%</t>
  </si>
  <si>
    <t>Avanti - 1.75%</t>
  </si>
  <si>
    <t>Guardian Security Services - 1.25%</t>
  </si>
  <si>
    <t>Luzis Cleaning - 1.75%</t>
  </si>
  <si>
    <t>La Vie Restaurant - 1.75%</t>
  </si>
  <si>
    <t>Lowell Martin - 1.25%</t>
  </si>
  <si>
    <t>Sheboygan - 1.75%</t>
  </si>
  <si>
    <t>RSE Associates - 1.75%</t>
  </si>
  <si>
    <t>Iver Construction - 1.75%</t>
  </si>
  <si>
    <t>MII Aero - 1.75%</t>
  </si>
  <si>
    <t>Pot Express - 1.25%</t>
  </si>
  <si>
    <t xml:space="preserve">Justin 5% of upsell (1% comm) </t>
  </si>
  <si>
    <t>RJP Repair - 1.25%</t>
  </si>
  <si>
    <t>SC Concrete - 1.75%</t>
  </si>
  <si>
    <t>Walker Auctions - 1.75%</t>
  </si>
  <si>
    <t>Direct / Platform</t>
  </si>
  <si>
    <t>Clair Concrete - 1.75%</t>
  </si>
  <si>
    <t>Contractors Glass - 1.25%</t>
  </si>
  <si>
    <t>Atlantic Asphalt Paving - 1.75%</t>
  </si>
  <si>
    <t>2ck Custom Concrete - 1.25%</t>
  </si>
  <si>
    <t>Riptide Restaurants - 1.25%</t>
  </si>
  <si>
    <t>Yummy - 1.75%</t>
  </si>
  <si>
    <t>Abercrombie Underground - 1.25%</t>
  </si>
  <si>
    <t>JCS Systems - 1.75%</t>
  </si>
  <si>
    <t>RFM Retail - 1.75%</t>
  </si>
  <si>
    <t>American Vets Abatement - 1.25%</t>
  </si>
  <si>
    <t>A Vets Demo - 1.75%</t>
  </si>
  <si>
    <t>Silas - 1.75%</t>
  </si>
  <si>
    <t>Latino Roofing - 1.75%</t>
  </si>
  <si>
    <t>Ignis Design - 1.25%</t>
  </si>
  <si>
    <t>Eaglestone Landscapping - 1.75%</t>
  </si>
  <si>
    <t xml:space="preserve">VIking </t>
  </si>
  <si>
    <t>Bradan Coachworks - 1.25%</t>
  </si>
  <si>
    <t>Bingo Builders - 1.75%</t>
  </si>
  <si>
    <t>Collaboration Software Partners - 1.75%</t>
  </si>
  <si>
    <t>Ritu - 1.75%</t>
  </si>
  <si>
    <t>Alsibai - 1.75%</t>
  </si>
  <si>
    <t>Big Jay's Sign and Shirt - 1.75%</t>
  </si>
  <si>
    <t>D&amp;T Farms - 1.25%</t>
  </si>
  <si>
    <t>A Lotta Bull - 1.75%</t>
  </si>
  <si>
    <t>J&amp;S Waterproofing - 1.25%</t>
  </si>
  <si>
    <t>MWW Services - 1.25%</t>
  </si>
  <si>
    <t>MNC Electric - 1.75%</t>
  </si>
  <si>
    <t>Miner Investments - 1.25%</t>
  </si>
  <si>
    <t>JDN Property - 1.75%</t>
  </si>
  <si>
    <t>Whitley Welding Company - 1.75%</t>
  </si>
  <si>
    <t>Thriving Home Care - 1.25%</t>
  </si>
  <si>
    <t>Welch Construction - 1.75%</t>
  </si>
  <si>
    <t>Button Brand Veterinary Clininc - 1.75%</t>
  </si>
  <si>
    <t>Elyon Enterprise Strategies - 1.75%</t>
  </si>
  <si>
    <t>Henson Heating and Cooling - 1.75%</t>
  </si>
  <si>
    <t>DSRM - 1.75%</t>
  </si>
  <si>
    <t>American Kart - 1.75%</t>
  </si>
  <si>
    <t>Pristine Plumbing - 1.75%</t>
  </si>
  <si>
    <t>Internationa Protective Services - 1.25%</t>
  </si>
  <si>
    <t>Pioneer One - 1.75%</t>
  </si>
  <si>
    <t>Greenways Clearing &amp; Grading - 1.75%</t>
  </si>
  <si>
    <t>Paraierie Exteriors &amp; Painting - 1.75%</t>
  </si>
  <si>
    <t>Summit Signal - 1.75%</t>
  </si>
  <si>
    <t>Compas Conrete - 1.75%</t>
  </si>
  <si>
    <t>National Construction Management  - 1.25%</t>
  </si>
  <si>
    <t>Bylt - 1.75%</t>
  </si>
  <si>
    <t>Compassionate Heart Services - 1.25%</t>
  </si>
  <si>
    <t>Gift Basket - 1.25%</t>
  </si>
  <si>
    <t>GNLC Shipping - 1.75%</t>
  </si>
  <si>
    <t>The Bright Pursuit - 1.75%</t>
  </si>
  <si>
    <t>Quality Roadside Service - 1.25%</t>
  </si>
  <si>
    <t>No Net</t>
  </si>
  <si>
    <t>Linder Caster and Truck - 1.25%</t>
  </si>
  <si>
    <t>David L Brooks Hauling - 1.75%</t>
  </si>
  <si>
    <t>Remblake Builders - 1.75%</t>
  </si>
  <si>
    <t>Myers Company Architectural - 1.25%</t>
  </si>
  <si>
    <t>Dind Enterprises - 1.75%</t>
  </si>
  <si>
    <t>Coastal Paving and Excavation - 1.75%</t>
  </si>
  <si>
    <t>Affordable Environmental - 1.75%</t>
  </si>
  <si>
    <t>Advantage Electric - 1.25%</t>
  </si>
  <si>
    <t>Motor City - 1.75%</t>
  </si>
  <si>
    <t>Liberty Behavorial - 1.75%</t>
  </si>
  <si>
    <t>Platform / Direct</t>
  </si>
  <si>
    <t>Northeastern Metro Abstract - 1.75%</t>
  </si>
  <si>
    <t>Molina Directional Drilling - 1.75%</t>
  </si>
  <si>
    <t>Reliance Concrete - 1.75%</t>
  </si>
  <si>
    <t>First Union</t>
  </si>
  <si>
    <t>Flavors Cuisine - 1.75%</t>
  </si>
  <si>
    <t>Casco Plumbing - 1.75%</t>
  </si>
  <si>
    <t>Whiskey Business - 1.75%</t>
  </si>
  <si>
    <t>Bailey European - 1.25%</t>
  </si>
  <si>
    <t>Cardosos Cleaning - 1.75%</t>
  </si>
  <si>
    <t>Zanco Sales - 1.25%</t>
  </si>
  <si>
    <t>Conare - 1.75%</t>
  </si>
  <si>
    <t>Wallberg - 1.75%</t>
  </si>
  <si>
    <t>SSI Pest - 1.75%</t>
  </si>
  <si>
    <t>Perfect Wellness - 1.25%</t>
  </si>
  <si>
    <t>National Maintenance - 1.75%</t>
  </si>
  <si>
    <t>Walts Automotive - 1.25%</t>
  </si>
  <si>
    <t>WA Arnold - 1.25%</t>
  </si>
  <si>
    <t>All American Towing - 1.25%</t>
  </si>
  <si>
    <t>Crump Enterprises - 1.75%</t>
  </si>
  <si>
    <t>Bob's Asphalt and Paving - 1.75%</t>
  </si>
  <si>
    <t>Personal Touch Events - 1.75%</t>
  </si>
  <si>
    <t>Robert White's Construction - 1.75%</t>
  </si>
  <si>
    <t>Loanablity</t>
  </si>
  <si>
    <t>Williams Family RV - 1.25%</t>
  </si>
  <si>
    <t>Studianos - 1.25%</t>
  </si>
  <si>
    <t>Packline Technologies - 1.75%</t>
  </si>
  <si>
    <t>Keystone Granite - 1.75%</t>
  </si>
  <si>
    <t>R&amp;C Consulting - 1.75%</t>
  </si>
  <si>
    <t>Tri City Roofing - 1.25%</t>
  </si>
  <si>
    <t>Pavemaster Asphalt - 1.25%</t>
  </si>
  <si>
    <t>StaffNow - 1.75%</t>
  </si>
  <si>
    <t>Steve's Meats - 1.25%</t>
  </si>
  <si>
    <t>PortableDevice - 1.75%</t>
  </si>
  <si>
    <t>LOS Outreach Services - 1.75%</t>
  </si>
  <si>
    <t>Alamo - 1.75%</t>
  </si>
  <si>
    <t>GGL Properties - 1.25%</t>
  </si>
  <si>
    <t>Raybrook Homes - 1.75%</t>
  </si>
  <si>
    <t>Capitol Investments Consultants - 1.25%</t>
  </si>
  <si>
    <t>Wells Sweeping - 1.75%</t>
  </si>
  <si>
    <t xml:space="preserve">Justin rev share </t>
  </si>
  <si>
    <t>Pikes Peak - 1.75%</t>
  </si>
  <si>
    <t>Gozal - 1.25%</t>
  </si>
  <si>
    <t>JA&amp;D Auto Detailing - 1.25%</t>
  </si>
  <si>
    <t>Vinson Shuler - 1.25%</t>
  </si>
  <si>
    <t>La Pizzaria Restaurant - 1.25%</t>
  </si>
  <si>
    <t>Big Renovations - 1.75%</t>
  </si>
  <si>
    <t>Valley Fire - 1.25%</t>
  </si>
  <si>
    <t>American Kart Holdings - 1.75%</t>
  </si>
  <si>
    <t>Bubbas Automotive - 1.75%</t>
  </si>
  <si>
    <t>Taub / Hueneme Veterinary - 1.75%</t>
  </si>
  <si>
    <t>Casa De Campo - 1.75%</t>
  </si>
  <si>
    <t>E&amp;S Hauling - 1.25%</t>
  </si>
  <si>
    <t>Bradley Mechanical - 1.25%</t>
  </si>
  <si>
    <t>Mininger - 1.25%</t>
  </si>
  <si>
    <t>Krieger Korp - 1.75%</t>
  </si>
  <si>
    <t>Compass Framing &amp; Drywall - 1.75%</t>
  </si>
  <si>
    <t>Westcoastautoauction - 1.75%</t>
  </si>
  <si>
    <t>Riverwoods Construction - 1.75%</t>
  </si>
  <si>
    <t>Gables Roofing - 1.75%</t>
  </si>
  <si>
    <t>clawback</t>
  </si>
  <si>
    <t>National Limousine - 1.75%</t>
  </si>
  <si>
    <t>Bob Russell Trucking - 1.25%</t>
  </si>
  <si>
    <t>Global Warehousing &amp; Logistics - 1.75%</t>
  </si>
  <si>
    <t>Thunderbird Commodities - 1.75%</t>
  </si>
  <si>
    <t>Facundo Home Builder / Facundo Investments - 1.75%</t>
  </si>
  <si>
    <t>CTC Ground - 1.75%</t>
  </si>
  <si>
    <t>Horses and Hounds - 1.25%</t>
  </si>
  <si>
    <t>Southern Peak Auto Body - 1.75%</t>
  </si>
  <si>
    <t>Havana 86 - 1.75%</t>
  </si>
  <si>
    <t>Nutrition Solutions - 1.75%</t>
  </si>
  <si>
    <t>Mexican Burrito - 1.25%</t>
  </si>
  <si>
    <t>Joe's Gutter - 1.75%</t>
  </si>
  <si>
    <t>Firefly - 1.25%</t>
  </si>
  <si>
    <t>3PL Business - 1.75%</t>
  </si>
  <si>
    <t>Jamie James Motor - 1.25% (missed 1)</t>
  </si>
  <si>
    <t>Missed</t>
  </si>
  <si>
    <t>Jamie James Motor - 1.25% (missed 2)</t>
  </si>
  <si>
    <t>Jamie James Motor - 1.25% (missed 3)</t>
  </si>
  <si>
    <t xml:space="preserve">Jamie James Motor - 1.25% </t>
  </si>
  <si>
    <t>A&amp;Y Landscapping - 1.75%</t>
  </si>
  <si>
    <t>Nance Corp - 1.75%</t>
  </si>
  <si>
    <t>Shine Transporation - 1.75%</t>
  </si>
  <si>
    <t>Espinoza Cable - 1.75%</t>
  </si>
  <si>
    <t>4315 Machester Rd - 1.75%</t>
  </si>
  <si>
    <t>Incomm Summits - 1.25%</t>
  </si>
  <si>
    <t>Cafe Vico - 1.25%</t>
  </si>
  <si>
    <t>Barrow Construction - 1.75%</t>
  </si>
  <si>
    <t>Bloomfields / R&amp;M Bagels - 1.25%</t>
  </si>
  <si>
    <t>Advantage Marketing - 1.75%</t>
  </si>
  <si>
    <t>DC Roofing - 1.75%</t>
  </si>
  <si>
    <t>Saffioti Pool - 1.75%</t>
  </si>
  <si>
    <t>Eminet Contracting - 1.75%</t>
  </si>
  <si>
    <t>Blue Lake Utility - 1.25%</t>
  </si>
  <si>
    <t>G/C Construction Group - 1.25%</t>
  </si>
  <si>
    <t>Woodside Construction - 1.75%</t>
  </si>
  <si>
    <t>Curry Excavation - 1.25%</t>
  </si>
  <si>
    <t>Richmond</t>
  </si>
  <si>
    <t>3TS Services - 1.75%</t>
  </si>
  <si>
    <t>Living with Purpose of Missouri - 1.75%</t>
  </si>
  <si>
    <t>Canyon Falls Business - 1.25%</t>
  </si>
  <si>
    <t>V Vid Painting - 1.75%</t>
  </si>
  <si>
    <t>All For You Pavers - 1.75%</t>
  </si>
  <si>
    <t>K Single Corp - 1.25%</t>
  </si>
  <si>
    <t>Summit Truck and Autobody - 1.75%</t>
  </si>
  <si>
    <t>Blackbeards - 1.25%</t>
  </si>
  <si>
    <t>ICU Recovery - 1.75%</t>
  </si>
  <si>
    <t>Criterion Edge - 1.25%</t>
  </si>
  <si>
    <t>J&amp;R Sundberg - 1.25%</t>
  </si>
  <si>
    <t>Elite Marble - 1.75%</t>
  </si>
  <si>
    <t>Growing Stronger Housing - 1.75%</t>
  </si>
  <si>
    <t>Premier</t>
  </si>
  <si>
    <t>Canga Restoration - 1.75%</t>
  </si>
  <si>
    <t>Cheri K Lewis Engineers - 1.75%</t>
  </si>
  <si>
    <t>Kinectic Energy Services - 1.75%</t>
  </si>
  <si>
    <t>Highway Rehabilitation - 1.25%</t>
  </si>
  <si>
    <t>Universal Power and Control - 1.25%</t>
  </si>
  <si>
    <t>Fersch - 1.25%</t>
  </si>
  <si>
    <t>Martinez Grease and Oil Recycling - 1.75%</t>
  </si>
  <si>
    <t>Mikes Unique Collectable - 1.75%</t>
  </si>
  <si>
    <t>Let's Roll - 1.25%</t>
  </si>
  <si>
    <t>Renew - Add on</t>
  </si>
  <si>
    <t>TM KM - 1.25%</t>
  </si>
  <si>
    <t>GAC Enterprises - 1.75%</t>
  </si>
  <si>
    <t>Halwani Cuisine - 1.75%</t>
  </si>
  <si>
    <t>Solo Motorsports - 1.75%</t>
  </si>
  <si>
    <t>Paris Heating - 1.25%</t>
  </si>
  <si>
    <t>Rapid Reload - 1.25%</t>
  </si>
  <si>
    <t>Tav Pratville - 1.25%</t>
  </si>
  <si>
    <t>Midwest Railroad - 1.75%</t>
  </si>
  <si>
    <t>S.E. Buildcorp - 1.75%</t>
  </si>
  <si>
    <t>5M - 1.25%</t>
  </si>
  <si>
    <t>Yard Barbour - 1.25%</t>
  </si>
  <si>
    <t>TCB Automation - 1.75%</t>
  </si>
  <si>
    <t>Enertech - 1.75%</t>
  </si>
  <si>
    <t>JAT Trucking - 1.25%</t>
  </si>
  <si>
    <t>Smith Grain - 1.75%</t>
  </si>
  <si>
    <t>Photo Electric - 1.75%</t>
  </si>
  <si>
    <t>State Roofing - 1.75%</t>
  </si>
  <si>
    <t>Precision Powered Products - 1.25%</t>
  </si>
  <si>
    <t>Muradu - 1.75%</t>
  </si>
  <si>
    <t>Absolute Transportation - 1.25%</t>
  </si>
  <si>
    <t>KRHX3 Developement - 1.75%</t>
  </si>
  <si>
    <t>Eugene Specker - 1.25%</t>
  </si>
  <si>
    <t>Smart Painting - 1.75%</t>
  </si>
  <si>
    <t>1st Choice Commercial and Residential - 1.75%</t>
  </si>
  <si>
    <t>Lancaster Beauty - 1.25%</t>
  </si>
  <si>
    <t>Shirt The City Printing - 1.75%</t>
  </si>
  <si>
    <t>Solar Maintenence Pros - 1.75%</t>
  </si>
  <si>
    <t>Premier Cap</t>
  </si>
  <si>
    <t>MAD Superior - 1.25%</t>
  </si>
  <si>
    <t>Avanti Truck Line - 1.75%</t>
  </si>
  <si>
    <t>Eagle Grace Health - 1.75%</t>
  </si>
  <si>
    <t>Avery Family Construction - 1.25%</t>
  </si>
  <si>
    <t>Glovers Welding - 1.75%</t>
  </si>
  <si>
    <t>Sidor Staffing - 1.75%</t>
  </si>
  <si>
    <t>Elite Construction - 1.75%</t>
  </si>
  <si>
    <t>Precision Cams - 1.75%</t>
  </si>
  <si>
    <t>Black Water Structures - 1.25%</t>
  </si>
  <si>
    <t>Diamond Brand - 1.75%</t>
  </si>
  <si>
    <t>Slate Performance - 1.25%</t>
  </si>
  <si>
    <t>Forum Brands - 1.75%</t>
  </si>
  <si>
    <t xml:space="preserve">Justin rev share Renew. Gurus $15k syn </t>
  </si>
  <si>
    <t>Go to guys construction - 1.25%</t>
  </si>
  <si>
    <t>R &amp; W Timber Resources - 1.75%</t>
  </si>
  <si>
    <t>Bills Automotive - 1.25%</t>
  </si>
  <si>
    <t>Montealegre Finazas - 1.25%</t>
  </si>
  <si>
    <t>Little Treasures - 1.25%</t>
  </si>
  <si>
    <t>Maine Family Services - 1.75%</t>
  </si>
  <si>
    <t>Cedar Cliff Pizza - 1.75%</t>
  </si>
  <si>
    <t>Landcare - 1.25%</t>
  </si>
  <si>
    <t>Ericson Construction - 1.75%</t>
  </si>
  <si>
    <t>Custom Home - 1.25%</t>
  </si>
  <si>
    <t>Learning Ladders - 1.25%</t>
  </si>
  <si>
    <t>Angels of Care - 1.75%</t>
  </si>
  <si>
    <t>Erica Diaz - 1.25%</t>
  </si>
  <si>
    <t>Williamson Builders - 1.25%</t>
  </si>
  <si>
    <t>Compliance Solutions - 1.25%</t>
  </si>
  <si>
    <t>Liberty Window - 1.25%</t>
  </si>
  <si>
    <t>Tayso Homes - 1.75%</t>
  </si>
  <si>
    <t>Menelas Enterprises - 1.75%</t>
  </si>
  <si>
    <t>Cexperts - 1.75%</t>
  </si>
  <si>
    <t>Resource Contracting - 1.25%</t>
  </si>
  <si>
    <t>Erie Shore Car - 1.75%</t>
  </si>
  <si>
    <t>Granitex - 1.75%</t>
  </si>
  <si>
    <t xml:space="preserve">Justin rev share. Gurus $15k syn </t>
  </si>
  <si>
    <t>Advanced DME - 1.25%</t>
  </si>
  <si>
    <t>Asscher Grace - 1.25%</t>
  </si>
  <si>
    <t>Stem Solutions - 1.25%</t>
  </si>
  <si>
    <t>Braga General Contractor - 1.25%</t>
  </si>
  <si>
    <t>Great Lakes - 1.25%</t>
  </si>
  <si>
    <t>R and M Enterprises - 1.25%</t>
  </si>
  <si>
    <t>Renew - PIF</t>
  </si>
  <si>
    <t>Exchange Custom Homes - 1.75%</t>
  </si>
  <si>
    <t>Jusitn Renew</t>
  </si>
  <si>
    <t>Bailey Building - 1.25%</t>
  </si>
  <si>
    <t>Advance Tree Pros - 1.75%</t>
  </si>
  <si>
    <t>Roberts Signs - 1.75%</t>
  </si>
  <si>
    <t>C and R Repair - 1.25%</t>
  </si>
  <si>
    <t>DK Express - 1.25%</t>
  </si>
  <si>
    <t>Giant Development - 1.75%</t>
  </si>
  <si>
    <t>Wolverine Metal Stamping - 1.25%</t>
  </si>
  <si>
    <t>LBA Logistics - 1.25%</t>
  </si>
  <si>
    <t>Bains Service Center - 1.75%</t>
  </si>
  <si>
    <t>Finley Interests - 1.25%</t>
  </si>
  <si>
    <t>Davoody Brush Removal - 1.75%</t>
  </si>
  <si>
    <t>Ez Hps Services - 1.75%</t>
  </si>
  <si>
    <t>Huckins Contruction - 1.75%</t>
  </si>
  <si>
    <t>Tru-Eco - 1.25%</t>
  </si>
  <si>
    <t>Suwanne Iron Works - 1.75%</t>
  </si>
  <si>
    <t>3PL - 1.75%</t>
  </si>
  <si>
    <t>Myers Company - 1.25%</t>
  </si>
  <si>
    <t>Alexander Plumbing - 1.75%</t>
  </si>
  <si>
    <t>Schocks Holding / Tillford Towing - 1.25%</t>
  </si>
  <si>
    <t>Honey Dental - 1.25%</t>
  </si>
  <si>
    <t>Personal Touch - 1.75%</t>
  </si>
  <si>
    <t>KRHX3 Development - 1.75%</t>
  </si>
  <si>
    <t>Cosmic Comfort / Jantz Electrical - 1.75%</t>
  </si>
  <si>
    <t>Dubose Trucking - 1.25%</t>
  </si>
  <si>
    <t>Tracy Grading - 1.75%</t>
  </si>
  <si>
    <t>Thermal Technology - 1.75%</t>
  </si>
  <si>
    <t>Chicken Kebab - 1.75%</t>
  </si>
  <si>
    <t>Asc Creations Landscapping - 1.75%</t>
  </si>
  <si>
    <t>Pinpoint Pest - 1.75%</t>
  </si>
  <si>
    <t>SSI Pest Arrest - 1.75%</t>
  </si>
  <si>
    <t>HH Express - 1.75%</t>
  </si>
  <si>
    <t>R&amp;M Collission / Miller &amp; Ringley - 1.25%</t>
  </si>
  <si>
    <t>Comfort CEC - 1.75%</t>
  </si>
  <si>
    <t>Rhino Homes - 1.75%</t>
  </si>
  <si>
    <t>Cross SI - 1.25%</t>
  </si>
  <si>
    <t>Vigilant Anesthesia - 1.25%</t>
  </si>
  <si>
    <t>Minuti Coffee - 1.25%</t>
  </si>
  <si>
    <t>American Rumble - 1.75%</t>
  </si>
  <si>
    <t>Bennett Brothers Printing - 1.25%</t>
  </si>
  <si>
    <t>DSRM - 1.25%</t>
  </si>
  <si>
    <t>ACS - 1.75%</t>
  </si>
  <si>
    <t>AFFE / Blue Monarch Financial - 1.75%</t>
  </si>
  <si>
    <t>Prestige Builders - 1.25%</t>
  </si>
  <si>
    <t>VV Group - 1.75%</t>
  </si>
  <si>
    <t>Safework - 1.75%</t>
  </si>
  <si>
    <t>Peacock Theraputic School - 1.75%</t>
  </si>
  <si>
    <t>Glass City Auto Center - 1.75%</t>
  </si>
  <si>
    <t>1st Choice Commerical - 1.75%</t>
  </si>
  <si>
    <t>Roo's Heating, Air Conditioning - 1.75%</t>
  </si>
  <si>
    <t>ANC Movers - 1.25%</t>
  </si>
  <si>
    <t>RC Demolition - 1.75%</t>
  </si>
  <si>
    <t>Morelly Logistics - 1.75%</t>
  </si>
  <si>
    <t>Stone Haven Services - 1.75%</t>
  </si>
  <si>
    <t>MC Land &amp; Properties - 1.25%</t>
  </si>
  <si>
    <t>Veteran Equipment - 1.25%</t>
  </si>
  <si>
    <t>Baccari Bloodstock - 1.75%</t>
  </si>
  <si>
    <t>Reclamation By Design - 1.75%</t>
  </si>
  <si>
    <t>Patriots Choice - 1.75%</t>
  </si>
  <si>
    <t>Lakeside - 1.25%</t>
  </si>
  <si>
    <t>RAS Data Services - 1.75%</t>
  </si>
  <si>
    <t>Azores Concrete - 1.75%</t>
  </si>
  <si>
    <t>US Bus Charter &amp; Limo - 1.25%</t>
  </si>
  <si>
    <t>AP Modular - 1.25%</t>
  </si>
  <si>
    <t>RD3 - 1.25%</t>
  </si>
  <si>
    <t>EG's Built - 1.75%</t>
  </si>
  <si>
    <t>Velocity Ammunition - 1.25%</t>
  </si>
  <si>
    <t>Oak Ridge - 1.25%</t>
  </si>
  <si>
    <t>James Gray Sales - 1.25%</t>
  </si>
  <si>
    <t>Cervantes Group - 1.25%</t>
  </si>
  <si>
    <t>Diverse Masonry - 1.75%</t>
  </si>
  <si>
    <t>A to Z Property - 1.75%</t>
  </si>
  <si>
    <t>HSJ Excavation - 1.25%</t>
  </si>
  <si>
    <t>Direct / Glazer Samson</t>
  </si>
  <si>
    <t>Elite Medical - 1.75%</t>
  </si>
  <si>
    <t>Madkuhant - 1.25%</t>
  </si>
  <si>
    <t>Compass Framing and Drywall - 1.75%</t>
  </si>
  <si>
    <t>Muradu - 1.25%</t>
  </si>
  <si>
    <t>Miner Investements / Wrightway - 1.25%</t>
  </si>
  <si>
    <t>Dubbs</t>
  </si>
  <si>
    <t>JP Strategic Holdings - 1.75%</t>
  </si>
  <si>
    <t>MIssed from 4/3/25</t>
  </si>
  <si>
    <t>Synergy Crude - 1.25%</t>
  </si>
  <si>
    <t>Overwatch TN Security - 1.25%</t>
  </si>
  <si>
    <t>H&amp;G Investment Group - 1.25%</t>
  </si>
  <si>
    <t>Island Delight Carribean - 1.25%</t>
  </si>
  <si>
    <t>Whitebeck Building &amp; Design - 1.75%</t>
  </si>
  <si>
    <t>New ISO</t>
  </si>
  <si>
    <t>Davoody Brush - 1.75%</t>
  </si>
  <si>
    <t>Renew ISO</t>
  </si>
  <si>
    <t>Vickys of Sante Fe - 1.25%</t>
  </si>
  <si>
    <t>Onyx Capital - 1.25%</t>
  </si>
  <si>
    <t>Renovate Construction - 1.75%</t>
  </si>
  <si>
    <t>Maraos Burgers - 1.25%</t>
  </si>
  <si>
    <t>Chris</t>
  </si>
  <si>
    <t>Complete Welding Solutions - 1.75%</t>
  </si>
  <si>
    <t>Aqua Haven - 1.25%</t>
  </si>
  <si>
    <t>ECC Roofing - 1.25%</t>
  </si>
  <si>
    <t>3TS - 1.75%</t>
  </si>
  <si>
    <t>No Limit Contracting - 1.75%</t>
  </si>
  <si>
    <t>Big Yummy - 1.75%</t>
  </si>
  <si>
    <t>Avast Realty - 1.75%</t>
  </si>
  <si>
    <t>J&amp;P Company - 1.75%</t>
  </si>
  <si>
    <t>C&amp;L Nolt Transport - 1.75%</t>
  </si>
  <si>
    <t>Landrum Resources - 1.25%</t>
  </si>
  <si>
    <t>BJs Restaurant - 1.75%</t>
  </si>
  <si>
    <t>Valor Creations - 1.25%</t>
  </si>
  <si>
    <t>Rainbow Lakes Heat - 1.75%</t>
  </si>
  <si>
    <t xml:space="preserve">                      </t>
  </si>
  <si>
    <t>Smart Cars of Virginia - 1.75%</t>
  </si>
  <si>
    <t>Law Office of Russell Kerr - 1.25%</t>
  </si>
  <si>
    <t>Headflyer - 1.25%</t>
  </si>
  <si>
    <t>GNLC Shipping - 1.25%</t>
  </si>
  <si>
    <t>PES Security - 1.75%</t>
  </si>
  <si>
    <t>Sheboyan Glass - 1.75%</t>
  </si>
  <si>
    <t>Columbia Center for Implants - 1.25%</t>
  </si>
  <si>
    <t>Waypoint Creative - 1.75%</t>
  </si>
  <si>
    <t xml:space="preserve">Clarify </t>
  </si>
  <si>
    <t>RC Specialty Fabrication - 1.75%</t>
  </si>
  <si>
    <t>Brother's Transportation - 1.25%</t>
  </si>
  <si>
    <t>Caulfield Family Auto Sales / Jimmy Smith - 1.75%</t>
  </si>
  <si>
    <t>IFS</t>
  </si>
  <si>
    <t>Liberty Behavorial - 1.25%</t>
  </si>
  <si>
    <t xml:space="preserve">  </t>
  </si>
  <si>
    <t>Law Office of Christopher Mills - 1.25%</t>
  </si>
  <si>
    <t>Jake's Steakhouse - 1.25%</t>
  </si>
  <si>
    <t>Noble Plumbing - 1.75%</t>
  </si>
  <si>
    <t>NexGen Truck &amp; Trailer Parts - 1.75%</t>
  </si>
  <si>
    <t>DM Hope Alliance - 1.25%</t>
  </si>
  <si>
    <t>Avartec - 1.25%</t>
  </si>
  <si>
    <t>Cornerstone Data - 1.75%</t>
  </si>
  <si>
    <t>3871 LLC - 1.25%</t>
  </si>
  <si>
    <t>CMB Healthcare - 1.75%</t>
  </si>
  <si>
    <t>PRC Associates - 1.75%</t>
  </si>
  <si>
    <t>La Salsa - 1.25%</t>
  </si>
  <si>
    <t>Acqua Di Mare - 1.25%</t>
  </si>
  <si>
    <t>Alligned Construction - 1.75%</t>
  </si>
  <si>
    <t>Puget Sound Truck Sales - 1.75%</t>
  </si>
  <si>
    <t>Safeway Van Lines - 1.75%</t>
  </si>
  <si>
    <t>TRC Logistics - 1.75%</t>
  </si>
  <si>
    <t>Martinez Painting - 1.25%</t>
  </si>
  <si>
    <t>Ideal Producers - 1.75%</t>
  </si>
  <si>
    <t>Bridgeline Construction - 1.75%</t>
  </si>
  <si>
    <t>H&amp;S Commercial and Ind - 1.75%</t>
  </si>
  <si>
    <t>SAE Trading - 1.75%</t>
  </si>
  <si>
    <t>Apex Practice Solutions - 1.25%</t>
  </si>
  <si>
    <t xml:space="preserve">Justin rev share Renew. Gurus $20k syn </t>
  </si>
  <si>
    <t>JP Transportation - 1.25%</t>
  </si>
  <si>
    <t>All Tex Land - 1.75%</t>
  </si>
  <si>
    <t>Robert Whites Construction - 1.25%</t>
  </si>
  <si>
    <t>PA Epoxy - 1.25%</t>
  </si>
  <si>
    <t>Roger L Bell - 1.25%</t>
  </si>
  <si>
    <t>Brother's Car Sales - 1.75%</t>
  </si>
  <si>
    <t>Quick Capital</t>
  </si>
  <si>
    <t>Caforio Development - 1.75%</t>
  </si>
  <si>
    <t>JJco 3320 - 1.75%</t>
  </si>
  <si>
    <t>Coup 2012 - 1.75%</t>
  </si>
  <si>
    <t>Biaggi - 1.25%</t>
  </si>
  <si>
    <t>Ricci Law - 1.25%</t>
  </si>
  <si>
    <t>Hawthorne Industries - 1.75%</t>
  </si>
  <si>
    <t>Advance Tree Pros - 1.25%</t>
  </si>
  <si>
    <t>Frickers Cycle - 1.25%</t>
  </si>
  <si>
    <t>Stateline Auto Brokers - 1.75%</t>
  </si>
  <si>
    <t>Jofa Transport - 1.75%</t>
  </si>
  <si>
    <t>Vsquared - 1.75%</t>
  </si>
  <si>
    <t>Blue Dream General - 1.75%</t>
  </si>
  <si>
    <t xml:space="preserve">Samson </t>
  </si>
  <si>
    <t>Luxury Landscape - 1.75%</t>
  </si>
  <si>
    <t>Honesto Peto Group - 1.75%</t>
  </si>
  <si>
    <t>Ruiz Brothers - 1.25%</t>
  </si>
  <si>
    <t>JG Equipment - 1.75%</t>
  </si>
  <si>
    <t>DBF Construction - 1.75%</t>
  </si>
  <si>
    <t>Atlas Excavation - 1.75%</t>
  </si>
  <si>
    <t>World Aerospace - 1.75%</t>
  </si>
  <si>
    <t>Revitalize Alabama - 1.25%</t>
  </si>
  <si>
    <t>Mt Moriah Auto Sales - 1.75%</t>
  </si>
  <si>
    <t>Cross Eyed Cricket - 1.75%</t>
  </si>
  <si>
    <t>WC Clark Homes - 1.25%</t>
  </si>
  <si>
    <t>Headstart Warrenty Group - 1.75%</t>
  </si>
  <si>
    <t>PMF / Nick Channel</t>
  </si>
  <si>
    <t>Revv Elation - 1.75%</t>
  </si>
  <si>
    <t>L J Innovations - 1.25%</t>
  </si>
  <si>
    <t>Jetsyn - 1.25%</t>
  </si>
  <si>
    <t>A Clean Approach - 1.75%</t>
  </si>
  <si>
    <t>Evolution Parking - 1.25%</t>
  </si>
  <si>
    <t>Vicky's of Santa Fe - 1.75%</t>
  </si>
  <si>
    <t>J &amp; R Sundberg - 1.25%</t>
  </si>
  <si>
    <t>La Original Tortilla - 1.25%</t>
  </si>
  <si>
    <t>World Candy Stores - 1.75%</t>
  </si>
  <si>
    <t>Take Two Cafe - 1.75%</t>
  </si>
  <si>
    <t>J &amp; P Company - 1.75%</t>
  </si>
  <si>
    <t>PGI Distrutor - 1.25%</t>
  </si>
  <si>
    <t>Concrete Service - 1.25%</t>
  </si>
  <si>
    <t>Enchanted Fairies - 1.25%</t>
  </si>
  <si>
    <t>Stroman Industries - 1.25%</t>
  </si>
  <si>
    <t>Ideal Producers Group - 1.75%</t>
  </si>
  <si>
    <t>Sean Gardella - 1.75%</t>
  </si>
  <si>
    <t>Timber Direct - 1.75%</t>
  </si>
  <si>
    <t>Integrated Energy - 1.75%</t>
  </si>
  <si>
    <t>Blueline Landscapping - 1.25%</t>
  </si>
  <si>
    <t>Steel Hammer Roofing - 1.75%</t>
  </si>
  <si>
    <t>Minuti Coffee - 1.75%</t>
  </si>
  <si>
    <t>Capital Gurrus</t>
  </si>
  <si>
    <t>TLHI Construction - 1.75%</t>
  </si>
  <si>
    <t>MS Construciton - 1.75%</t>
  </si>
  <si>
    <t>Sicily Coal - 1.75%</t>
  </si>
  <si>
    <t>Burke &amp; Michael - 1.75%</t>
  </si>
  <si>
    <t>International Liquidation - 1.25%</t>
  </si>
  <si>
    <t>Sunny Mac - 1.75%</t>
  </si>
  <si>
    <t>Cate Associates - 1.75%</t>
  </si>
  <si>
    <t>Builder 1 Construciton - 1.25%</t>
  </si>
  <si>
    <t>Property Medic - 1.75%</t>
  </si>
  <si>
    <t>F1 Technology - 1.75%</t>
  </si>
  <si>
    <t>Yager Enterprises - 1.75%</t>
  </si>
  <si>
    <t>Towne Housing - 1.75%</t>
  </si>
  <si>
    <t>Brazos Commercial Roofing - 1.75%</t>
  </si>
  <si>
    <t>Contractor Glass - 1.25%</t>
  </si>
  <si>
    <t>Pros - 1.25%</t>
  </si>
  <si>
    <t>NC Civil - 1.75%</t>
  </si>
  <si>
    <t>Mello Marketing - 1.25%</t>
  </si>
  <si>
    <t>WCE Enterprises - 1.75%</t>
  </si>
  <si>
    <t>J&amp;H Painting Services - 1.75%</t>
  </si>
  <si>
    <t>Performance Distributors - 1.25%</t>
  </si>
  <si>
    <t>Soundview Landscape - 1.25%</t>
  </si>
  <si>
    <t>Warrior Ammunition - 1.75%</t>
  </si>
  <si>
    <t>Loyalty Mechanical - 1.75%</t>
  </si>
  <si>
    <t>Alpine - 1.75%</t>
  </si>
  <si>
    <t>Velocity Ammunition Sales - 1.25%</t>
  </si>
  <si>
    <t>Lather Transport - 1.75%</t>
  </si>
  <si>
    <t>SCI Construction Group - 1.75%</t>
  </si>
  <si>
    <t>ZJSB - 1.75%</t>
  </si>
  <si>
    <t>Edge Services - 1.25%</t>
  </si>
  <si>
    <t>Mad Science - 1.75%</t>
  </si>
  <si>
    <t>Buckley Auto Center - 1.75%</t>
  </si>
  <si>
    <t>Wells Sweeping - 1.25%</t>
  </si>
  <si>
    <t>The Meat Guys - 1.75%</t>
  </si>
  <si>
    <t>Trinity Homes - 1.75%</t>
  </si>
  <si>
    <t>E3 Tax - 1.75%</t>
  </si>
  <si>
    <t>Victory Motorcars - 1.25%</t>
  </si>
  <si>
    <t>Point Auto - 1.75%</t>
  </si>
  <si>
    <t>Frontline Steel - 1.25%</t>
  </si>
  <si>
    <t>Sepid - 1.75%</t>
  </si>
  <si>
    <t>Accurate ProBuild Solutions - 1.75%</t>
  </si>
  <si>
    <t>ClemTenn - 1.25%</t>
  </si>
  <si>
    <t>Superior Floor Service - 1.75%</t>
  </si>
  <si>
    <t>DIrect</t>
  </si>
  <si>
    <t>Turner Machine - 1.25%</t>
  </si>
  <si>
    <t>All In Won Med-Bill - 1.75%</t>
  </si>
  <si>
    <t>Royal Funding</t>
  </si>
  <si>
    <t>Up Insurance Agency - 1.75%</t>
  </si>
  <si>
    <t>Exchange Trucking - 1.25%</t>
  </si>
  <si>
    <t>Everlasting</t>
  </si>
  <si>
    <t>In-Line Fence &amp; Railing Co - 1.75%</t>
  </si>
  <si>
    <t>The Original Pancake House - 1.75%</t>
  </si>
  <si>
    <t>American Heat Processing - 1.25%</t>
  </si>
  <si>
    <t>Lee Hoffman Roofing - 1.25%</t>
  </si>
  <si>
    <t>Graffiti Graffix - 1.25%</t>
  </si>
  <si>
    <t>Steves Meats - 1.25%</t>
  </si>
  <si>
    <t>Legacy Landscapping- 1.25%</t>
  </si>
  <si>
    <t>Prophylaxis Healthcare - 1.75%</t>
  </si>
  <si>
    <t>Better Rise / Direct</t>
  </si>
  <si>
    <t>Justin ; Justin 5% of upsell (1% comm) ; capped at 1% for Justin</t>
  </si>
  <si>
    <t>Output Lounge - 1.75%</t>
  </si>
  <si>
    <t>Southpoint Auto Body - 1.25%</t>
  </si>
  <si>
    <t>ConnieXio Holdings - 1.75%</t>
  </si>
  <si>
    <t>Capgap</t>
  </si>
  <si>
    <t>Proscapes LLC - 1.75%</t>
  </si>
  <si>
    <t>RB Development - 1.75%</t>
  </si>
  <si>
    <t>TNT Investments - 1.75%</t>
  </si>
  <si>
    <t>Synergistic Systems - 1.75%</t>
  </si>
  <si>
    <t>SKV Holdings - 1.25%</t>
  </si>
  <si>
    <t>Classic Die and Mold - 1.75%</t>
  </si>
  <si>
    <t>South Texas - 1.75%</t>
  </si>
  <si>
    <t>Justin rev share</t>
  </si>
  <si>
    <t>Pacific North - 1.75%</t>
  </si>
  <si>
    <t>Fortress</t>
  </si>
  <si>
    <t>Bluesun - 1.75%</t>
  </si>
  <si>
    <t>Credit Now Used Cars - 1.75%</t>
  </si>
  <si>
    <t>Scandia - 1.75%</t>
  </si>
  <si>
    <t>Eliteone / Moldstar - 1.75%</t>
  </si>
  <si>
    <t>Milwaukee Paper Company - 1.75%</t>
  </si>
  <si>
    <t>Velocity USA - 1.25%</t>
  </si>
  <si>
    <t>Southeast Abatement - 1.25%</t>
  </si>
  <si>
    <t>Scientific Mechanical - 1.75%</t>
  </si>
  <si>
    <t>Lendflow / House</t>
  </si>
  <si>
    <t>Justin rev share renew</t>
  </si>
  <si>
    <t>RVB - 1.25%</t>
  </si>
  <si>
    <t>South Coast Industrial Services - 1.75%</t>
  </si>
  <si>
    <t>Better Rise</t>
  </si>
  <si>
    <t>Lead Mechanical - 1.25%</t>
  </si>
  <si>
    <t>Law Office of Frederick - 1.75%</t>
  </si>
  <si>
    <t>Solved Education - 0%</t>
  </si>
  <si>
    <t>Clarify</t>
  </si>
  <si>
    <t>Justin - capped at .6% ; no mgmt fee</t>
  </si>
  <si>
    <t>Risden - 1.75%</t>
  </si>
  <si>
    <t>Guardians Security - 1.25%</t>
  </si>
  <si>
    <t>Truckstop management - 1.75%</t>
  </si>
  <si>
    <t xml:space="preserve">Justin rev share renew. Gurus $15k syn </t>
  </si>
  <si>
    <t>Shine Transportation - 1.75%</t>
  </si>
  <si>
    <t>Melrose Auto Gallery - 1.75%</t>
  </si>
  <si>
    <t xml:space="preserve">Quick Capital </t>
  </si>
  <si>
    <t>The Learning Academy of Georiga - 1.75%</t>
  </si>
  <si>
    <t>Ram Transport and Language - 1.75%</t>
  </si>
  <si>
    <t>ManagePoint MSP - 1.75%</t>
  </si>
  <si>
    <t>Pava - 1.25%</t>
  </si>
  <si>
    <t>Perez &amp; Long - 1.25%</t>
  </si>
  <si>
    <t>Mikes Unique - 1.25%</t>
  </si>
  <si>
    <t>Hunter Auto &amp; Wrecker - 1.75%</t>
  </si>
  <si>
    <t>Mad Max - 1.75%</t>
  </si>
  <si>
    <t>Viking Sports Bar - 1.75%</t>
  </si>
  <si>
    <t>Ichabods Grille - 1.75%</t>
  </si>
  <si>
    <t>Thunderbirds Grille - 1.75%</t>
  </si>
  <si>
    <t>HLS Enterprises - 1.75%</t>
  </si>
  <si>
    <t>Solvis - 1.75%</t>
  </si>
  <si>
    <t>Prestige Cleaning - 1.75%</t>
  </si>
  <si>
    <t>Boston North - 1.75%</t>
  </si>
  <si>
    <t>Kelly Fluid - 1.25%</t>
  </si>
  <si>
    <t>Triple R Custom - 1.25%</t>
  </si>
  <si>
    <t>3TS Services - 1.25%</t>
  </si>
  <si>
    <t>Dads Truck and Auto - 1.75%</t>
  </si>
  <si>
    <t>Pristine Plumbing - 1.25%</t>
  </si>
  <si>
    <t>Lauren Laundis - 1.25%</t>
  </si>
  <si>
    <t>R&amp;M Bagels - 1.25%</t>
  </si>
  <si>
    <t>Seart Marine - 1.75%</t>
  </si>
  <si>
    <t>1st Choice Commercial - 1.25%</t>
  </si>
  <si>
    <t>Angels in Guard - 1.75%</t>
  </si>
  <si>
    <t>Los Outreach - 1.25%</t>
  </si>
  <si>
    <t>Crate Excavations - 1.75%</t>
  </si>
  <si>
    <t>GVS - 1.25%</t>
  </si>
  <si>
    <t>National Auto Tools - 1.75%</t>
  </si>
  <si>
    <t>Esther's Home - 1.75%</t>
  </si>
  <si>
    <t>Royal</t>
  </si>
  <si>
    <t>Askew-Peterson - 1.75%</t>
  </si>
  <si>
    <t>Sacci - 1.25%</t>
  </si>
  <si>
    <t>J&amp;R Sundberg - 1.75%</t>
  </si>
  <si>
    <t>Vasqo Logistics - 1.75%</t>
  </si>
  <si>
    <t>TCG - 1.25%</t>
  </si>
  <si>
    <t>S&amp;J Hotshot - 1.75%</t>
  </si>
  <si>
    <t>Spearhead Renovations - 1.75%</t>
  </si>
  <si>
    <t>Absolute Transporation - 1.25%</t>
  </si>
  <si>
    <t>Home Supply - 1.75%</t>
  </si>
  <si>
    <t>Story Collision - 1.25%</t>
  </si>
  <si>
    <t xml:space="preserve">Glazer/ Direct </t>
  </si>
  <si>
    <t>Santellos - 1.75%</t>
  </si>
  <si>
    <t>Platinum Landscape - 1.75%</t>
  </si>
  <si>
    <t xml:space="preserve">Justin rev share Renew. Gurus $25k syn </t>
  </si>
  <si>
    <t>Sauk River - 1.75%</t>
  </si>
  <si>
    <t>Tidewater Medical - 1.25%</t>
  </si>
  <si>
    <t>McDowell Motorsports - 1.25%</t>
  </si>
  <si>
    <t>Platinum Express - 1.75%</t>
  </si>
  <si>
    <t>J&amp;AD Auto Detailing - 1.25%</t>
  </si>
  <si>
    <t>Northern Auto - 1.75%</t>
  </si>
  <si>
    <t>GA Doughty - 1.75%</t>
  </si>
  <si>
    <t>Clune - 1.75%</t>
  </si>
  <si>
    <t>Burton Transport - 1.25%</t>
  </si>
  <si>
    <t>American Dream Granite - 1.75%</t>
  </si>
  <si>
    <t>Jusitn</t>
  </si>
  <si>
    <t xml:space="preserve">Justin </t>
  </si>
  <si>
    <t>Compassionate Heart Services - 1.75%</t>
  </si>
  <si>
    <t>Bluelake Utility - 1.25%</t>
  </si>
  <si>
    <t>Quality Compressor  - 1.25%</t>
  </si>
  <si>
    <t>Compas Concrete - 1.25%</t>
  </si>
  <si>
    <t>Hoffman International - 1.25%</t>
  </si>
  <si>
    <t>Bicycle Adventures - 1.25%</t>
  </si>
  <si>
    <t>Charlie Direct</t>
  </si>
  <si>
    <t>Short Term Nashville - 1.25%</t>
  </si>
  <si>
    <t>Biztec - 1.75%</t>
  </si>
  <si>
    <t>Working Capital Marketplace</t>
  </si>
  <si>
    <t>Elyon - 1.25%</t>
  </si>
  <si>
    <t>STS Impact Windows - 1.75%</t>
  </si>
  <si>
    <t>Capitol Fire Protection - 1.75%</t>
  </si>
  <si>
    <t>Wet Monkey - 1.25%</t>
  </si>
  <si>
    <t>C&amp;M Western - 1.75%</t>
  </si>
  <si>
    <t>GC Construction - 1.25%</t>
  </si>
  <si>
    <t>Architectural Glazing Systems - 1.25%</t>
  </si>
  <si>
    <t>A &amp; J Supply - 1.25%</t>
  </si>
  <si>
    <t>Auction Brokers - 1.75%</t>
  </si>
  <si>
    <t>Xtreme Landscapes- 1.75%</t>
  </si>
  <si>
    <t>Southern Finishes - 1.75%</t>
  </si>
  <si>
    <t>Riverwoods - 1.25%</t>
  </si>
  <si>
    <t>Valalla Fuels - 1.75%</t>
  </si>
  <si>
    <t>PK Towing - 1.75%</t>
  </si>
  <si>
    <t>Triton Tower - 1.75%</t>
  </si>
  <si>
    <t>4J Foundation - 1.75%</t>
  </si>
  <si>
    <t>Pure Auto - 1.75%</t>
  </si>
  <si>
    <t>Accurate Site Development - 1.25%</t>
  </si>
  <si>
    <t>L IMI Ventures - 1.75%</t>
  </si>
  <si>
    <t>JCS Systems - 1.25%</t>
  </si>
  <si>
    <t>Sidor - 1.75%</t>
  </si>
  <si>
    <t>A and R Collission Specialist - 1.25%</t>
  </si>
  <si>
    <t>Service Experts Plumbing - 1.75%</t>
  </si>
  <si>
    <t>Elite One - 1.75%</t>
  </si>
  <si>
    <t>Boville Industrial - 1.75%</t>
  </si>
  <si>
    <t>Compliance Solution - 1.25%</t>
  </si>
  <si>
    <t>DCE Construction - 1.25%</t>
  </si>
  <si>
    <t>Forum Brands - 1.25%</t>
  </si>
  <si>
    <t xml:space="preserve">Justin rev share. Gurus $25k syn </t>
  </si>
  <si>
    <t>Ram Transmission - 1.75%</t>
  </si>
  <si>
    <t>Micronet - 1.25%</t>
  </si>
  <si>
    <t>Perfected Bodies Fitness - 1.75%</t>
  </si>
  <si>
    <t>Surface Solutions - 1.75%</t>
  </si>
  <si>
    <t>Sharpvue - 1.75%</t>
  </si>
  <si>
    <t>Blue Garden - 1.25%</t>
  </si>
  <si>
    <t>Mackey Family Transport - 1.75%</t>
  </si>
  <si>
    <t>Interstate Granite - 1.75%</t>
  </si>
  <si>
    <t>Web Dynamics - 1.75%</t>
  </si>
  <si>
    <t>Universal P&amp;C - 1.25%</t>
  </si>
  <si>
    <t>Atlantic Asphalt - 1.25%</t>
  </si>
  <si>
    <t>Kingdom Pavers - 1.75%</t>
  </si>
  <si>
    <t>Paradise RV - 1.75%</t>
  </si>
  <si>
    <t>Presitige Cleaning - 1.75%</t>
  </si>
  <si>
    <t>Bayside Pharmacy - 1.75%</t>
  </si>
  <si>
    <t>Cap Gap</t>
  </si>
  <si>
    <t>Farr Rentals - 1.75%</t>
  </si>
  <si>
    <t>Citigreen - 1.75%</t>
  </si>
  <si>
    <t>Independent Fire Group - 1.75%</t>
  </si>
  <si>
    <t>Portable Device Fix - 1.25%</t>
  </si>
  <si>
    <t>Pasillas Underground - 1.75%</t>
  </si>
  <si>
    <t>Sterndog Kennels - 1.75%</t>
  </si>
  <si>
    <t>Capital Investment Realty - 1.75%</t>
  </si>
  <si>
    <t>Just rev share</t>
  </si>
  <si>
    <t>Hire Talent - 1.75%</t>
  </si>
  <si>
    <t>Da Holz Enterprises - 1.75%</t>
  </si>
  <si>
    <t>Llugo - 1.75%</t>
  </si>
  <si>
    <t>Gunhand Welding - 1.25%</t>
  </si>
  <si>
    <t>Bylt - 1.25%</t>
  </si>
  <si>
    <t>Hursh Iron Works - 1.75%</t>
  </si>
  <si>
    <t>River Rock Energy - 1.75%</t>
  </si>
  <si>
    <t>JNR Equipment - 1.25%</t>
  </si>
  <si>
    <t>MNC Electric - 1.25%</t>
  </si>
  <si>
    <t>Talk of the Town Salon Suites - 1.75%</t>
  </si>
  <si>
    <t>Chapman - 1.75%</t>
  </si>
  <si>
    <t>Sheboygan Glass - 1.25%</t>
  </si>
  <si>
    <t>Proscapes - 1.75%</t>
  </si>
  <si>
    <t>Republic Homes - 1.75%</t>
  </si>
  <si>
    <t>Doug Williams Refridgeration - 1.75%</t>
  </si>
  <si>
    <t>Paschal Construction - 1.75%</t>
  </si>
  <si>
    <t>Penson and Green - 1.25%</t>
  </si>
  <si>
    <t>Shore Construction Services - 1.75%</t>
  </si>
  <si>
    <t>Chucho Produce - 1.75%</t>
  </si>
  <si>
    <t>WHL Construction - 1.75%</t>
  </si>
  <si>
    <t>Taste of India - 1.25%</t>
  </si>
  <si>
    <t>Brooke Tree Service - 1.75%</t>
  </si>
  <si>
    <t>Bailey Building - 1.75%</t>
  </si>
  <si>
    <t>Sunburst Trucking - 1.75%</t>
  </si>
  <si>
    <t>Archis irrigation Landscapping - 1.75%</t>
  </si>
  <si>
    <t>Mincon / Woodside Construction Services - 1.75%</t>
  </si>
  <si>
    <t>Cross Machine - 1.75%</t>
  </si>
  <si>
    <t>Civilty Management - 1.75%</t>
  </si>
  <si>
    <t>Anchor Realty - 1.75%</t>
  </si>
  <si>
    <t xml:space="preserve">Greg deal </t>
  </si>
  <si>
    <t>D Lux Printing - 1.75%</t>
  </si>
  <si>
    <t>Custom Marine Carpet - 1.75%</t>
  </si>
  <si>
    <t>Nutrition Solutions - 1.25%</t>
  </si>
  <si>
    <t>WKS Inc - 1.75%</t>
  </si>
  <si>
    <t>Platfrom</t>
  </si>
  <si>
    <t>Bright Pursuit - 1.25%</t>
  </si>
  <si>
    <t>Fix it Fast - 1.25%</t>
  </si>
  <si>
    <t>Five Star International Services - 1.75%</t>
  </si>
  <si>
    <t>Direct / Nick Channel</t>
  </si>
  <si>
    <t>Nexokin - 1.75%</t>
  </si>
  <si>
    <t>Sharp Custom - 1.75%</t>
  </si>
  <si>
    <t>Mooney's Heating Air - 1.75%</t>
  </si>
  <si>
    <t>Kizis Landscapping - 1.75%</t>
  </si>
  <si>
    <t>Revscale - 1.25%</t>
  </si>
  <si>
    <t>Vecmar - 1.25%</t>
  </si>
  <si>
    <t xml:space="preserve">Justin 5% of upsell (1.5% comm) </t>
  </si>
  <si>
    <t>CNW Consturction Services - 1.75%</t>
  </si>
  <si>
    <t>Ascension - 1.75%</t>
  </si>
  <si>
    <t>Olstrad Corporation - 1.75%</t>
  </si>
  <si>
    <t>Phoenix Marketing - 1.25%</t>
  </si>
  <si>
    <t>RC Transfer - 1.75%</t>
  </si>
  <si>
    <t>Greenhouses Hotel - 1.75%</t>
  </si>
  <si>
    <t>Logo Joes - 1.75%</t>
  </si>
  <si>
    <t>Smith Grain - 1.25%</t>
  </si>
  <si>
    <t>Baker Contracting - 1.75%</t>
  </si>
  <si>
    <t>Brians One Day Cleaner - 1.75%</t>
  </si>
  <si>
    <t>Guardian Medical - 1.75%</t>
  </si>
  <si>
    <t>Blackhowske - 1.75%</t>
  </si>
  <si>
    <t>Hale - 1.25%</t>
  </si>
  <si>
    <t>Smoky Mountain Pools - 1.25%</t>
  </si>
  <si>
    <t>2CK - 1.25%</t>
  </si>
  <si>
    <t>Top Line Hands - 1.75%</t>
  </si>
  <si>
    <t>JT Contracting - 1.25%</t>
  </si>
  <si>
    <t>4315 Manchester - 1.25%</t>
  </si>
  <si>
    <t>Coastal Pediatrics - 1.75%</t>
  </si>
  <si>
    <t>JR Putman - 1.75%</t>
  </si>
  <si>
    <t>Edge - 1.25%</t>
  </si>
  <si>
    <t xml:space="preserve">Justin Renew </t>
  </si>
  <si>
    <t>Food Service Refrigeration - 1.75%</t>
  </si>
  <si>
    <t>Chrome Carriers - 1.75%</t>
  </si>
  <si>
    <t>Atlantic Asphalt Paving - 1.25%</t>
  </si>
  <si>
    <t>Mac Exteriors - 1.25%</t>
  </si>
  <si>
    <t>North Atlanta - 1.75%</t>
  </si>
  <si>
    <t>Lancaster Beauty - 1.75%</t>
  </si>
  <si>
    <t>Ashley Cooper Homes - 1.75%</t>
  </si>
  <si>
    <t>StaffNow - 1.25%</t>
  </si>
  <si>
    <t>Don Wheeler - 1.75%</t>
  </si>
  <si>
    <t>La Source - 1.75%</t>
  </si>
  <si>
    <t>ASV Creations - 1.25%</t>
  </si>
  <si>
    <t>Xtreme Electric - 1.75%</t>
  </si>
  <si>
    <t>Family and Healthcae - 1.75%</t>
  </si>
  <si>
    <t>Barcellos Farrel - 1.75%</t>
  </si>
  <si>
    <t>JNJ Logistics - 1.75%</t>
  </si>
  <si>
    <t>Conare - 1.25%</t>
  </si>
  <si>
    <t>Rocamich - 1.75%</t>
  </si>
  <si>
    <t>All Pro Cooler - 1.75%</t>
  </si>
  <si>
    <t>Coastal Pediatric Dentistry - 1.75%</t>
  </si>
  <si>
    <t>STLM - 1.25%</t>
  </si>
  <si>
    <t>Lees Auto Recycling - 1.75%</t>
  </si>
  <si>
    <t>Cross Si - 1.25%</t>
  </si>
  <si>
    <t>JRM Construction - 1.75%</t>
  </si>
  <si>
    <t>South Fifth Automotive - 1.25%</t>
  </si>
  <si>
    <t>Capital Gururs</t>
  </si>
  <si>
    <t>PNW Transporation Solutions - 1.75%</t>
  </si>
  <si>
    <t>ESD Heavy Truck - 1.75%</t>
  </si>
  <si>
    <t>United Enterprise Builders - 1.75%</t>
  </si>
  <si>
    <t xml:space="preserve">Platform / Nick Channel </t>
  </si>
  <si>
    <t>La Finca Coffee - 1.25%</t>
  </si>
  <si>
    <t>Zoombroom - 1.75%</t>
  </si>
  <si>
    <t>S2DD Express Delivery - 1.75%</t>
  </si>
  <si>
    <t>County Line Transport - 1.75%</t>
  </si>
  <si>
    <t>Precision Cams - 1.25%</t>
  </si>
  <si>
    <t xml:space="preserve">Capital Gururs </t>
  </si>
  <si>
    <t>Compassionate Heartcare - 1.25%</t>
  </si>
  <si>
    <t>Podsearch - 1.75%</t>
  </si>
  <si>
    <t>American Kart - 1.25%</t>
  </si>
  <si>
    <t>Windwalker Transporation - 1.75%</t>
  </si>
  <si>
    <t>Jbstyesinco - 1.75%</t>
  </si>
  <si>
    <t xml:space="preserve">Bridge Funding </t>
  </si>
  <si>
    <t>Onyx Capital Tequila Partners - 1.25%</t>
  </si>
  <si>
    <t>Luzis Cleaning - 1.25%</t>
  </si>
  <si>
    <t>Floor Authority - 1.75%</t>
  </si>
  <si>
    <t>Dougherty Construction - 1.75%</t>
  </si>
  <si>
    <t>All One Lanscape - 1.25%</t>
  </si>
  <si>
    <t>369 Logistics - 1.25%</t>
  </si>
  <si>
    <t>555 Conklin - 1.75%</t>
  </si>
  <si>
    <t>Capital Gurus / Direct</t>
  </si>
  <si>
    <t>Justin rev share. Gurus $15k syn . 2% towards direct</t>
  </si>
  <si>
    <t>T&amp;D Grading - 1.25%</t>
  </si>
  <si>
    <t>Peterman Farms - 1.75%</t>
  </si>
  <si>
    <t>Montealegre Finanzas - 1.25%</t>
  </si>
  <si>
    <t>Castle Graphics - 1.75%</t>
  </si>
  <si>
    <t>Lather Transport - 1.25%</t>
  </si>
  <si>
    <t>US Bus Charter - 1.25%</t>
  </si>
  <si>
    <t>Edgar Law Group - 1.75%</t>
  </si>
  <si>
    <t>Shirt The City Printing - 1.25%</t>
  </si>
  <si>
    <t>System 4 - 1.75%</t>
  </si>
  <si>
    <t>Justin rev share. Gurus $40k syn ; NO BONUS</t>
  </si>
  <si>
    <t>Brother's Car Sale - 1.25%</t>
  </si>
  <si>
    <t>CNF Services - 1.25%</t>
  </si>
  <si>
    <t>Casa De Campo - 1.25%</t>
  </si>
  <si>
    <t>Figueredo Home Sharing - 1.75%</t>
  </si>
  <si>
    <t>Panthem - 1.75%</t>
  </si>
  <si>
    <t>A&amp;K - 1.75%</t>
  </si>
  <si>
    <t>Gabe's Professional Auto - 1.75%</t>
  </si>
  <si>
    <t xml:space="preserve">Lendflow </t>
  </si>
  <si>
    <t>Ram Transport - 1.25%</t>
  </si>
  <si>
    <t>J&amp;K Distrobution - 1.75%</t>
  </si>
  <si>
    <t>Tax Resolution Accounting - 1.75%</t>
  </si>
  <si>
    <t>Dumbo - 1.75%</t>
  </si>
  <si>
    <t>ACP Ent - 1.75%</t>
  </si>
  <si>
    <t>Global Design Build - 1.75%</t>
  </si>
  <si>
    <t>Apex Landscapping - 1.25%</t>
  </si>
  <si>
    <t>L.O. Outdoors - 1.75%</t>
  </si>
  <si>
    <t>ACS, LLC - 1.25%</t>
  </si>
  <si>
    <t>Myers &amp; Co - 1.25%</t>
  </si>
  <si>
    <t>NST - 1.75%</t>
  </si>
  <si>
    <t>Compass Framing &amp; Drywall - 1.25%</t>
  </si>
  <si>
    <t>Elite Diesel - 1.75%</t>
  </si>
  <si>
    <t>Advance American Funding</t>
  </si>
  <si>
    <t>Eden Interiors - 1.75%</t>
  </si>
  <si>
    <t>Shine Transporation - 1.25%</t>
  </si>
  <si>
    <t>Ascher - 1.25%</t>
  </si>
  <si>
    <t>Yamya - 1.75%</t>
  </si>
  <si>
    <t>Kh Exterior - 1.75%</t>
  </si>
  <si>
    <t>Blueline</t>
  </si>
  <si>
    <t>121234 LLC - 1.75%</t>
  </si>
  <si>
    <t>No Bonus - Capped at 1%</t>
  </si>
  <si>
    <t>Dracyon - 1.75%</t>
  </si>
  <si>
    <t>SSC Roofing - 1.25%</t>
  </si>
  <si>
    <t>Heritage Roofing - 1.75%</t>
  </si>
  <si>
    <t>KN Enterprises - 1.75%</t>
  </si>
  <si>
    <t>MJI Building Services - 1.75%</t>
  </si>
  <si>
    <t>CM Red - 1.75%</t>
  </si>
  <si>
    <t>T&amp;K Trucking - 1.75%</t>
  </si>
  <si>
    <t>Patriot Team - 1.75%</t>
  </si>
  <si>
    <t>FRJ - 1.75%</t>
  </si>
  <si>
    <t>Mininger Farms - 1.25%</t>
  </si>
  <si>
    <t>Fat Fowl - 1.75%</t>
  </si>
  <si>
    <t>1st Choice Commerical and Residential - 1.25%</t>
  </si>
  <si>
    <t>Willow Homes - 1.25%</t>
  </si>
  <si>
    <t>Instructional Access - 1.75%</t>
  </si>
  <si>
    <t>Speed Aviation - 1.25%</t>
  </si>
  <si>
    <t>5 De Mayo Restaurant - 1.75%</t>
  </si>
  <si>
    <t>TRC Logistics - 1.25%</t>
  </si>
  <si>
    <t>Aberdeen Bike - 1.75%</t>
  </si>
  <si>
    <t>PROS Corporate Housing - 1.25%</t>
  </si>
  <si>
    <t>K-Mel Industries - 1.75%</t>
  </si>
  <si>
    <t>Noble Plumbing - 1.25%</t>
  </si>
  <si>
    <t>Joes Gutter - 1.25%</t>
  </si>
  <si>
    <t>Fat Angelos - 1.75%</t>
  </si>
  <si>
    <t>Itech Auto Collisison - 1.75%</t>
  </si>
  <si>
    <t>Rainbow Lakes - 1.25%</t>
  </si>
  <si>
    <t>Erie Shore Car - 1.25%</t>
  </si>
  <si>
    <t>Dougs Place of Emerson - 1.25%</t>
  </si>
  <si>
    <t>Humble Transport - 1.75%</t>
  </si>
  <si>
    <t>Pavemaster Asphalt Paving - 1.25%</t>
  </si>
  <si>
    <t>RHSH - 1.75%</t>
  </si>
  <si>
    <t>Boston North - 1.25%</t>
  </si>
  <si>
    <t>FB Construction - 1.75%</t>
  </si>
  <si>
    <t>Daluki - 1.75%</t>
  </si>
  <si>
    <t>KBD - 1.75%</t>
  </si>
  <si>
    <t>Azores - 1.75%</t>
  </si>
  <si>
    <t>Shore Construction - 1.75%</t>
  </si>
  <si>
    <t>S&amp;S Structures - 1.75%</t>
  </si>
  <si>
    <t>JT Hill - 1.75%</t>
  </si>
  <si>
    <t>Materials Handling - 1.75%</t>
  </si>
  <si>
    <t>Roger Hemming - 1.25%</t>
  </si>
  <si>
    <t>Let's Roll Roll - 1.25%</t>
  </si>
  <si>
    <t>Cradle to Crayons - 1.75%</t>
  </si>
  <si>
    <t>5M Services - 1.25%</t>
  </si>
  <si>
    <t>Iron Bull - 1.75%</t>
  </si>
  <si>
    <t>RDF Trucking - 1.75%</t>
  </si>
  <si>
    <t>E&amp;M Equipment Sales - 1.75%</t>
  </si>
  <si>
    <t>Rick Curren Auto Sales - 1.25%</t>
  </si>
  <si>
    <t>Business Funding Marketplace</t>
  </si>
  <si>
    <t>Zanco - 1.25%</t>
  </si>
  <si>
    <t>Caulfield Family Auto - 1.25%</t>
  </si>
  <si>
    <t>New World Drayage - 1.75%</t>
  </si>
  <si>
    <t>SOS Computers - 1.75%</t>
  </si>
  <si>
    <t>Austin Landscape - 1.75%</t>
  </si>
  <si>
    <t>Mountain Home Improvements - 1.75%</t>
  </si>
  <si>
    <t>Austin Bazaar - 1.75%</t>
  </si>
  <si>
    <t xml:space="preserve">Justin 5% of upsell (1.75% comm) </t>
  </si>
  <si>
    <t>Elk Bound - 1.75%</t>
  </si>
  <si>
    <t>Sushi Tokyo - 1.75%</t>
  </si>
  <si>
    <t>Bumbo Distrobution - 1.75%</t>
  </si>
  <si>
    <t>Family A automax - 1.75%</t>
  </si>
  <si>
    <t>Specialty Delivery and Logistics - 1.75%</t>
  </si>
  <si>
    <t>Mechanical Services - 1.75%</t>
  </si>
  <si>
    <t>Credit Now Used Cars - 1.25%</t>
  </si>
  <si>
    <t>Independent Fire - 1.75%</t>
  </si>
  <si>
    <t>Performance Properties - 1.75%</t>
  </si>
  <si>
    <t>GF Management - 1.25%</t>
  </si>
  <si>
    <t>Incomm - 1.25%</t>
  </si>
  <si>
    <t>Thermal Technology - 1.25%</t>
  </si>
  <si>
    <t xml:space="preserve">Justin rev share renew. Gurus $25k syn </t>
  </si>
  <si>
    <t>Mansfield Medical - 1.75%</t>
  </si>
  <si>
    <t>Kinetic Energy - 1.75%</t>
  </si>
  <si>
    <t>Retreat Vacations - 1.75%</t>
  </si>
  <si>
    <t>J Bachman Design - 1.25%</t>
  </si>
  <si>
    <t>Arturo's Concrete - 1.75%</t>
  </si>
  <si>
    <t>MC Land and Properties - 1.25%</t>
  </si>
  <si>
    <t>MVE - 1.75%</t>
  </si>
  <si>
    <t xml:space="preserve">Direct / Monera </t>
  </si>
  <si>
    <t xml:space="preserve">Justin 5% of upsell (5% comm) - 1% Monera </t>
  </si>
  <si>
    <t>Pipe ED Plumbing - 1.75%</t>
  </si>
  <si>
    <t>Hammond Air Conditioning - 1.75%</t>
  </si>
  <si>
    <t>Fuller Family - 1.75%</t>
  </si>
  <si>
    <t>ND&amp;D - 1.75%</t>
  </si>
  <si>
    <t>Gary Surdyke Motorcycle - 1.75%</t>
  </si>
  <si>
    <t>AGI Stone works - 1.75%</t>
  </si>
  <si>
    <t>Mac Exteriors - 1.75%</t>
  </si>
  <si>
    <t>Remblake - 1.25%</t>
  </si>
  <si>
    <t>Auction Brokers - 1.25%</t>
  </si>
  <si>
    <t>Retreat Construction - 1.75%</t>
  </si>
  <si>
    <t>Forward BMW - 1.75%</t>
  </si>
  <si>
    <t>Able Helpes</t>
  </si>
  <si>
    <t>Advanced Environmental - 1.75%</t>
  </si>
  <si>
    <t>Direct / Newport</t>
  </si>
  <si>
    <t>Commonwealth Roofing - 1.75%</t>
  </si>
  <si>
    <t>El Paso's - 1.75%</t>
  </si>
  <si>
    <t>Archis Irrigation - 1.75%</t>
  </si>
  <si>
    <t>D-Lux Printing - 1.75%</t>
  </si>
  <si>
    <t>Barnes Hauling Company - 1.75%</t>
  </si>
  <si>
    <t>3TS - 1.25%</t>
  </si>
  <si>
    <t>Wicked Wrenches BN Auto - 1.75%</t>
  </si>
  <si>
    <t>Continental Pool Builders - 1.75%</t>
  </si>
  <si>
    <t>GNLC - 1.25%</t>
  </si>
  <si>
    <t>Auto Parts Courier - 1.75%</t>
  </si>
  <si>
    <t>Echoone Ventures - 1.75%</t>
  </si>
  <si>
    <t>Suncoast - 1.75%</t>
  </si>
  <si>
    <t>Master Tech GA  - 1.75%</t>
  </si>
  <si>
    <t>Sierra Consulintg - 1.25%</t>
  </si>
  <si>
    <t>Woodside Construction - 1.25%</t>
  </si>
  <si>
    <t xml:space="preserve">Justin 5% of upsell </t>
  </si>
  <si>
    <t>Package Delivery Express - 1.75%</t>
  </si>
  <si>
    <t>Penedos Trucking - 1.75%</t>
  </si>
  <si>
    <t>Friesens Finest - 1.75%</t>
  </si>
  <si>
    <t>Integrity Finishes - 1.75%</t>
  </si>
  <si>
    <t>Avast Realty - 1.25%</t>
  </si>
  <si>
    <t>Padel - 1.75%</t>
  </si>
  <si>
    <t>Rincon Investment - 1.75%</t>
  </si>
  <si>
    <t>Shaw Heavy Equipment - 1.75%</t>
  </si>
  <si>
    <t xml:space="preserve">Royal Funding </t>
  </si>
  <si>
    <t>BFG Enterprises - 1.75%</t>
  </si>
  <si>
    <t>RB Development - 1.25%</t>
  </si>
  <si>
    <t>A To Z Property - 1.25%</t>
  </si>
  <si>
    <t>Greenways Clearing - 1.25%</t>
  </si>
  <si>
    <t>Angels Around Home Care - 1.75%</t>
  </si>
  <si>
    <t>Clemm Tenn Contracting - 1.25%</t>
  </si>
  <si>
    <t>Paradise Custom Pools / Alligned Construction - 1.25%</t>
  </si>
  <si>
    <t>Platinum Auto Glass - 1.25%</t>
  </si>
  <si>
    <t>PCM - 1.75%</t>
  </si>
  <si>
    <t>Snyder Manufacturing - 1.25%</t>
  </si>
  <si>
    <t>Jamie James Car Medic - 1.75%</t>
  </si>
  <si>
    <t>Missed 1/28/25</t>
  </si>
  <si>
    <t>Jamie James Car Medic - 1.25%</t>
  </si>
  <si>
    <t>Jamie James Motor - 1.25% (missed 4)</t>
  </si>
  <si>
    <t>Missed 11/22/23</t>
  </si>
  <si>
    <t>Agtech - 1.75%</t>
  </si>
  <si>
    <t>Mission Motors - 1.75%</t>
  </si>
  <si>
    <t>Gold Line - 1.75%</t>
  </si>
  <si>
    <t>Ichiban - 1.75%</t>
  </si>
  <si>
    <t>Towne Housing - 1.25%</t>
  </si>
  <si>
    <t>Bidleman Auto Group / Hartway Motors - 1.75%</t>
  </si>
  <si>
    <t>Able Helpers Homecare - 1.25%</t>
  </si>
  <si>
    <t>Espinoza - 1.75%</t>
  </si>
  <si>
    <t>Kitchen Direct - 1.75%</t>
  </si>
  <si>
    <t>Major Staffing - 1.75%</t>
  </si>
  <si>
    <t>HIRE Talent - 1.25%</t>
  </si>
  <si>
    <t>River Supply - 1.75%</t>
  </si>
  <si>
    <t>Wildside Clothing - 1.75%</t>
  </si>
  <si>
    <t xml:space="preserve">Byzloan </t>
  </si>
  <si>
    <t>GMG Industries - 1.75%</t>
  </si>
  <si>
    <t>Barcello's Farrel - 1.25%</t>
  </si>
  <si>
    <t>Branchin Off Tree Service - 1.75%</t>
  </si>
  <si>
    <t>Patmon Law - 1.75%</t>
  </si>
  <si>
    <t>Jammer - 1.75%</t>
  </si>
  <si>
    <t>McGuire &amp; Associates - 1.75%</t>
  </si>
  <si>
    <t>Vital Sign Homecare - 1.75%</t>
  </si>
  <si>
    <t>Phipps - 1.75%</t>
  </si>
  <si>
    <t>Coastal Financial - 1.25%</t>
  </si>
  <si>
    <t>Solo Motorsports - 1.25%</t>
  </si>
  <si>
    <t>Reflections of you - 1.25%</t>
  </si>
  <si>
    <t>Bayside Pharmacy - 1.25%</t>
  </si>
  <si>
    <t xml:space="preserve">Cap Gap </t>
  </si>
  <si>
    <t>Windermere Memory - 1.75%</t>
  </si>
  <si>
    <t>World Aerospace - 1.25%</t>
  </si>
  <si>
    <t>Alcaraz - 1.25%</t>
  </si>
  <si>
    <t>Sanderson Quality - 1.75%</t>
  </si>
  <si>
    <t>National Limo - 1.75%</t>
  </si>
  <si>
    <t>Justin - capped at 1% ; no bonus</t>
  </si>
  <si>
    <t>State Roofing - 1.25%</t>
  </si>
  <si>
    <t>3 Brothers Beach - 1.75%</t>
  </si>
  <si>
    <t>Luxury Pools - 1.75%</t>
  </si>
  <si>
    <t>Specialty Delivery &amp; Logistics - 1.75%</t>
  </si>
  <si>
    <t>Canyon Creek - 1.25%</t>
  </si>
  <si>
    <t>Data Network Solutions - 1.25%</t>
  </si>
  <si>
    <t>Gurus / Direct</t>
  </si>
  <si>
    <t>Justin rev share renew. Gurus $25k syn ; direct 3% comm</t>
  </si>
  <si>
    <t>Jarvis - 1.25%</t>
  </si>
  <si>
    <t>Exterior Solutions - 1.25%</t>
  </si>
  <si>
    <t>Greg Deal</t>
  </si>
  <si>
    <t>VT Solutions - 1.75%</t>
  </si>
  <si>
    <t>J&amp;H Painting - 1.25%</t>
  </si>
  <si>
    <t>Personal Touch - 1.25%</t>
  </si>
  <si>
    <t>Cardoso's - 1.25%</t>
  </si>
  <si>
    <t>LF Multicraft  - 1.75%</t>
  </si>
  <si>
    <t>Huntsville Residential Fencing - 1.75%</t>
  </si>
  <si>
    <t>Dental Capex</t>
  </si>
  <si>
    <t>R&amp;C Consulting - 1.25%</t>
  </si>
  <si>
    <t>Packline Technologies - 1.25%</t>
  </si>
  <si>
    <t>Southern Site - 1.75%</t>
  </si>
  <si>
    <t>Shaffer Trucking - 1.75%</t>
  </si>
  <si>
    <t>Building Envelope - 1.75%</t>
  </si>
  <si>
    <t>Manning - 1.75%</t>
  </si>
  <si>
    <t>R Steady - 1.25%</t>
  </si>
  <si>
    <t>Martinez Grease and Oil - 1.25%</t>
  </si>
  <si>
    <t>Mississippi Pro - 1.75%</t>
  </si>
  <si>
    <t>Coup 2012 - 1.25%</t>
  </si>
  <si>
    <t>Co 3230 - 1.25%</t>
  </si>
  <si>
    <t>Turns Incorporated - 1.25%</t>
  </si>
  <si>
    <t>RC Demolition - 1.25%</t>
  </si>
  <si>
    <t>Westcoastauto Auction - 1.25%</t>
  </si>
  <si>
    <t>Integrated Maintenance and Bus - 1.75%</t>
  </si>
  <si>
    <t>Berkely Beta - 1.75%</t>
  </si>
  <si>
    <t>Barret Concrete - 1.25%</t>
  </si>
  <si>
    <t>Victory Lane Motorcars - 1.25%</t>
  </si>
  <si>
    <t>Adrian Fence - 1.75%</t>
  </si>
  <si>
    <t>Muradu Construction - 1.25%</t>
  </si>
  <si>
    <t>Pegasus Group - 1.75%</t>
  </si>
  <si>
    <t>R&amp;M Enterprises - 1.25%</t>
  </si>
  <si>
    <t>Hammond - 1.75%</t>
  </si>
  <si>
    <t>ICU - 1.25%</t>
  </si>
  <si>
    <t>Circle TPR - 1.25%</t>
  </si>
  <si>
    <t>J&amp;J Harvesting - 1.75%</t>
  </si>
  <si>
    <t>Slinker Roofing - 1.75%</t>
  </si>
  <si>
    <t>The Bright Pursuit - 1.25%</t>
  </si>
  <si>
    <t>Motorcity Autos - 1.25%</t>
  </si>
  <si>
    <t>Corinthian Contractors - 1.75%</t>
  </si>
  <si>
    <t>Go Green Auto - 1.75%</t>
  </si>
  <si>
    <t>4XH Logistics - 1.75%</t>
  </si>
  <si>
    <t>Perfection Industrial - 1.75%</t>
  </si>
  <si>
    <t xml:space="preserve">Capital Gurus </t>
  </si>
  <si>
    <t>Nutraboss - 1.75%</t>
  </si>
  <si>
    <t>Renewal</t>
  </si>
  <si>
    <t xml:space="preserve"> </t>
  </si>
  <si>
    <t>Cafe Vico</t>
  </si>
  <si>
    <t xml:space="preserve">Sally Swanson </t>
  </si>
  <si>
    <t xml:space="preserve">Areej </t>
  </si>
  <si>
    <t xml:space="preserve">Frickers </t>
  </si>
  <si>
    <t>Doggie Couture</t>
  </si>
  <si>
    <t>Villa Plumbing</t>
  </si>
  <si>
    <t>Medical Center of Lehigh</t>
  </si>
  <si>
    <t xml:space="preserve">South Florida Stucco </t>
  </si>
  <si>
    <t xml:space="preserve">Anytime fitness </t>
  </si>
  <si>
    <t xml:space="preserve">Eskridge </t>
  </si>
  <si>
    <t xml:space="preserve">Jacobs Contracting </t>
  </si>
  <si>
    <t>South Florida Stucco</t>
  </si>
  <si>
    <t>Wa Welding</t>
  </si>
  <si>
    <t>Florence Hardware</t>
  </si>
  <si>
    <t>Sun Valley</t>
  </si>
  <si>
    <t>Tri City Roofing</t>
  </si>
  <si>
    <t>MJ Kelly</t>
  </si>
  <si>
    <t>FCA</t>
  </si>
  <si>
    <t>DV Estore</t>
  </si>
  <si>
    <t>Garman Trucking</t>
  </si>
  <si>
    <t xml:space="preserve">Wicked wings </t>
  </si>
  <si>
    <t>Strategic Construction</t>
  </si>
  <si>
    <t xml:space="preserve">CDL </t>
  </si>
  <si>
    <t xml:space="preserve">Massachusetts Material </t>
  </si>
  <si>
    <t>Muvall</t>
  </si>
  <si>
    <t>Tampa Rescue</t>
  </si>
  <si>
    <t xml:space="preserve">Huggins </t>
  </si>
  <si>
    <t>Jobot</t>
  </si>
  <si>
    <t>Turley Truck Service</t>
  </si>
  <si>
    <t>Super Tans</t>
  </si>
  <si>
    <t>Areej</t>
  </si>
  <si>
    <t>Clear Fork</t>
  </si>
  <si>
    <t xml:space="preserve">Bernard Grant </t>
  </si>
  <si>
    <t>CW Paint</t>
  </si>
  <si>
    <t>Stripe A Lot</t>
  </si>
  <si>
    <t xml:space="preserve">Autovocity </t>
  </si>
  <si>
    <t>Cali One</t>
  </si>
  <si>
    <t>CDL</t>
  </si>
  <si>
    <t>Hi Electric</t>
  </si>
  <si>
    <t>Pete Dospel</t>
  </si>
  <si>
    <t>Defense Distributed</t>
  </si>
  <si>
    <t>JWH Construction</t>
  </si>
  <si>
    <t>Coloma</t>
  </si>
  <si>
    <t>Dynamic Energy</t>
  </si>
  <si>
    <t>Areej Oil</t>
  </si>
  <si>
    <t>World Upholstery</t>
  </si>
  <si>
    <t>Perfect Wellness</t>
  </si>
  <si>
    <t>Eden Home Health Martin</t>
  </si>
  <si>
    <t>Broadnet</t>
  </si>
  <si>
    <t>Oak Ridge Landworks</t>
  </si>
  <si>
    <t>DIY</t>
  </si>
  <si>
    <t>Iwon</t>
  </si>
  <si>
    <t>Melt Gelato</t>
  </si>
  <si>
    <t>Modern Productions</t>
  </si>
  <si>
    <t>Advantage Dermatology</t>
  </si>
  <si>
    <t>Bluebell Massage</t>
  </si>
  <si>
    <t xml:space="preserve">Defense Distributed </t>
  </si>
  <si>
    <t xml:space="preserve">NHK Electrical </t>
  </si>
  <si>
    <t xml:space="preserve">Steves Meats </t>
  </si>
  <si>
    <t xml:space="preserve">AFG </t>
  </si>
  <si>
    <t>Sally Swanson</t>
  </si>
  <si>
    <t>Blue Line Equipment</t>
  </si>
  <si>
    <t>Grande Pizza</t>
  </si>
  <si>
    <t>La Original Tortilla</t>
  </si>
  <si>
    <t>Interstate Roadrunner</t>
  </si>
  <si>
    <t>Chill N Grill</t>
  </si>
  <si>
    <t>Mister Window</t>
  </si>
  <si>
    <t>Gary Trujillo</t>
  </si>
  <si>
    <t>Yard Barbours</t>
  </si>
  <si>
    <t>Tri-City Roofing</t>
  </si>
  <si>
    <t>Decolav</t>
  </si>
  <si>
    <t>Mass Transfer</t>
  </si>
  <si>
    <t xml:space="preserve">Oakland linen </t>
  </si>
  <si>
    <t>All State Office</t>
  </si>
  <si>
    <t>Planet Poodle</t>
  </si>
  <si>
    <t>Loader Express</t>
  </si>
  <si>
    <t>O'Neils</t>
  </si>
  <si>
    <t>Fred's Plumbing</t>
  </si>
  <si>
    <t>Landcare</t>
  </si>
  <si>
    <t>Blue Northern</t>
  </si>
  <si>
    <t>Brett Direct</t>
  </si>
  <si>
    <t>Wesley</t>
  </si>
  <si>
    <t>JFH Distribution</t>
  </si>
  <si>
    <t>Precision Well</t>
  </si>
  <si>
    <t>Foley Custom Pools</t>
  </si>
  <si>
    <t>Builders Electric</t>
  </si>
  <si>
    <t>Cathouse Marine</t>
  </si>
  <si>
    <t>Relle</t>
  </si>
  <si>
    <t>La Tortilla</t>
  </si>
  <si>
    <t>Worldwide Supply</t>
  </si>
  <si>
    <t>Space Age</t>
  </si>
  <si>
    <t>South Florida Fire</t>
  </si>
  <si>
    <t>R&amp;A Supply</t>
  </si>
  <si>
    <t>Anchor Renovations</t>
  </si>
  <si>
    <t>Perpetual</t>
  </si>
  <si>
    <t>Changing Landscapes</t>
  </si>
  <si>
    <t>Demello</t>
  </si>
  <si>
    <t>Pro Tree Kustoms</t>
  </si>
  <si>
    <t>I Won Nutrition</t>
  </si>
  <si>
    <t>Quality Custom Homes</t>
  </si>
  <si>
    <t>Southern Fibernet</t>
  </si>
  <si>
    <t>S Williams</t>
  </si>
  <si>
    <t>Lauren Landis</t>
  </si>
  <si>
    <t>Holistic Care</t>
  </si>
  <si>
    <t>AFG</t>
  </si>
  <si>
    <t>B&amp;G Express</t>
  </si>
  <si>
    <t>Serviceline</t>
  </si>
  <si>
    <t>Jacobs Contracting</t>
  </si>
  <si>
    <t>A. Feibusch Corp</t>
  </si>
  <si>
    <t>HTI Polymer</t>
  </si>
  <si>
    <t xml:space="preserve">Skin Health </t>
  </si>
  <si>
    <t>Iron Horse</t>
  </si>
  <si>
    <t xml:space="preserve">Muradu </t>
  </si>
  <si>
    <t>Bobs Custom Tile</t>
  </si>
  <si>
    <t>GBC Express</t>
  </si>
  <si>
    <t>Herrick and Son</t>
  </si>
  <si>
    <t xml:space="preserve">Inland </t>
  </si>
  <si>
    <t>TR Oliver</t>
  </si>
  <si>
    <t>Frank Dedicated</t>
  </si>
  <si>
    <t>Innate</t>
  </si>
  <si>
    <t>Antonio's Wheels</t>
  </si>
  <si>
    <t xml:space="preserve">Joe Montague </t>
  </si>
  <si>
    <t>Portable Air</t>
  </si>
  <si>
    <t xml:space="preserve">Laelas </t>
  </si>
  <si>
    <t>Volute Partners</t>
  </si>
  <si>
    <t>Four Corners Insurance</t>
  </si>
  <si>
    <t>Chicken Pantry</t>
  </si>
  <si>
    <t>Wireless Enterprises</t>
  </si>
  <si>
    <t>R&amp;D Timber</t>
  </si>
  <si>
    <t>Capital Overhead</t>
  </si>
  <si>
    <t>GBS Barr Holdings</t>
  </si>
  <si>
    <t>Sante Fe Flooring</t>
  </si>
  <si>
    <t>360 Cloud Solutions</t>
  </si>
  <si>
    <t>Repair Physical Therapy</t>
  </si>
  <si>
    <t>Bluelake Utility</t>
  </si>
  <si>
    <t xml:space="preserve">Kotas Enterprises </t>
  </si>
  <si>
    <t>Morton Solar</t>
  </si>
  <si>
    <t>A&amp;N Logging</t>
  </si>
  <si>
    <t xml:space="preserve">Crosscut Construction </t>
  </si>
  <si>
    <t>Legacy Pools</t>
  </si>
  <si>
    <t>Changing Landscaped</t>
  </si>
  <si>
    <t xml:space="preserve">MIW Distrobution </t>
  </si>
  <si>
    <t xml:space="preserve">Renovate Construction </t>
  </si>
  <si>
    <t xml:space="preserve">Roadrunner </t>
  </si>
  <si>
    <t xml:space="preserve">Arrowhead </t>
  </si>
  <si>
    <t xml:space="preserve">R2 Barber </t>
  </si>
  <si>
    <t>Empire Contractors of CNY</t>
  </si>
  <si>
    <t>Millwork Pioneers</t>
  </si>
  <si>
    <t>Erin Industries</t>
  </si>
  <si>
    <t xml:space="preserve">Cut-Rite Harvesting </t>
  </si>
  <si>
    <t xml:space="preserve">Carr Automotive </t>
  </si>
  <si>
    <t>Bazaar</t>
  </si>
  <si>
    <t>Indigenous By La Rue</t>
  </si>
  <si>
    <t xml:space="preserve">Connor Construction Services </t>
  </si>
  <si>
    <t>Atlanta One</t>
  </si>
  <si>
    <t>Great Lakes</t>
  </si>
  <si>
    <t>RTPR</t>
  </si>
  <si>
    <t xml:space="preserve">Advantage Dermatology </t>
  </si>
  <si>
    <t>MCF Controls</t>
  </si>
  <si>
    <t>Industrial Controls</t>
  </si>
  <si>
    <t>Ichiban</t>
  </si>
  <si>
    <t>KMC Trucking</t>
  </si>
  <si>
    <t>International Protective Service</t>
  </si>
  <si>
    <t>M &amp; I Heating and Air</t>
  </si>
  <si>
    <t>Lightening Strike</t>
  </si>
  <si>
    <t xml:space="preserve">Hi Electric </t>
  </si>
  <si>
    <t>M&amp;C Metal</t>
  </si>
  <si>
    <t>Massachusetts Material</t>
  </si>
  <si>
    <t xml:space="preserve">RJP </t>
  </si>
  <si>
    <t>Volute</t>
  </si>
  <si>
    <t>Eastern Freight</t>
  </si>
  <si>
    <t>JWH</t>
  </si>
  <si>
    <t>Fire Seal</t>
  </si>
  <si>
    <t>LLCoolDre</t>
  </si>
  <si>
    <t>Morgan Mechanical</t>
  </si>
  <si>
    <t>Southern Select</t>
  </si>
  <si>
    <t>Morins Concrete</t>
  </si>
  <si>
    <t xml:space="preserve">Fred's Plubming </t>
  </si>
  <si>
    <t>Aqua Haven</t>
  </si>
  <si>
    <t>East West Coffee</t>
  </si>
  <si>
    <t>Lawn Mower Parts World</t>
  </si>
  <si>
    <t xml:space="preserve">AC Architecural </t>
  </si>
  <si>
    <t xml:space="preserve">SOS </t>
  </si>
  <si>
    <t>J &amp; K Contracting</t>
  </si>
  <si>
    <t>Silk Tree Warehouse</t>
  </si>
  <si>
    <t>Waynes Welding</t>
  </si>
  <si>
    <t>Ft Bend Fajita</t>
  </si>
  <si>
    <t>Texas Elite Exotics</t>
  </si>
  <si>
    <t>Learning Ladders</t>
  </si>
  <si>
    <t>Absolute Design Services</t>
  </si>
  <si>
    <t>Cilantro</t>
  </si>
  <si>
    <t>UST General</t>
  </si>
  <si>
    <t>High Efficiency Power Solutions</t>
  </si>
  <si>
    <t>Mookambika Group</t>
  </si>
  <si>
    <t xml:space="preserve">Mister Windows </t>
  </si>
  <si>
    <t>Home Build</t>
  </si>
  <si>
    <t>Enigma</t>
  </si>
  <si>
    <t xml:space="preserve">B &amp; M Construction </t>
  </si>
  <si>
    <t>JBR</t>
  </si>
  <si>
    <t>Redline</t>
  </si>
  <si>
    <t>Side Car Lansing</t>
  </si>
  <si>
    <t>Team USA</t>
  </si>
  <si>
    <t>JFH</t>
  </si>
  <si>
    <t xml:space="preserve">Ground Penetration </t>
  </si>
  <si>
    <t>Certified</t>
  </si>
  <si>
    <t>RFKP Logistics</t>
  </si>
  <si>
    <t xml:space="preserve">Black Bear Paving </t>
  </si>
  <si>
    <t>LL Industries</t>
  </si>
  <si>
    <t>The Chicken Pantry</t>
  </si>
  <si>
    <t>MJC Trucking</t>
  </si>
  <si>
    <t>Contractor Solutions Group</t>
  </si>
  <si>
    <t>Greenfield Senior Living</t>
  </si>
  <si>
    <t>River Pointe Electric</t>
  </si>
  <si>
    <t>Advantage Electric</t>
  </si>
  <si>
    <t>6Hallz</t>
  </si>
  <si>
    <t>Specialty Machine Works</t>
  </si>
  <si>
    <t>Baseline NXT</t>
  </si>
  <si>
    <t>Rapid Reload</t>
  </si>
  <si>
    <t>Pro paver</t>
  </si>
  <si>
    <t xml:space="preserve">McKinley </t>
  </si>
  <si>
    <t>Kotas</t>
  </si>
  <si>
    <t>Walts Automotive</t>
  </si>
  <si>
    <t>Pak Immagration</t>
  </si>
  <si>
    <t>USTG</t>
  </si>
  <si>
    <t>Antonios Wheels</t>
  </si>
  <si>
    <t>Apparatus Equipment</t>
  </si>
  <si>
    <t>LKW Trucking</t>
  </si>
  <si>
    <t>4 Angels</t>
  </si>
  <si>
    <t>Midwest Overnight</t>
  </si>
  <si>
    <t>Valley Fire and Security</t>
  </si>
  <si>
    <t xml:space="preserve">Advanced Dermatology </t>
  </si>
  <si>
    <t>CL Dale</t>
  </si>
  <si>
    <t>Stays By Walker</t>
  </si>
  <si>
    <t xml:space="preserve">Muzco </t>
  </si>
  <si>
    <t>Hatch Concrete</t>
  </si>
  <si>
    <t>Kelly Global</t>
  </si>
  <si>
    <t>Johnson Steam</t>
  </si>
  <si>
    <t xml:space="preserve">Amco Steel </t>
  </si>
  <si>
    <t>Baseline NXC</t>
  </si>
  <si>
    <t xml:space="preserve">Arise Construction </t>
  </si>
  <si>
    <t>Lone Haranguer</t>
  </si>
  <si>
    <t>Ehrhart Construction</t>
  </si>
  <si>
    <t>Zachary Galotta</t>
  </si>
  <si>
    <t xml:space="preserve">Relle </t>
  </si>
  <si>
    <t>Ballon Prime</t>
  </si>
  <si>
    <t>Excellence</t>
  </si>
  <si>
    <t>Bluelake Utility Services</t>
  </si>
  <si>
    <t>Renova</t>
  </si>
  <si>
    <t>Studianos</t>
  </si>
  <si>
    <t xml:space="preserve">Kumul Transportation </t>
  </si>
  <si>
    <t xml:space="preserve">AA Family Construction </t>
  </si>
  <si>
    <t>Miller, Stillman, Bartel</t>
  </si>
  <si>
    <t>LLcooldre</t>
  </si>
  <si>
    <t xml:space="preserve">Encore Mechanical </t>
  </si>
  <si>
    <t>Cook Digital</t>
  </si>
  <si>
    <t>Dependable</t>
  </si>
  <si>
    <t xml:space="preserve">One Stop Plastering </t>
  </si>
  <si>
    <t xml:space="preserve">Hudson Edge </t>
  </si>
  <si>
    <t>Prestigious Foundation</t>
  </si>
  <si>
    <t>Trujillo Construction</t>
  </si>
  <si>
    <t>K Smitley</t>
  </si>
  <si>
    <t>LL CoolDre</t>
  </si>
  <si>
    <t xml:space="preserve">Bonin </t>
  </si>
  <si>
    <t xml:space="preserve">Linden auto spa </t>
  </si>
  <si>
    <t>Pro Tree Kustons</t>
  </si>
  <si>
    <t xml:space="preserve">US Sheet Metal </t>
  </si>
  <si>
    <t>Ox and Sons</t>
  </si>
  <si>
    <t xml:space="preserve">South Florida Fire Protection </t>
  </si>
  <si>
    <t>Jimmy 4x4</t>
  </si>
  <si>
    <t xml:space="preserve">Planet Poodle </t>
  </si>
  <si>
    <t>Oakland Linen</t>
  </si>
  <si>
    <t xml:space="preserve">Ehrhart Construction </t>
  </si>
  <si>
    <t>Crosscut Constructon</t>
  </si>
  <si>
    <t>Blitz Transit</t>
  </si>
  <si>
    <t>Herrick</t>
  </si>
  <si>
    <t>Superior Household</t>
  </si>
  <si>
    <t>Forest Surverying</t>
  </si>
  <si>
    <t xml:space="preserve">Hammond Air Conditioning </t>
  </si>
  <si>
    <t>4 Angels Healthcare</t>
  </si>
  <si>
    <t>Nova Pest Control</t>
  </si>
  <si>
    <t>Josey Trucking</t>
  </si>
  <si>
    <t>O'Neil's</t>
  </si>
  <si>
    <t>Circle TPR</t>
  </si>
  <si>
    <t>Arise</t>
  </si>
  <si>
    <t>Ecoview Windows</t>
  </si>
  <si>
    <t xml:space="preserve">M &amp; G Transportation </t>
  </si>
  <si>
    <t>Global Gathering</t>
  </si>
  <si>
    <t>BCS Capital</t>
  </si>
  <si>
    <t>Inland Valley</t>
  </si>
  <si>
    <t xml:space="preserve">Blue Line Equipment </t>
  </si>
  <si>
    <t>California Specialty Insulation</t>
  </si>
  <si>
    <t>Ironstep</t>
  </si>
  <si>
    <t>Ruckle</t>
  </si>
  <si>
    <t>National Auto Tools</t>
  </si>
  <si>
    <t>Cali One Services</t>
  </si>
  <si>
    <t>Texas General Sports</t>
  </si>
  <si>
    <t>Garnica's</t>
  </si>
  <si>
    <t>Silk Road</t>
  </si>
  <si>
    <t>PTL Transport</t>
  </si>
  <si>
    <t>Epoch</t>
  </si>
  <si>
    <t>Linderham</t>
  </si>
  <si>
    <t>Colon Transforming Space</t>
  </si>
  <si>
    <t>Revelwear</t>
  </si>
  <si>
    <t>FFJ Logistics</t>
  </si>
  <si>
    <t>Style Wright</t>
  </si>
  <si>
    <t>Zoom Media</t>
  </si>
  <si>
    <t xml:space="preserve">Rajs Delivery Service </t>
  </si>
  <si>
    <t>Brazos Tractor</t>
  </si>
  <si>
    <t>Leighs Trucking</t>
  </si>
  <si>
    <t>Valentes</t>
  </si>
  <si>
    <t>Awesome Merchandise</t>
  </si>
  <si>
    <t>AP Auto Sales</t>
  </si>
  <si>
    <t>Bernard Grant</t>
  </si>
  <si>
    <t>Explosive Tech</t>
  </si>
  <si>
    <t>Your Plumbing Contractors</t>
  </si>
  <si>
    <t>Janus</t>
  </si>
  <si>
    <t>Kapow</t>
  </si>
  <si>
    <t>Ondek Healthcare</t>
  </si>
  <si>
    <t>Oak Ridge</t>
  </si>
  <si>
    <t xml:space="preserve">Platinum Transportation </t>
  </si>
  <si>
    <t>Twin Falls</t>
  </si>
  <si>
    <t xml:space="preserve">Jets Amazing Glazing </t>
  </si>
  <si>
    <t>FD Miller</t>
  </si>
  <si>
    <t>Black Star</t>
  </si>
  <si>
    <t>TNT Hair</t>
  </si>
  <si>
    <t>Specialized Refinishing Co</t>
  </si>
  <si>
    <t>D&amp;S Property</t>
  </si>
  <si>
    <t>Linden</t>
  </si>
  <si>
    <t>Certified Multimedia</t>
  </si>
  <si>
    <t>Masko</t>
  </si>
  <si>
    <t>Sixtyfive</t>
  </si>
  <si>
    <t>Greers</t>
  </si>
  <si>
    <t>Tri City</t>
  </si>
  <si>
    <t>Nova Pest Control Add On</t>
  </si>
  <si>
    <t xml:space="preserve">141 Dental Studio </t>
  </si>
  <si>
    <t>A &amp; J Print &amp; Stitch</t>
  </si>
  <si>
    <t>JFW Freight</t>
  </si>
  <si>
    <t xml:space="preserve">L7 Transportation </t>
  </si>
  <si>
    <t>Red Zone</t>
  </si>
  <si>
    <t xml:space="preserve">Pool Services </t>
  </si>
  <si>
    <t>Mininger Farms</t>
  </si>
  <si>
    <t>Amarillo Steam</t>
  </si>
  <si>
    <t>Southers Construction</t>
  </si>
  <si>
    <t>Law Office of Kevin Mackay</t>
  </si>
  <si>
    <t xml:space="preserve">4 Angels </t>
  </si>
  <si>
    <t>Pacific Aviation</t>
  </si>
  <si>
    <t>Miami Depot</t>
  </si>
  <si>
    <t xml:space="preserve">SOS Recycling </t>
  </si>
  <si>
    <t>Eskridge</t>
  </si>
  <si>
    <t>Coastal Alabama</t>
  </si>
  <si>
    <t xml:space="preserve">Ricardos Nursery </t>
  </si>
  <si>
    <t>Fallen Leaf</t>
  </si>
  <si>
    <t>Atlas Plumbing</t>
  </si>
  <si>
    <t xml:space="preserve">Sturgeon Creek Construction </t>
  </si>
  <si>
    <t xml:space="preserve">Viking Commodities </t>
  </si>
  <si>
    <t>Pembridge</t>
  </si>
  <si>
    <t>Hudson</t>
  </si>
  <si>
    <t>JP Fencing</t>
  </si>
  <si>
    <t>East Side Family</t>
  </si>
  <si>
    <t>Yard Barbour</t>
  </si>
  <si>
    <t>Adaptive Enterprise</t>
  </si>
  <si>
    <t>Galt Ocean</t>
  </si>
  <si>
    <t>Patton</t>
  </si>
  <si>
    <t>Ford Ave</t>
  </si>
  <si>
    <t>Occupational Management</t>
  </si>
  <si>
    <t>Air Flo</t>
  </si>
  <si>
    <t>BCS</t>
  </si>
  <si>
    <t>RJP</t>
  </si>
  <si>
    <t>Goff</t>
  </si>
  <si>
    <t>Littco Metals</t>
  </si>
  <si>
    <t>Brock Express</t>
  </si>
  <si>
    <t>Comfort Cec</t>
  </si>
  <si>
    <t>Cabinet Shop</t>
  </si>
  <si>
    <t>Rosewood Management</t>
  </si>
  <si>
    <t>Downtown Louie</t>
  </si>
  <si>
    <t xml:space="preserve">Hays Electrical </t>
  </si>
  <si>
    <t>All Vision</t>
  </si>
  <si>
    <t xml:space="preserve">Red Steel Construction </t>
  </si>
  <si>
    <t>Deco Lav</t>
  </si>
  <si>
    <t>Zachary Gallota Repair</t>
  </si>
  <si>
    <t>Rene Genelle</t>
  </si>
  <si>
    <t>Vermont Shade and Blind</t>
  </si>
  <si>
    <t xml:space="preserve">MBE Group </t>
  </si>
  <si>
    <t>Kelly Pneumatics</t>
  </si>
  <si>
    <t>Pak Immigration</t>
  </si>
  <si>
    <t>So Cal Transport</t>
  </si>
  <si>
    <t>Talon Veteran</t>
  </si>
  <si>
    <t>LWG Construction</t>
  </si>
  <si>
    <t>Seagull</t>
  </si>
  <si>
    <t>Specialty Sanitation</t>
  </si>
  <si>
    <t>2585 Oro Dam</t>
  </si>
  <si>
    <t>Leon's Floors Inc</t>
  </si>
  <si>
    <t>Americos Drywall</t>
  </si>
  <si>
    <t>Anytime Power Partners</t>
  </si>
  <si>
    <t>Amity Home Care of Yuma</t>
  </si>
  <si>
    <t xml:space="preserve">Travis Creech </t>
  </si>
  <si>
    <t>Baseline Communications</t>
  </si>
  <si>
    <t>M&amp;C Metal Works</t>
  </si>
  <si>
    <t xml:space="preserve">Phoenix Mold Engineering </t>
  </si>
  <si>
    <t>Huggins</t>
  </si>
  <si>
    <t>Terminus</t>
  </si>
  <si>
    <t>Leeward Construction</t>
  </si>
  <si>
    <t>Bowman Steel</t>
  </si>
  <si>
    <t>2212 Marketing</t>
  </si>
  <si>
    <t>Braden</t>
  </si>
  <si>
    <t>Crosscut</t>
  </si>
  <si>
    <t>Perfomance Off Road</t>
  </si>
  <si>
    <t>Superior Granite</t>
  </si>
  <si>
    <t>R2 Barbershop</t>
  </si>
  <si>
    <t>Jesses Equipment</t>
  </si>
  <si>
    <t>Urbane Flooring</t>
  </si>
  <si>
    <t>Bobby Fresh</t>
  </si>
  <si>
    <t xml:space="preserve">United Republic Construction </t>
  </si>
  <si>
    <t>Avartara</t>
  </si>
  <si>
    <t>Georgia Vending Service</t>
  </si>
  <si>
    <t>LL Cool Dre</t>
  </si>
  <si>
    <t>Stevie Meats</t>
  </si>
  <si>
    <t>Southern Equipment</t>
  </si>
  <si>
    <t>Schienke Trucking</t>
  </si>
  <si>
    <t>Browder Metals</t>
  </si>
  <si>
    <t>Dussan Inc</t>
  </si>
  <si>
    <t>Morins</t>
  </si>
  <si>
    <t>Phantom Labs</t>
  </si>
  <si>
    <t>Sanitation Process Control</t>
  </si>
  <si>
    <t>Muradu</t>
  </si>
  <si>
    <t xml:space="preserve">Changing Landscapes </t>
  </si>
  <si>
    <t>Stylewright</t>
  </si>
  <si>
    <t>English Contractor</t>
  </si>
  <si>
    <t>Juan Ernesto Distrobution</t>
  </si>
  <si>
    <t>Rev Honey</t>
  </si>
  <si>
    <t>Trucks and Toys</t>
  </si>
  <si>
    <t>Hudson Catering</t>
  </si>
  <si>
    <t>Love Alf</t>
  </si>
  <si>
    <t>Broadhead</t>
  </si>
  <si>
    <t>Eastwind Construction</t>
  </si>
  <si>
    <t>Shine Transportation</t>
  </si>
  <si>
    <t>J&amp;J Harvesting</t>
  </si>
  <si>
    <t>Jastrezebskis</t>
  </si>
  <si>
    <t xml:space="preserve">Contractor Solution Group </t>
  </si>
  <si>
    <t>Remco Machining</t>
  </si>
  <si>
    <t xml:space="preserve">The Harbor at Newville </t>
  </si>
  <si>
    <t xml:space="preserve">Baycliff </t>
  </si>
  <si>
    <t>Toga Bike Shop</t>
  </si>
  <si>
    <t>Blueprint Consulting Services</t>
  </si>
  <si>
    <t>Americos</t>
  </si>
  <si>
    <t>Grace Harmony</t>
  </si>
  <si>
    <t xml:space="preserve">ACA </t>
  </si>
  <si>
    <t>Franktown</t>
  </si>
  <si>
    <t>CDL Williams Dallas</t>
  </si>
  <si>
    <t>International Protective</t>
  </si>
  <si>
    <t>La Orginal Tortilla</t>
  </si>
  <si>
    <t>Comfy Belly</t>
  </si>
  <si>
    <t>FCA Construction 2</t>
  </si>
  <si>
    <t>Anderson Tile and Granite</t>
  </si>
  <si>
    <t>Conor Construction</t>
  </si>
  <si>
    <t>Pro Pavers</t>
  </si>
  <si>
    <t>Hope Medical Care</t>
  </si>
  <si>
    <t>GRC Prime Bath</t>
  </si>
  <si>
    <t>Mister Windows</t>
  </si>
  <si>
    <t>BB Sons</t>
  </si>
  <si>
    <t>Llamas</t>
  </si>
  <si>
    <t>MXM NV Inc</t>
  </si>
  <si>
    <t>Harbor At Newville</t>
  </si>
  <si>
    <t>Crosscut Construction</t>
  </si>
  <si>
    <t>RM Home Renovation And Design</t>
  </si>
  <si>
    <t xml:space="preserve">Summit Sky Advisory </t>
  </si>
  <si>
    <t>Aapex Constructon</t>
  </si>
  <si>
    <t>Marcline Sheet Metal</t>
  </si>
  <si>
    <t>Pet Central Station</t>
  </si>
  <si>
    <t>Absolute Services of Michigan</t>
  </si>
  <si>
    <t xml:space="preserve">DLD3 Carts </t>
  </si>
  <si>
    <t xml:space="preserve">Diggers Landscapping </t>
  </si>
  <si>
    <t>Cut-Rite Harvesting</t>
  </si>
  <si>
    <t>Massachusetts Material Management</t>
  </si>
  <si>
    <t>Ramirez</t>
  </si>
  <si>
    <t>Fatman Plumbing</t>
  </si>
  <si>
    <t xml:space="preserve">K&amp;R Shipping Logistics </t>
  </si>
  <si>
    <t>Buttonwood</t>
  </si>
  <si>
    <t>Select Mecanical Services</t>
  </si>
  <si>
    <t>Quality Homes</t>
  </si>
  <si>
    <t>Highbury Concrete</t>
  </si>
  <si>
    <t>Oceana Mulch and Materials</t>
  </si>
  <si>
    <t>Modern Shade</t>
  </si>
  <si>
    <t xml:space="preserve">Aphinity </t>
  </si>
  <si>
    <t>Chris Drake</t>
  </si>
  <si>
    <t>TTE</t>
  </si>
  <si>
    <t>Adaptive</t>
  </si>
  <si>
    <t>My Family</t>
  </si>
  <si>
    <t xml:space="preserve">JP Construction </t>
  </si>
  <si>
    <t>Office Installation</t>
  </si>
  <si>
    <t>E Patton</t>
  </si>
  <si>
    <t xml:space="preserve">NBM Development </t>
  </si>
  <si>
    <t>Greenfield</t>
  </si>
  <si>
    <t>Punto Paisa</t>
  </si>
  <si>
    <t>Prestigous Foundations</t>
  </si>
  <si>
    <t>Foxcroft Pharmacy</t>
  </si>
  <si>
    <t>Melley</t>
  </si>
  <si>
    <t>So Cal</t>
  </si>
  <si>
    <t xml:space="preserve">Kindred Care </t>
  </si>
  <si>
    <t>Lil Steves</t>
  </si>
  <si>
    <t>GCJ</t>
  </si>
  <si>
    <t>M and G Transportation</t>
  </si>
  <si>
    <t xml:space="preserve">Landrum Resources </t>
  </si>
  <si>
    <t>JGM</t>
  </si>
  <si>
    <t>Innate Medical</t>
  </si>
  <si>
    <t>Lawnmower</t>
  </si>
  <si>
    <t>Gifting Group</t>
  </si>
  <si>
    <t>Custom Home Productions</t>
  </si>
  <si>
    <t>Ford Motors</t>
  </si>
  <si>
    <t xml:space="preserve">Landcare </t>
  </si>
  <si>
    <t xml:space="preserve">Better Living Home Builders </t>
  </si>
  <si>
    <t>Baseline</t>
  </si>
  <si>
    <t>High Sierra</t>
  </si>
  <si>
    <t>RJP Physical Repair</t>
  </si>
  <si>
    <t xml:space="preserve">Hudson </t>
  </si>
  <si>
    <t>Chx Pantry</t>
  </si>
  <si>
    <t xml:space="preserve">Northern </t>
  </si>
  <si>
    <t>Home Front</t>
  </si>
  <si>
    <t>Wolftever Sales</t>
  </si>
  <si>
    <t>Gomez Miranda</t>
  </si>
  <si>
    <t>Millwork 1</t>
  </si>
  <si>
    <t>Millwork 2</t>
  </si>
  <si>
    <t>Millwork 3</t>
  </si>
  <si>
    <t>Millwork 4</t>
  </si>
  <si>
    <t>Heliosun</t>
  </si>
  <si>
    <t>Level Up Auto Sales</t>
  </si>
  <si>
    <t>JBW Installations</t>
  </si>
  <si>
    <t>AAA Tree Service</t>
  </si>
  <si>
    <t>Lynch Trucking</t>
  </si>
  <si>
    <t>MJ Kelly 1</t>
  </si>
  <si>
    <t>MJ Kelly 2</t>
  </si>
  <si>
    <t>BB and Son</t>
  </si>
  <si>
    <t>Vermont Shade</t>
  </si>
  <si>
    <t>Laundry and Equipment</t>
  </si>
  <si>
    <t>Vulture Transport</t>
  </si>
  <si>
    <t>K G Construction</t>
  </si>
  <si>
    <t xml:space="preserve">LCH Services </t>
  </si>
  <si>
    <t xml:space="preserve">APH Quality </t>
  </si>
  <si>
    <t>Ageis Coastal Provisions</t>
  </si>
  <si>
    <t>Turner Power Equipment</t>
  </si>
  <si>
    <t>Sixty Five</t>
  </si>
  <si>
    <t xml:space="preserve">Mass Material </t>
  </si>
  <si>
    <t>R &amp; A Supply</t>
  </si>
  <si>
    <t>Phil's Meat Market</t>
  </si>
  <si>
    <t>Rhino Homes</t>
  </si>
  <si>
    <t>Big Yeti Bulders</t>
  </si>
  <si>
    <t>Mossy Oak</t>
  </si>
  <si>
    <t xml:space="preserve">American Wholesale </t>
  </si>
  <si>
    <t>Huntinburg</t>
  </si>
  <si>
    <t>Solartech</t>
  </si>
  <si>
    <t>Pioneer Air</t>
  </si>
  <si>
    <t>WCS; Lawns of Dallas</t>
  </si>
  <si>
    <t>LLcoolDre</t>
  </si>
  <si>
    <t>West coast</t>
  </si>
  <si>
    <t>Balloonprime</t>
  </si>
  <si>
    <t>Constantinou</t>
  </si>
  <si>
    <t>Turner Power Sports</t>
  </si>
  <si>
    <t>FE Group Holdings</t>
  </si>
  <si>
    <t>PBJ Restaurant</t>
  </si>
  <si>
    <t>Celebration Title</t>
  </si>
  <si>
    <t>SY Transportation</t>
  </si>
  <si>
    <t>Dreamteam Logistics</t>
  </si>
  <si>
    <t xml:space="preserve">Stays By Walker </t>
  </si>
  <si>
    <t>Interstate</t>
  </si>
  <si>
    <t>Robert Signs</t>
  </si>
  <si>
    <t>Baycliff</t>
  </si>
  <si>
    <t xml:space="preserve">Lauren Laundis </t>
  </si>
  <si>
    <t>Serenity</t>
  </si>
  <si>
    <t>Occupational</t>
  </si>
  <si>
    <t>Southeastern</t>
  </si>
  <si>
    <t>Coleman</t>
  </si>
  <si>
    <t xml:space="preserve">CLB Industries </t>
  </si>
  <si>
    <t xml:space="preserve">Marchese </t>
  </si>
  <si>
    <t>Heart River</t>
  </si>
  <si>
    <t>Titan</t>
  </si>
  <si>
    <t>FFJ</t>
  </si>
  <si>
    <t>Galt Ocean / Cafe Vico</t>
  </si>
  <si>
    <t>AC Architectural Concrete</t>
  </si>
  <si>
    <t>Ramsey</t>
  </si>
  <si>
    <t>Rene Grenelle</t>
  </si>
  <si>
    <t>FCA Construction</t>
  </si>
  <si>
    <t>Surf 9</t>
  </si>
  <si>
    <t>RM Home Renovation</t>
  </si>
  <si>
    <t>Mitnor / Servpro</t>
  </si>
  <si>
    <t>JHW Inc</t>
  </si>
  <si>
    <t>Austin Fire Protection</t>
  </si>
  <si>
    <t xml:space="preserve">Dependable </t>
  </si>
  <si>
    <t>My Pillow</t>
  </si>
  <si>
    <t>Quality Compressor</t>
  </si>
  <si>
    <t>Southers</t>
  </si>
  <si>
    <t>Atlas</t>
  </si>
  <si>
    <t>Finnco</t>
  </si>
  <si>
    <t>Mountain Investments / Suntech</t>
  </si>
  <si>
    <t xml:space="preserve">RLC Transportation </t>
  </si>
  <si>
    <t>Damasceno's Landscape</t>
  </si>
  <si>
    <t>Appa &amp; Sons</t>
  </si>
  <si>
    <t>Wintek USA</t>
  </si>
  <si>
    <t>Avery Construction</t>
  </si>
  <si>
    <t>Ayala</t>
  </si>
  <si>
    <t>Emes</t>
  </si>
  <si>
    <t>Firefly</t>
  </si>
  <si>
    <t>Bouffard</t>
  </si>
  <si>
    <t>Pinz and Needles</t>
  </si>
  <si>
    <t>Ericson</t>
  </si>
  <si>
    <t>Hudson Edge</t>
  </si>
  <si>
    <t>Ainfield</t>
  </si>
  <si>
    <t>JR Towing</t>
  </si>
  <si>
    <t>Air Master Heating</t>
  </si>
  <si>
    <t>Coastal Pediatric Dentistry</t>
  </si>
  <si>
    <t>8 other reasons</t>
  </si>
  <si>
    <t>El Paso</t>
  </si>
  <si>
    <t>5th and Wellness</t>
  </si>
  <si>
    <t>Faded</t>
  </si>
  <si>
    <t>RJP Repair</t>
  </si>
  <si>
    <t>Moore Squared</t>
  </si>
  <si>
    <t xml:space="preserve">MBE </t>
  </si>
  <si>
    <t xml:space="preserve">Stylewright </t>
  </si>
  <si>
    <t>Caliper Contracting</t>
  </si>
  <si>
    <t>Relle Holdings</t>
  </si>
  <si>
    <t>Q Tech Delivery Service</t>
  </si>
  <si>
    <t>Mass Material</t>
  </si>
  <si>
    <t>MXM NV</t>
  </si>
  <si>
    <t xml:space="preserve">Lancaster Construction </t>
  </si>
  <si>
    <t>Berry Paving</t>
  </si>
  <si>
    <t>Cilantro Taco</t>
  </si>
  <si>
    <t>Corinthian</t>
  </si>
  <si>
    <t>Platform syndicated $250,000</t>
  </si>
  <si>
    <t>Hanover</t>
  </si>
  <si>
    <t>AP Auto</t>
  </si>
  <si>
    <t>JBW</t>
  </si>
  <si>
    <t>Lickity Split</t>
  </si>
  <si>
    <t xml:space="preserve">CDL Construction </t>
  </si>
  <si>
    <t>J and S Trucking and Hauling</t>
  </si>
  <si>
    <t>Transforming Spaces</t>
  </si>
  <si>
    <t xml:space="preserve">Minuti </t>
  </si>
  <si>
    <t>Nextcore</t>
  </si>
  <si>
    <t>Paisa Produce</t>
  </si>
  <si>
    <t>ZoomMedia</t>
  </si>
  <si>
    <t>Mark Case Logging</t>
  </si>
  <si>
    <t>Confidence Construction</t>
  </si>
  <si>
    <t xml:space="preserve">JWH </t>
  </si>
  <si>
    <t>Platform syndicated $87,500</t>
  </si>
  <si>
    <t>No Bonus</t>
  </si>
  <si>
    <t>Cutting Edge</t>
  </si>
  <si>
    <t xml:space="preserve">Superior Granite </t>
  </si>
  <si>
    <t>Customer sent funds back</t>
  </si>
  <si>
    <t xml:space="preserve">London Beauty </t>
  </si>
  <si>
    <t xml:space="preserve">Mrs Barnes </t>
  </si>
  <si>
    <t>No bonus</t>
  </si>
  <si>
    <t>ANC Movers</t>
  </si>
  <si>
    <t>2024 YTD</t>
  </si>
  <si>
    <t>Jared/Thomas Bonus</t>
  </si>
  <si>
    <t>2023 total</t>
  </si>
  <si>
    <t>Empire State Consultants - 1.75%</t>
  </si>
  <si>
    <t>Mass Capital</t>
  </si>
  <si>
    <t>CJB Construction - 1.75%</t>
  </si>
  <si>
    <t>Justin ; capped $5k</t>
  </si>
  <si>
    <t>Five Guys Transporation - 1.75%</t>
  </si>
  <si>
    <t>Viking Plumbing and Gas - 1.25%</t>
  </si>
  <si>
    <t>VeeOne Health - 1.75%</t>
  </si>
  <si>
    <t>Justin; rev share</t>
  </si>
  <si>
    <t>Eskridge - 1.25%</t>
  </si>
  <si>
    <t>A/C Guy of ATX - 1.75%</t>
  </si>
  <si>
    <t>All American Towing - 1.75%</t>
  </si>
  <si>
    <t>Jacbos Contracting - 1.25%</t>
  </si>
  <si>
    <t>Wholesale Military USA - 1.75%</t>
  </si>
  <si>
    <t xml:space="preserve">Justin 10% of upsell (12% comm) </t>
  </si>
  <si>
    <t>United Fitness - 1.25%</t>
  </si>
  <si>
    <t>AA Family - 1.25%</t>
  </si>
  <si>
    <t>Savvy Auto - 1.25%</t>
  </si>
  <si>
    <t>Advanced Funds</t>
  </si>
  <si>
    <t>Balanced Comfort - 1.75%</t>
  </si>
  <si>
    <t>Fortune Rags Corporation - 1.75%</t>
  </si>
  <si>
    <t>Roo's Holistic Care - 1.75%</t>
  </si>
  <si>
    <t>Renew; add on</t>
  </si>
  <si>
    <t>Mai Home Health - 1.75%</t>
  </si>
  <si>
    <t xml:space="preserve">Justin 10% of upsell (8% comm) </t>
  </si>
  <si>
    <t>Henderson Masonry - 1.75%</t>
  </si>
  <si>
    <t>Ralpy's - 1.75%</t>
  </si>
  <si>
    <t>JEI Holdings - 1.75%</t>
  </si>
  <si>
    <t>Gibb</t>
  </si>
  <si>
    <t>Mikes Garage of Morton - 1.75%</t>
  </si>
  <si>
    <t>Berkeley Exteriors - 1.75%</t>
  </si>
  <si>
    <t>AGS FWB - 1.75%</t>
  </si>
  <si>
    <t>Polux Paiting - 1.75%</t>
  </si>
  <si>
    <t xml:space="preserve">Justin 10% of upsell (6% comm) </t>
  </si>
  <si>
    <t>DI Construction - 1.25%</t>
  </si>
  <si>
    <t>Warren Restoration - 1.75%</t>
  </si>
  <si>
    <t>Image Locations - 1.75%</t>
  </si>
  <si>
    <t>Universal Power - 1.75%</t>
  </si>
  <si>
    <t>Turner Power - 1.25%</t>
  </si>
  <si>
    <t>Dos Reales - 1.75%</t>
  </si>
  <si>
    <t>L&amp;B Bricks - 1.75%</t>
  </si>
  <si>
    <t xml:space="preserve">Justin 10% of upsell (10% comm) </t>
  </si>
  <si>
    <t>LE3 - 1.75%</t>
  </si>
  <si>
    <t>Laserline - 1.75%</t>
  </si>
  <si>
    <t>Sparkling Bins - 1.25%</t>
  </si>
  <si>
    <t>Sutton Engineering - 1.75%</t>
  </si>
  <si>
    <t>Pro Line Building - 1.75%</t>
  </si>
  <si>
    <t>Decatur Plastics - 1.75%</t>
  </si>
  <si>
    <t>JBW Instalations - 1.25%</t>
  </si>
  <si>
    <t>Landrum Resources - 1.75%</t>
  </si>
  <si>
    <t>Grandezza - 1.25%</t>
  </si>
  <si>
    <t>Elise - 1.75%</t>
  </si>
  <si>
    <t>Henderson Recovery - 1.75%</t>
  </si>
  <si>
    <t>Lendflow syn $10k ; Justin</t>
  </si>
  <si>
    <t>Lovell Government - 1.75%</t>
  </si>
  <si>
    <t>Simmons</t>
  </si>
  <si>
    <t>Wolverine - 1.75%</t>
  </si>
  <si>
    <t>Roadlink - 1.75%</t>
  </si>
  <si>
    <t>Roger L Bell - 1.75%</t>
  </si>
  <si>
    <t>Benedictus - 1.75%</t>
  </si>
  <si>
    <t>Crescent City - 1.75%</t>
  </si>
  <si>
    <t>Rock Star - 1.75%</t>
  </si>
  <si>
    <t>Northwest Renewables - 1.75%</t>
  </si>
  <si>
    <t>New; PIF</t>
  </si>
  <si>
    <t>Southern Discount - 1.75%</t>
  </si>
  <si>
    <t>Dickeyville Feed - 1.75%</t>
  </si>
  <si>
    <t>Grit City - 1.75%</t>
  </si>
  <si>
    <t>Island Day Spa - 1.25%</t>
  </si>
  <si>
    <t>Urbina Auto - 1.25%</t>
  </si>
  <si>
    <t>Villegas - 1.25%</t>
  </si>
  <si>
    <t>AC Electric - 1.25%</t>
  </si>
  <si>
    <t>Roy Salmon - 1.25%</t>
  </si>
  <si>
    <t>McMillan - 1.25%</t>
  </si>
  <si>
    <t>Kidwell Group - 1.25%</t>
  </si>
  <si>
    <t>Bouffrad - 1.25%</t>
  </si>
  <si>
    <t>Cano - 1.75%</t>
  </si>
  <si>
    <t>Gem City Tools - 1.75%</t>
  </si>
  <si>
    <t xml:space="preserve">Justin 10% of upsell (4% comm) </t>
  </si>
  <si>
    <t>JB Rogers - 1.25%</t>
  </si>
  <si>
    <t>DLD3 - 1.25%</t>
  </si>
  <si>
    <t>Andersens Hsi / Hydrolic Solutions - 1.75%</t>
  </si>
  <si>
    <t>Triple C Millings - 1.75%</t>
  </si>
  <si>
    <t>Business Funds</t>
  </si>
  <si>
    <t>GIT Western - 1.75%</t>
  </si>
  <si>
    <t>Precision Medical - 1.75%</t>
  </si>
  <si>
    <t>Pave Master - 1.75%</t>
  </si>
  <si>
    <t xml:space="preserve">Renew; add on </t>
  </si>
  <si>
    <t>Living Water - 1.75%</t>
  </si>
  <si>
    <t>MAD Superior - 1.75%</t>
  </si>
  <si>
    <t>Bridgestone Building - 1.75%</t>
  </si>
  <si>
    <t xml:space="preserve">Justin 5% of upsell (3.5% comm) </t>
  </si>
  <si>
    <t>Freeman Support Care Service Corp - 1.75%</t>
  </si>
  <si>
    <t>Frontline Steel - 1.75%</t>
  </si>
  <si>
    <t>New; Add On</t>
  </si>
  <si>
    <t>Powerhouse Roofing - 1.75%</t>
  </si>
  <si>
    <t>Hillcrest Security - 1.75%</t>
  </si>
  <si>
    <t>Oneal Drywall - 1.75%</t>
  </si>
  <si>
    <t>Bobs Custom - 1.25%</t>
  </si>
  <si>
    <t>Tav Prattville - 1.75%</t>
  </si>
  <si>
    <t>Innovative Funding</t>
  </si>
  <si>
    <t>Jake's Steakhouse - 1.75%</t>
  </si>
  <si>
    <t>Kaffeology - 1.25%</t>
  </si>
  <si>
    <t>Pulse Electric - 1.75%</t>
  </si>
  <si>
    <t xml:space="preserve">Justin 10% of upsell (3% comm) </t>
  </si>
  <si>
    <t>Kallis - 1.25%</t>
  </si>
  <si>
    <t>Kerwin Electric - 1.75%</t>
  </si>
  <si>
    <t>Tavern On Wharf - 1.75%</t>
  </si>
  <si>
    <t>ICU Recoverty - 1.75%</t>
  </si>
  <si>
    <t>Steel Hammer - 1.75%</t>
  </si>
  <si>
    <t>Living Water Irrigation - 1.75%</t>
  </si>
  <si>
    <t>Cross SI - 1.75%</t>
  </si>
  <si>
    <t>J&amp;J - 1.25%</t>
  </si>
  <si>
    <t>Dok Freight - 1.75%</t>
  </si>
  <si>
    <t>Industrial Fence - 1.75%</t>
  </si>
  <si>
    <t>Trujilo Construction - 1.25%</t>
  </si>
  <si>
    <t>Colorado Diesal Repair - 1.75%</t>
  </si>
  <si>
    <t>Food Venture - 1.75%</t>
  </si>
  <si>
    <t>Young Transportation - 1.25%</t>
  </si>
  <si>
    <t>Samson/Charlie</t>
  </si>
  <si>
    <t>BOL Global - 1.75%</t>
  </si>
  <si>
    <t>Kohmetscher Feed Service - 1.75%</t>
  </si>
  <si>
    <t>Absolute Design - 1.25%</t>
  </si>
  <si>
    <t>TRG Networking - 1.75%</t>
  </si>
  <si>
    <t>Auto Machine Specialist - 1.75%</t>
  </si>
  <si>
    <t>Compliance Solutions and Contracting - 1.75%</t>
  </si>
  <si>
    <t>Reynolds Plumbing - 1.75%</t>
  </si>
  <si>
    <t>Rasmussen - 1.75%</t>
  </si>
  <si>
    <t>ICF Walls - 1.75%</t>
  </si>
  <si>
    <t xml:space="preserve">Simmons </t>
  </si>
  <si>
    <t>Pet Connection - 1.75%</t>
  </si>
  <si>
    <t>Microgrow - 1.75%</t>
  </si>
  <si>
    <t>Vestar - 1.75%</t>
  </si>
  <si>
    <t>Donnie Eskridge - 1.25%</t>
  </si>
  <si>
    <t>Double M Marketing - 1.75%</t>
  </si>
  <si>
    <t>Hertiage - 1.25%</t>
  </si>
  <si>
    <t>Microbio - 1.75%</t>
  </si>
  <si>
    <t>Enviroclean - 1.75%</t>
  </si>
  <si>
    <t>AMT Enterprises - 1.75%</t>
  </si>
  <si>
    <t>Control Fire - 1.75%</t>
  </si>
  <si>
    <t>Talent Recruiting Partners - 1.75%</t>
  </si>
  <si>
    <t>JP Transportation - 1.75%</t>
  </si>
  <si>
    <t>HR Answers - 1.75%</t>
  </si>
  <si>
    <t>Alpha Steel Erectors - 1.75%</t>
  </si>
  <si>
    <t>Advantage Electric - 1.75%</t>
  </si>
  <si>
    <t>M&amp;M Specialty Caulking - 1.75%</t>
  </si>
  <si>
    <t>Roger Hemming Contractor - 1.25%</t>
  </si>
  <si>
    <t>Qaulity Roadside Service - 1.75%</t>
  </si>
  <si>
    <t>Stone Age Concrete - 1.75%</t>
  </si>
  <si>
    <t>JB Asset Management - 1.75%</t>
  </si>
  <si>
    <t>Justin; capp here 3750</t>
  </si>
  <si>
    <t>Able Helpers - 1.75%</t>
  </si>
  <si>
    <t xml:space="preserve">Justin 10% of upsell (5% comm) </t>
  </si>
  <si>
    <t>Magni Stone - 1.75%</t>
  </si>
  <si>
    <t>Justice - 1.75%</t>
  </si>
  <si>
    <t>Walts Automotive - 1.75%</t>
  </si>
  <si>
    <t>Dyson - 1.75%</t>
  </si>
  <si>
    <t>Blue Ribbon Safety - 1.25%</t>
  </si>
  <si>
    <t>Air Surace - 1.25%</t>
  </si>
  <si>
    <t>Redfish Drywall - 1.75%</t>
  </si>
  <si>
    <t>Chimney Bear Property - 1.75%</t>
  </si>
  <si>
    <t>Cypress - 1.75%</t>
  </si>
  <si>
    <t>Cable Construction - 1.75%</t>
  </si>
  <si>
    <t>Vigilant Anesthesia Services - 1.75%</t>
  </si>
  <si>
    <t xml:space="preserve">Justin 10% of upsell (7% comm) </t>
  </si>
  <si>
    <t>Massachussetts Material - 1.25%</t>
  </si>
  <si>
    <t>Thomco - 1.75%</t>
  </si>
  <si>
    <t>GE Family - 1.75%</t>
  </si>
  <si>
    <t>Advanced Mobile Truck - 1.75%</t>
  </si>
  <si>
    <t>Titan Shoring - 1.75%</t>
  </si>
  <si>
    <t>Malkijah Inc - 1.75%</t>
  </si>
  <si>
    <t>County Line - 1.75%</t>
  </si>
  <si>
    <t>One Luxury Solutions - 1.75%</t>
  </si>
  <si>
    <t>Faded - 1.25%</t>
  </si>
  <si>
    <t>Conlon Development - 1.75%</t>
  </si>
  <si>
    <t>E Diaz - 1.25%</t>
  </si>
  <si>
    <t>Mai Care Home - 1.75%</t>
  </si>
  <si>
    <t>Coyote Excavation - 1.25%</t>
  </si>
  <si>
    <t>All County Flooring - 1.75%</t>
  </si>
  <si>
    <t>MJSL Design Group - 1.75%</t>
  </si>
  <si>
    <t>Mcrae Enterprises - 1.75%</t>
  </si>
  <si>
    <t>Best one cleaning - 1.25%</t>
  </si>
  <si>
    <t>D&amp;C Italia - 1.75%</t>
  </si>
  <si>
    <t>Tiemeyer Oil - 1.75%</t>
  </si>
  <si>
    <t>Globe Star - 1.75%</t>
  </si>
  <si>
    <t>Noblespirit - 1.75%</t>
  </si>
  <si>
    <t>Malt &amp; B Inc / BBQ Grills - 1.75%</t>
  </si>
  <si>
    <t>Bunting Construction - 1.75%</t>
  </si>
  <si>
    <t>Pete Dospel Construction - 1.25%</t>
  </si>
  <si>
    <t>Quality Auto of Collins - 1.25%</t>
  </si>
  <si>
    <t>TNLG LLC - 1.75%</t>
  </si>
  <si>
    <t>International Protective - 1.25%</t>
  </si>
  <si>
    <t>Premier Reimbursment Solutions - 1.75%</t>
  </si>
  <si>
    <t>IHop - 1.75%</t>
  </si>
  <si>
    <t>Eugene Sprecker - 1.75%</t>
  </si>
  <si>
    <t>Accutate Home Services - 1.25%</t>
  </si>
  <si>
    <t>Justin; rev share renew</t>
  </si>
  <si>
    <t>Matos Home Improvement - 1.75%</t>
  </si>
  <si>
    <t>Action Services - 1.25%</t>
  </si>
  <si>
    <t>Urbina - 1.25%</t>
  </si>
  <si>
    <t>Diamond Transport - 1.25%</t>
  </si>
  <si>
    <t>Lucky Nails - 1.25%</t>
  </si>
  <si>
    <t>Manko - 1.25%</t>
  </si>
  <si>
    <t>Woodie Design - 1.75%</t>
  </si>
  <si>
    <t>Be Fulfilled - 1.75%</t>
  </si>
  <si>
    <t>Big Top Brewing - 1.75%</t>
  </si>
  <si>
    <t>Mission Critial Interior - 1.75%</t>
  </si>
  <si>
    <t>My Funding</t>
  </si>
  <si>
    <t>Integrity Electrical Solution - 1.75%</t>
  </si>
  <si>
    <t>Tri City - 1.25%</t>
  </si>
  <si>
    <t>J&amp;J Harvesting - 1.25%</t>
  </si>
  <si>
    <t>Pro Turf and Landscape - 1.75%</t>
  </si>
  <si>
    <t>Outdoor Homes - 1.25%</t>
  </si>
  <si>
    <t>Pavielle Dortch - 1.75%</t>
  </si>
  <si>
    <t>Kevin L Goubeaux  - 1.75%</t>
  </si>
  <si>
    <t>Wolverine Metal Stamping  - 1.75%</t>
  </si>
  <si>
    <t>New; add on</t>
  </si>
  <si>
    <t xml:space="preserve">Justin; rev share </t>
  </si>
  <si>
    <t>Rock Transfer and Storage - 1.75%</t>
  </si>
  <si>
    <t>Nissan of Helana - 1.75%</t>
  </si>
  <si>
    <t>Pneumatic Tire Company - 1.75%</t>
  </si>
  <si>
    <t>Centerline Engineering - 1.75%</t>
  </si>
  <si>
    <t>Green Hornet - 1.25%</t>
  </si>
  <si>
    <t>Elevation Management - 1.25%</t>
  </si>
  <si>
    <t>Cilantro - 1.25%</t>
  </si>
  <si>
    <t>Graffiti Graffix - 1.75%</t>
  </si>
  <si>
    <t>Southern Strength Constuction - 1.75%</t>
  </si>
  <si>
    <t xml:space="preserve">Citizens </t>
  </si>
  <si>
    <t>Blue Garden Landscaping - 1.75%</t>
  </si>
  <si>
    <t>Clark &amp; Co - 1.75%</t>
  </si>
  <si>
    <t>Abercrombie - 1.25%</t>
  </si>
  <si>
    <t>Tari - 1.75%</t>
  </si>
  <si>
    <t>Mark Antony Homes - 1.75%</t>
  </si>
  <si>
    <t>TD3 - 1.75%</t>
  </si>
  <si>
    <t>Walton - 1.75%</t>
  </si>
  <si>
    <t>Freeman Support Care - 1.75%</t>
  </si>
  <si>
    <t>New; Add on</t>
  </si>
  <si>
    <t>Aapex Construction - 1.25%</t>
  </si>
  <si>
    <t>Nixon and Nixon - 1.75%</t>
  </si>
  <si>
    <t>Anchored Renovation - 1.75%</t>
  </si>
  <si>
    <t>Cricket Automotive - 1.75%</t>
  </si>
  <si>
    <t>Exp Performance - 1.25%</t>
  </si>
  <si>
    <t>WJ Roofing - 1.75%</t>
  </si>
  <si>
    <t>Walker Heavy Equipment - 1.75%</t>
  </si>
  <si>
    <t>Beach Blvd Automotive - 1.25%</t>
  </si>
  <si>
    <t>Business Funds Marketplace</t>
  </si>
  <si>
    <t>Sauk River Transportation - 1.75%</t>
  </si>
  <si>
    <t>Cadre General Contractors - 1.25%</t>
  </si>
  <si>
    <t>Pacific Relocation Services - 1.75%</t>
  </si>
  <si>
    <t>Justin; rev share . Guru 10k syn</t>
  </si>
  <si>
    <t>I Am Roofing - 1.75%</t>
  </si>
  <si>
    <t>Claytons Land Service - 1.75%</t>
  </si>
  <si>
    <t>$</t>
  </si>
  <si>
    <t>Column 5 - 1.75%</t>
  </si>
  <si>
    <t>Decorative Ventures LLC - 1.75%</t>
  </si>
  <si>
    <t>Lgnd Supply - 1.75%</t>
  </si>
  <si>
    <t>Kitsap - 1.25%</t>
  </si>
  <si>
    <t>Freeman - 1.75%</t>
  </si>
  <si>
    <t>Arnies - 1.75%</t>
  </si>
  <si>
    <t>MF Consulting - 1.25%</t>
  </si>
  <si>
    <t>Bass Solutions - 1.25%</t>
  </si>
  <si>
    <t>Turf Services - 1.75%</t>
  </si>
  <si>
    <t>Gift Basket Drop Shipping - 1.75%</t>
  </si>
  <si>
    <t>Courtyard Partners - 1.75%</t>
  </si>
  <si>
    <t>Celebration Title - 1.25%</t>
  </si>
  <si>
    <t>Lifestyle Homes of Disctinction - 1.75%</t>
  </si>
  <si>
    <t>Modern Producitons - 1.25%</t>
  </si>
  <si>
    <t>Extreme Homes - 1.25%</t>
  </si>
  <si>
    <t>Complete Welding Solutons - 1.75%</t>
  </si>
  <si>
    <t>M &amp; I Heating and Air - 1.75%</t>
  </si>
  <si>
    <t>180 Solutions - 1.75%</t>
  </si>
  <si>
    <t>Kenbrook - 1.75%</t>
  </si>
  <si>
    <t>Emmons Roof - 1.75%</t>
  </si>
  <si>
    <t>Esolvit - 1.75%</t>
  </si>
  <si>
    <t>Vijisan - 1.75%</t>
  </si>
  <si>
    <t>Silas Fuller Building - 1.75%</t>
  </si>
  <si>
    <t>MTA Transporation - 1.75%</t>
  </si>
  <si>
    <t>Liberty Window - 1.75%</t>
  </si>
  <si>
    <t>Pierce Construction - 1.25%</t>
  </si>
  <si>
    <t>Patcheak Enterprises - 1.75%</t>
  </si>
  <si>
    <t>Pangea - 1.25%</t>
  </si>
  <si>
    <t xml:space="preserve">Loananbility </t>
  </si>
  <si>
    <t>Aspen Contracting - 1.75%</t>
  </si>
  <si>
    <t>Wing Fellas Express - 1.75%</t>
  </si>
  <si>
    <t>Tanner Autism - 1.75%</t>
  </si>
  <si>
    <t>Atlas - 1.25%</t>
  </si>
  <si>
    <t>770 Auto - 1.75%</t>
  </si>
  <si>
    <t>Sybils House - 1.25%</t>
  </si>
  <si>
    <t>USA Trades - 1.25%</t>
  </si>
  <si>
    <t>Wingsong Contracting - 1.75%</t>
  </si>
  <si>
    <t>Fang Consulting - 1.75%</t>
  </si>
  <si>
    <t>Artisan Electric - 1.75%</t>
  </si>
  <si>
    <t>Force Perf - 1.75%</t>
  </si>
  <si>
    <t>Vertex - 1.75%</t>
  </si>
  <si>
    <t>C&amp;A Millwrights - 1.75%</t>
  </si>
  <si>
    <t>DEJ Grading - 1.75%</t>
  </si>
  <si>
    <t>Asap Door systems - 1.75%</t>
  </si>
  <si>
    <t>Sidecar Lansing - 1.75%</t>
  </si>
  <si>
    <t>Advanced American Funding</t>
  </si>
  <si>
    <t>Brad Stervermer - 1.75%</t>
  </si>
  <si>
    <t>Summit Roofing Dyersburg - 1.75%</t>
  </si>
  <si>
    <t>Harbor at Newville - 1.25%</t>
  </si>
  <si>
    <t>Next Levels - 1.25%</t>
  </si>
  <si>
    <t>J and K Project Management - 1.25%</t>
  </si>
  <si>
    <t>Creative Capital</t>
  </si>
  <si>
    <t>Coblentz Transport - 1.75%</t>
  </si>
  <si>
    <t>Imok Global - 1.75%</t>
  </si>
  <si>
    <t>Pinellas Construction - 1.75%</t>
  </si>
  <si>
    <t xml:space="preserve">Justin 10% of upsell (2% comm) </t>
  </si>
  <si>
    <t>Riegel Transporation - 1.75%</t>
  </si>
  <si>
    <t>Wound Care LLC - 1.75%</t>
  </si>
  <si>
    <t>Bela Family Dentistry - 1.75%</t>
  </si>
  <si>
    <t>Battle Born - 1.75%</t>
  </si>
  <si>
    <t>Barnes Construction - 1.75%</t>
  </si>
  <si>
    <t>Thriving Home Care - 1.75%</t>
  </si>
  <si>
    <t>Malkijah - 1.75%</t>
  </si>
  <si>
    <t>JC Car Towing - 1.75%</t>
  </si>
  <si>
    <t>Learning Ladder - 1.25%</t>
  </si>
  <si>
    <t>Sand Springs - 1.25%</t>
  </si>
  <si>
    <t>Americare - 1.75%</t>
  </si>
  <si>
    <t>Tobias and Battite - 1.75%</t>
  </si>
  <si>
    <t>Crew Cut Lawn &amp; Landscape - 1.75%</t>
  </si>
  <si>
    <t>ParamountC2 - 1.75%</t>
  </si>
  <si>
    <t>Repair Physical Therapy - 1.75%</t>
  </si>
  <si>
    <t>Local Solutiuon - 1.75%</t>
  </si>
  <si>
    <t>D&amp;D Construction - 1.75%</t>
  </si>
  <si>
    <t>Superior Seating - 1.75%</t>
  </si>
  <si>
    <t>3 Schoes Custom Cutting - 1.75%</t>
  </si>
  <si>
    <t>Prior Vision - 1.75%</t>
  </si>
  <si>
    <t>Special Event Management - 1.75%</t>
  </si>
  <si>
    <t>Justin; rev share . Guru 5k syn</t>
  </si>
  <si>
    <t>Green Team USA - 1.25%</t>
  </si>
  <si>
    <t>Justin rev share Renew . Guru 10k syn</t>
  </si>
  <si>
    <t>Great Eastern - 1.75%</t>
  </si>
  <si>
    <t>Roadrunner Grill - 1.25%</t>
  </si>
  <si>
    <t>Lowell Martin - 1.75%</t>
  </si>
  <si>
    <t>Windsong - 1.75%</t>
  </si>
  <si>
    <t>New Add On</t>
  </si>
  <si>
    <t>JB Concrete Services - 1.75%</t>
  </si>
  <si>
    <t>Lee's Wholesale - 1.75%</t>
  </si>
  <si>
    <t>Costal Development - 1.75%</t>
  </si>
  <si>
    <t>Cleaner Chimney - 1.25%</t>
  </si>
  <si>
    <t>Texas Real Tex - 1.75%</t>
  </si>
  <si>
    <t>DD Hauling - 1.75%</t>
  </si>
  <si>
    <t>Davis Moving - 1.25%</t>
  </si>
  <si>
    <t>Picante - 1.75%</t>
  </si>
  <si>
    <t>Contractors Glass - 1.75%</t>
  </si>
  <si>
    <t>Corporate Cafe - 1.25%</t>
  </si>
  <si>
    <t>DME Services - 1.75%</t>
  </si>
  <si>
    <t>Milwaukee Paper - 1.75%</t>
  </si>
  <si>
    <t>Bradley Mechanical - 1.75%</t>
  </si>
  <si>
    <t>Gaich Group - 1.75%</t>
  </si>
  <si>
    <t>Warrior Ammunition - 1.25%</t>
  </si>
  <si>
    <t>Jobot - 1.25%</t>
  </si>
  <si>
    <t>Chance Mountain Properties - 1.75%</t>
  </si>
  <si>
    <t>TM KM Construction - 1.75%</t>
  </si>
  <si>
    <t>Bob Russel - 1.75%</t>
  </si>
  <si>
    <t>My Whitney Specialties - 1.75%</t>
  </si>
  <si>
    <t>Constant Media - 1.75%</t>
  </si>
  <si>
    <t>Ridge Restoration - 1.75%</t>
  </si>
  <si>
    <t>Landco - 1.75%</t>
  </si>
  <si>
    <t>Slate - 1.25%</t>
  </si>
  <si>
    <t>2CK Custom Concrete - 1.75%</t>
  </si>
  <si>
    <t>Texas Real Tax - 1.l75%</t>
  </si>
  <si>
    <t>B&amp;R - 1.75%</t>
  </si>
  <si>
    <t>Kappa Investments - 1.75%</t>
  </si>
  <si>
    <t>Re-New - 1.25%</t>
  </si>
  <si>
    <t>Lets Roll Roll Off Service - 1.75%</t>
  </si>
  <si>
    <t>Andre L Smith - 1.75%</t>
  </si>
  <si>
    <t>MJC - 1.25%</t>
  </si>
  <si>
    <t>Exchange Homes - 1.25%</t>
  </si>
  <si>
    <t>First Uninon</t>
  </si>
  <si>
    <t>Snyder Manufacturing - 1.75%</t>
  </si>
  <si>
    <t>Eagle Eye Parking Lot - 1.75%</t>
  </si>
  <si>
    <t>Alcaraz Trucking - 1.75%</t>
  </si>
  <si>
    <t>J&amp;E Family Roofing - 1.75%</t>
  </si>
  <si>
    <t>Shoemaker - 1.25%</t>
  </si>
  <si>
    <t>Nextek Construction - 1.75%</t>
  </si>
  <si>
    <t>C Miller Trucking - 1.25%</t>
  </si>
  <si>
    <t>Ron Warfield Trucking - 1.75%</t>
  </si>
  <si>
    <t>Vetted - SOS referral</t>
  </si>
  <si>
    <t>A&amp;R Corporation - 1.25%</t>
  </si>
  <si>
    <t>LCI Inc - 1.75%</t>
  </si>
  <si>
    <t>Birmingham Frame - 1.75%</t>
  </si>
  <si>
    <t>Big Bruno Bites - 1.75%</t>
  </si>
  <si>
    <t>The Weatherize Guyz - 1.75%</t>
  </si>
  <si>
    <t>Brothers Transporation - 1.75%</t>
  </si>
  <si>
    <t>Omni Pools - 1.25%</t>
  </si>
  <si>
    <t>Waterbury - 1.75%</t>
  </si>
  <si>
    <t>Westlake Pros - 1.75%</t>
  </si>
  <si>
    <t>Justin ; NO BONUS</t>
  </si>
  <si>
    <t>Stucco - 1.25%</t>
  </si>
  <si>
    <t>Waypoint Roofing - 1.75%</t>
  </si>
  <si>
    <t>American Heat Processing Equipment - 1.75%</t>
  </si>
  <si>
    <t>Legion Solar - 1.75%</t>
  </si>
  <si>
    <t>Advanced Title Insurance - 1.75%</t>
  </si>
  <si>
    <t>Air Tech Services - 1.75%</t>
  </si>
  <si>
    <t>Bridge Academy - 1.75%</t>
  </si>
  <si>
    <t>4Tune - 1.25%</t>
  </si>
  <si>
    <t>To the T Plumbing - 1.75%</t>
  </si>
  <si>
    <t>Granite Rock Grill - 1.75%</t>
  </si>
  <si>
    <t>Triad Associated - 1.75%</t>
  </si>
  <si>
    <t>8 other reasons - 1.25%</t>
  </si>
  <si>
    <t>Shull Remodeling - 1.25%</t>
  </si>
  <si>
    <t>Marao Burgers - 1.75%</t>
  </si>
  <si>
    <t>Lakeside Lawncare - 1.75%</t>
  </si>
  <si>
    <t>Lees Recycling - 1.75%</t>
  </si>
  <si>
    <t>Pavemaster - 1.25%</t>
  </si>
  <si>
    <t>A and R Collission - 1.25%</t>
  </si>
  <si>
    <t>Lincolnway Sales - 1.75%</t>
  </si>
  <si>
    <t>T&amp;M Controls - 1.75%</t>
  </si>
  <si>
    <t>Coastal Maintenance - 1.75%</t>
  </si>
  <si>
    <t>Portabledevicefix - 1.75%</t>
  </si>
  <si>
    <t>Alliance Construction - 1.75%</t>
  </si>
  <si>
    <t>Ichiban - 1.25%</t>
  </si>
  <si>
    <t>AE Collission &amp; Towing - 1.75%</t>
  </si>
  <si>
    <t>Red Roll Off Containers - 1.75%</t>
  </si>
  <si>
    <t>HD Fleet Services - 1.75%</t>
  </si>
  <si>
    <t>Garland Fulcher Seafood - 1.75%</t>
  </si>
  <si>
    <t>Priority Power - 1.75%</t>
  </si>
  <si>
    <t>Dubbs Holdings</t>
  </si>
  <si>
    <t>Mass Material - 1.25%</t>
  </si>
  <si>
    <t>Mass Material 2 - 1.25%</t>
  </si>
  <si>
    <t>Mexican Burrito - 1.75%</t>
  </si>
  <si>
    <t>Vision Electric - 1.25%</t>
  </si>
  <si>
    <t>Mccusso Services - 1.25%</t>
  </si>
  <si>
    <t>R&amp;M Bagels / Bloomfield's - 1.25%</t>
  </si>
  <si>
    <t>Ceifaa Enterprise - 1.75%</t>
  </si>
  <si>
    <t>Kimchi Korean Restaurant - 1.75%</t>
  </si>
  <si>
    <t>Care the Right Way - 1.75%</t>
  </si>
  <si>
    <t>Santes - 1.75%</t>
  </si>
  <si>
    <t>Educational Management Services - 1.75%</t>
  </si>
  <si>
    <t>Maplewood Ice - 1.75%</t>
  </si>
  <si>
    <t>Guru Leads</t>
  </si>
  <si>
    <t>Rewew</t>
  </si>
  <si>
    <t>Justin - No Net. 2% comm</t>
  </si>
  <si>
    <t>Sierra Consulting - 1.75%</t>
  </si>
  <si>
    <t>Sierra Consulting 2 - 1.75%</t>
  </si>
  <si>
    <t>Diller Mechanical - 1.75%</t>
  </si>
  <si>
    <t>Wisconsin Electric - 1.75%</t>
  </si>
  <si>
    <t>Marshburn - 1.75%</t>
  </si>
  <si>
    <t>Douglas Stoy - 1.75%</t>
  </si>
  <si>
    <t>Naadam - 1.75%</t>
  </si>
  <si>
    <t>Rock Transfer - 1.75%</t>
  </si>
  <si>
    <t>Viking - 1.25%</t>
  </si>
  <si>
    <t>Hoosier Air Transport - 1.75%</t>
  </si>
  <si>
    <t>Mrs Barnes Playhouse - 1.75%</t>
  </si>
  <si>
    <t>Vico Galt - 1.75%</t>
  </si>
  <si>
    <t>BrinTough Equipment - 1.75%</t>
  </si>
  <si>
    <t>Justin rev share . Guru 10k syn</t>
  </si>
  <si>
    <t>Bill Neuens Enterprise - 1.75%</t>
  </si>
  <si>
    <t>M and M Core - 1.25%</t>
  </si>
  <si>
    <t>Island Delight - 1.25%</t>
  </si>
  <si>
    <t>Justin direct renew; pays 3% comm full funded</t>
  </si>
  <si>
    <t>Brians One Day - 1.75%</t>
  </si>
  <si>
    <t>Brown Family Restaurant - 1.75%</t>
  </si>
  <si>
    <t>Justin 10% of upell (2% comm)</t>
  </si>
  <si>
    <t>Conlon Development - 1.25%</t>
  </si>
  <si>
    <t>Xtreme Homes - 1.25%</t>
  </si>
  <si>
    <t>Granite Rock - 1.75%</t>
  </si>
  <si>
    <t>Orlando - 1.75%</t>
  </si>
  <si>
    <t>Logans - 1.75%</t>
  </si>
  <si>
    <t>Freedom Air Balance -1.75%</t>
  </si>
  <si>
    <t>Burton Metal Finishing - 1.75%</t>
  </si>
  <si>
    <t>Croppers Nogales - 1.25%</t>
  </si>
  <si>
    <t>Luxe Management - 1.75%</t>
  </si>
  <si>
    <t>R2 Barber - 1.25%</t>
  </si>
  <si>
    <t>Femji - 1.25%</t>
  </si>
  <si>
    <t>Coastal Financial Group - 1.75%</t>
  </si>
  <si>
    <t>Royal Palace - 1.75%</t>
  </si>
  <si>
    <t>Lubby - 1.75%</t>
  </si>
  <si>
    <t>FlexLinen - 1.75%</t>
  </si>
  <si>
    <t>KV Tech Corp - 1.75%</t>
  </si>
  <si>
    <t>Redi Care MGT - 1.75%</t>
  </si>
  <si>
    <t>Akilane - 1.75%</t>
  </si>
  <si>
    <t>D2R Linen - 1.25%</t>
  </si>
  <si>
    <t>D2R Linen Add On - 1.25%</t>
  </si>
  <si>
    <t>Linder Caster - 1.75%</t>
  </si>
  <si>
    <t>Apex Practice Solutions - 1.75%</t>
  </si>
  <si>
    <t>Davis Grading - 1.75%</t>
  </si>
  <si>
    <t>Red Truck BBQ - 1.25%</t>
  </si>
  <si>
    <t>Jadco Gypsum - 1.75%</t>
  </si>
  <si>
    <t>Universa - 1.75%</t>
  </si>
  <si>
    <t>Concierge Medical - 1.75%</t>
  </si>
  <si>
    <t>Meat Guyz - 1.75%</t>
  </si>
  <si>
    <t>Sports Labs - 1.75%</t>
  </si>
  <si>
    <t>Canyon Falls Business Solutions - 1.75%</t>
  </si>
  <si>
    <t>R2 Barbershop - 1.25%</t>
  </si>
  <si>
    <t>Superhuman - 1.75%</t>
  </si>
  <si>
    <t>Renew- Add On</t>
  </si>
  <si>
    <t>Aztec Linear - 1.75%</t>
  </si>
  <si>
    <t>Lightner Enterprises - 1.75%</t>
  </si>
  <si>
    <t>GLS Integrated - 1.75%</t>
  </si>
  <si>
    <t>Auto Resale Specialist - 1.75%</t>
  </si>
  <si>
    <t>Gozal - 1.75%</t>
  </si>
  <si>
    <t>OToole - 1.75%</t>
  </si>
  <si>
    <t>Bard Enterprises - 1.75%</t>
  </si>
  <si>
    <t>California Roll Sushi - 1.75%</t>
  </si>
  <si>
    <t>CRP Holdings - 1.75%</t>
  </si>
  <si>
    <t>Owens Steel Fabrication - 1.75%</t>
  </si>
  <si>
    <t>Pro 93 Homes - 1.25%</t>
  </si>
  <si>
    <t>M&amp;C Metal Works - 1.25%</t>
  </si>
  <si>
    <t>TLHI Contracting - 1.75%</t>
  </si>
  <si>
    <t xml:space="preserve">Haque Legal - 1.75% </t>
  </si>
  <si>
    <t>Juvelo - 1.75%</t>
  </si>
  <si>
    <t>Pinz and Needles - 1.25%</t>
  </si>
  <si>
    <t xml:space="preserve">      </t>
  </si>
  <si>
    <t>HOK Automotive - 1.75%</t>
  </si>
  <si>
    <t>Guru New</t>
  </si>
  <si>
    <t>Rick Curren - 1.25%</t>
  </si>
  <si>
    <t>Guru Renew</t>
  </si>
  <si>
    <t>Direct on book</t>
  </si>
  <si>
    <t>Blue Line Hardscaping - 1.75%</t>
  </si>
  <si>
    <t>Direct off book</t>
  </si>
  <si>
    <t>BFS lead</t>
  </si>
  <si>
    <t>glazer pays</t>
  </si>
  <si>
    <t>Moo Va Pet - 1.75%</t>
  </si>
  <si>
    <t>Greg</t>
  </si>
  <si>
    <t>Stone Age - 1.75%</t>
  </si>
  <si>
    <t>New  - Add On</t>
  </si>
  <si>
    <t>Joy Custom - 1.75%</t>
  </si>
  <si>
    <t>SOS referral</t>
  </si>
  <si>
    <t>My Pizzeria - 1.75%</t>
  </si>
  <si>
    <t>Advanced Automation - 1.75%</t>
  </si>
  <si>
    <t>Maja Enterprise / West Chem - 1.25%</t>
  </si>
  <si>
    <t>Giacomo - 1.75%</t>
  </si>
  <si>
    <t>TN Miller - 1.75%</t>
  </si>
  <si>
    <t>Sunset Construction - 1.75%</t>
  </si>
  <si>
    <t>Arielle's World - 1.75%</t>
  </si>
  <si>
    <t>Greater Boston - 1.75%</t>
  </si>
  <si>
    <t xml:space="preserve">New </t>
  </si>
  <si>
    <t>Dak Diesal - 1.75%</t>
  </si>
  <si>
    <t xml:space="preserve">             </t>
  </si>
  <si>
    <t>K-9  - 1.75%</t>
  </si>
  <si>
    <t>Capital Guru Leads</t>
  </si>
  <si>
    <t>Apollo - 1.25%</t>
  </si>
  <si>
    <t>Xtreme Wheels - 1.75%</t>
  </si>
  <si>
    <t>B &amp; B Glass - 1.25%</t>
  </si>
  <si>
    <t>Apex Medical - 1.75%</t>
  </si>
  <si>
    <t>KDTD - 1.75%</t>
  </si>
  <si>
    <t>Capela Transport - 1.75%</t>
  </si>
  <si>
    <t>Party City - 1.75%</t>
  </si>
  <si>
    <t xml:space="preserve">Justin BFS lead </t>
  </si>
  <si>
    <t>Treasured Day - 1.75%</t>
  </si>
  <si>
    <t>Anchored Construction - 1.75%</t>
  </si>
  <si>
    <t>Myers Company - 1.75%</t>
  </si>
  <si>
    <t>Justin rev share. Guru 10k syn</t>
  </si>
  <si>
    <t>Positively Balanced - 1.75%</t>
  </si>
  <si>
    <t>Quincy Gate - 1.25%</t>
  </si>
  <si>
    <t>Gaich - 1.75%</t>
  </si>
  <si>
    <t>Asscher - 1.25%</t>
  </si>
  <si>
    <t>Battle Born - 1.25%</t>
  </si>
  <si>
    <t>Door Pro - 1.75%</t>
  </si>
  <si>
    <t>KHI - 1.75%</t>
  </si>
  <si>
    <t>Julio's Burrito - 1.75%</t>
  </si>
  <si>
    <t>Cube Cabling - 1.75%</t>
  </si>
  <si>
    <t>J Montes - 1.25%</t>
  </si>
  <si>
    <t>A2B Moving - 1.75%</t>
  </si>
  <si>
    <t>Allin Service - 1.75%</t>
  </si>
  <si>
    <t>Perkins Industires - 1.75%</t>
  </si>
  <si>
    <t>Braga General Contractor - 1.75%</t>
  </si>
  <si>
    <t>Loveland Venture / The Phoenix - 1.75%</t>
  </si>
  <si>
    <t>Turley Truck - 1.25%</t>
  </si>
  <si>
    <t>Pacific Aviations - 1.25%</t>
  </si>
  <si>
    <t>One of US Home Care - 1.75%</t>
  </si>
  <si>
    <t>Jmec Construction - 1.75%</t>
  </si>
  <si>
    <t>Elk Bound - 1.25%</t>
  </si>
  <si>
    <t>Puccio Electric Contracting - 1.75%</t>
  </si>
  <si>
    <t>Done Right Security - 1.75%</t>
  </si>
  <si>
    <t>Ayers Construction - 1.25%</t>
  </si>
  <si>
    <t>Hale Storm - 1.75%</t>
  </si>
  <si>
    <t>Astoria-Pacific - 1.75%</t>
  </si>
  <si>
    <t>Laced Quality Garment - 1.75%</t>
  </si>
  <si>
    <t>Geoscape - 1.75%</t>
  </si>
  <si>
    <t>Indy Homes - 1.25%</t>
  </si>
  <si>
    <t>Triple G Gunite - 1.75%</t>
  </si>
  <si>
    <t>Icy Bay Lodge - 1.75%</t>
  </si>
  <si>
    <t>Twisted G Enterprises - 1.75%</t>
  </si>
  <si>
    <t>BLA Trucking / Donaldson - 1.75%</t>
  </si>
  <si>
    <t>Beitzel Excavating - 1.75%</t>
  </si>
  <si>
    <t>R and M Enterprises - 1.75%</t>
  </si>
  <si>
    <t>TKV Electric - 1.25%</t>
  </si>
  <si>
    <t>AG Atlantic - 1.75%</t>
  </si>
  <si>
    <t>Gripon Group - 1.75%</t>
  </si>
  <si>
    <t>Slade Shipping - 1.75%</t>
  </si>
  <si>
    <t>ENF Trucking - 1.75%</t>
  </si>
  <si>
    <t>Rader Building - 1.75%</t>
  </si>
  <si>
    <t>Allen's Watermart - 1.25%</t>
  </si>
  <si>
    <t>Justin rev share renew. Guru 10k syn</t>
  </si>
  <si>
    <t>Arc City / Arc Builders - 1.75%</t>
  </si>
  <si>
    <t>HSJ - 1.75%</t>
  </si>
  <si>
    <t>Pro Turf - 1.75%</t>
  </si>
  <si>
    <t>Hayes Electrical - 1.75%</t>
  </si>
  <si>
    <t>Wolverine Metal - 1.25%</t>
  </si>
  <si>
    <t>Justin rev share renew. Guru 15k syn</t>
  </si>
  <si>
    <t>Bergelt Optometric - 1.75%</t>
  </si>
  <si>
    <t>Grand Mountain Rides - 1.75%</t>
  </si>
  <si>
    <t>Atlanta Structed Family Services - 1.l75%</t>
  </si>
  <si>
    <t>Dodson Builders - 1.25%</t>
  </si>
  <si>
    <t>Lednflow</t>
  </si>
  <si>
    <t>Grandezza Landscaping - 1.25%</t>
  </si>
  <si>
    <t>Explosive Technology - 1.25%</t>
  </si>
  <si>
    <t>Elinessa - 1.75%</t>
  </si>
  <si>
    <t>Colchagua - 1.75%</t>
  </si>
  <si>
    <t>LGNS Farming - 1.75%</t>
  </si>
  <si>
    <t>Criterion Edge - 1.75%</t>
  </si>
  <si>
    <t>Vienne - 1.75%</t>
  </si>
  <si>
    <t>Stampede Services - 1.75%</t>
  </si>
  <si>
    <t>C&amp;N Deliveries - 1.75%</t>
  </si>
  <si>
    <t>Arco Electrical Contrators - 1.75%</t>
  </si>
  <si>
    <t>Rock Transfer - 1.25%</t>
  </si>
  <si>
    <t>Nova Healtcare Group  - 1.75%</t>
  </si>
  <si>
    <t>Phillip Jeremiah - 1.75%</t>
  </si>
  <si>
    <t>Faith Demolition - 1.75%</t>
  </si>
  <si>
    <t>Pulse Electric - 1.25%</t>
  </si>
  <si>
    <t>R&amp;N Heath - 1.75%</t>
  </si>
  <si>
    <t>Association Analyitcs - 1.75%</t>
  </si>
  <si>
    <t>ICF Walls - 1.25%</t>
  </si>
  <si>
    <t>Moglea - 1.75%</t>
  </si>
  <si>
    <t>Absolute Electrical - 1.75%</t>
  </si>
  <si>
    <t>Essential Capital</t>
  </si>
  <si>
    <t>GGL Properties - 1.75%</t>
  </si>
  <si>
    <t>International Directional Drilling - 1.75%</t>
  </si>
  <si>
    <t>Nates Home Services - 1.75%</t>
  </si>
  <si>
    <t>K Single Corp - 1.75%</t>
  </si>
  <si>
    <t>Axcex Media - 1.75%</t>
  </si>
  <si>
    <t>Collar &amp; Leasch Palisades - 1.75%</t>
  </si>
  <si>
    <t>Veterans Equipment Sales - 1.75%</t>
  </si>
  <si>
    <t>A&amp;A - 1.75%</t>
  </si>
  <si>
    <t>Thomco - 1.25%</t>
  </si>
  <si>
    <t>Exafluence - 1.75%</t>
  </si>
  <si>
    <t>Della Infotech - 1.75%</t>
  </si>
  <si>
    <t>Advanced Mobile Truck - 1.25%</t>
  </si>
  <si>
    <t>Elite Tournament - 1.75%</t>
  </si>
  <si>
    <t>Legacy Landscape - 1.25%</t>
  </si>
  <si>
    <t>Integrity Family Farms - 1.25%</t>
  </si>
  <si>
    <t>Houston Roll Pipe - 1.75%</t>
  </si>
  <si>
    <t>Esolveit - 1.75%</t>
  </si>
  <si>
    <t>Superior Architecture - 1.75%</t>
  </si>
  <si>
    <t>Chefgwailo Consulting - 1.75%</t>
  </si>
  <si>
    <t>5D Logistics - 1.75%</t>
  </si>
  <si>
    <t>Pat's Restaurant &amp; Catering - 1.75%</t>
  </si>
  <si>
    <t>CRC Group - 1.75%</t>
  </si>
  <si>
    <t>C Miller Trucking - 1.75%</t>
  </si>
  <si>
    <t>Cut7 - 1.75%</t>
  </si>
  <si>
    <t>Lumber Link - 1.75%</t>
  </si>
  <si>
    <t>KJ Grimm Enterprises - 1.75%</t>
  </si>
  <si>
    <t>Scandia Propeller - 1.75%</t>
  </si>
  <si>
    <t>John W Snyder - 1.75%</t>
  </si>
  <si>
    <t>Quick Cut Concrete Cutting - 1.75%</t>
  </si>
  <si>
    <t>Vinson Shuler Hvac - 1.75%</t>
  </si>
  <si>
    <t>Vickys of Sante Fe - 1.75%</t>
  </si>
  <si>
    <t>Voigt Enterprises - 1.75%</t>
  </si>
  <si>
    <t>Westlake Pros - 1.25%</t>
  </si>
  <si>
    <t>Revive Dermatology - 1.75%</t>
  </si>
  <si>
    <t>Viking Gas - 1.25%</t>
  </si>
  <si>
    <t>Refish Drywall - 1.25%</t>
  </si>
  <si>
    <t>Tile Pro of West Palm Beach - 1.75%</t>
  </si>
  <si>
    <t>C&amp;K - 1.75%</t>
  </si>
  <si>
    <t>iso new</t>
  </si>
  <si>
    <t>Alpha Supply - 1.75%</t>
  </si>
  <si>
    <t>iso renew</t>
  </si>
  <si>
    <t>Tanner Autism - 1.25%</t>
  </si>
  <si>
    <t>guru new</t>
  </si>
  <si>
    <t>guru renew</t>
  </si>
  <si>
    <t>Velocity Ammunication Sales - 1.75%</t>
  </si>
  <si>
    <t>Guru leads renew</t>
  </si>
  <si>
    <t>Tri-cities IT - 1.75%</t>
  </si>
  <si>
    <t>Justin 10% of upsell (4% net comm) ; broke yarrow off</t>
  </si>
  <si>
    <t>Superior Home - 1.25%</t>
  </si>
  <si>
    <t>Hanger Maintenance - 1.75%</t>
  </si>
  <si>
    <t>6Hallz - 1.25%</t>
  </si>
  <si>
    <t>Unique Auto Sales - 1.75%</t>
  </si>
  <si>
    <t>Glass Mart - 1.75%</t>
  </si>
  <si>
    <t>Newcource - 1.75%</t>
  </si>
  <si>
    <t>Buckeye Weight Loss - 1.75%</t>
  </si>
  <si>
    <t>Ava Laurenne - 1.75%</t>
  </si>
  <si>
    <t>NO MANAGEMENT FEE</t>
  </si>
  <si>
    <t>D&amp;C Italia - 1.25%</t>
  </si>
  <si>
    <t>TK Bohm - 1.75%</t>
  </si>
  <si>
    <t>Rea Custom - 1.75%</t>
  </si>
  <si>
    <t>Tri County Pools Service - 1.75%</t>
  </si>
  <si>
    <t>West Coast Construction - 1.75%</t>
  </si>
  <si>
    <t>Jovita Creek / Dave's - 1.75%</t>
  </si>
  <si>
    <t>HT Sushi / Bay Cliff - 1.75%</t>
  </si>
  <si>
    <t>R. Harris - 1.25%</t>
  </si>
  <si>
    <t xml:space="preserve">                                             </t>
  </si>
  <si>
    <t>Philly Car Kings - 1.75%</t>
  </si>
  <si>
    <t>Melito Family Brands - 1.75%</t>
  </si>
  <si>
    <t>Chief Engineering - 1.75%</t>
  </si>
  <si>
    <t>Allied Builders - 1.75%</t>
  </si>
  <si>
    <t>APC Specialist - 1.75%</t>
  </si>
  <si>
    <t>The Wenderoff Group - 1.75%</t>
  </si>
  <si>
    <t>Joe Montague - 1.25%</t>
  </si>
  <si>
    <t>Innovation Vista - 1.75%</t>
  </si>
  <si>
    <t>Bald Ridge Enterprises - 1.75%</t>
  </si>
  <si>
    <t>Nutritional Coaching - 1.75%</t>
  </si>
  <si>
    <t>HR Answers - 1.25%</t>
  </si>
  <si>
    <t>JNR Equipment - 1.75%</t>
  </si>
  <si>
    <t>S&amp;P / Tarp King - 1.75%</t>
  </si>
  <si>
    <t>United JC Mart / Tabacco King - 1.75%</t>
  </si>
  <si>
    <t>Perkins Industries - 1.75%</t>
  </si>
  <si>
    <t>Porchlight Holdings - 1.75%</t>
  </si>
  <si>
    <t>HSJ Excavation - 1.75%</t>
  </si>
  <si>
    <t>Highway Rehabilitation Corp - 1.75%</t>
  </si>
  <si>
    <t>Riverside Meats Corp - 1.75%</t>
  </si>
  <si>
    <t>Surf 9 - 1.25%</t>
  </si>
  <si>
    <t>Esteemed - 1.75%</t>
  </si>
  <si>
    <t>Joel Mark - 1.75%</t>
  </si>
  <si>
    <t>MC Land &amp; Property - 1.75%</t>
  </si>
  <si>
    <t>Glickman Group - 1.75%</t>
  </si>
  <si>
    <t>Tangman &amp; Associates / Alamo Sorungs Cafe - 1.75%</t>
  </si>
  <si>
    <t>RVB Investments - 1.75%</t>
  </si>
  <si>
    <t>Sweet Water / G450 - 1.75%</t>
  </si>
  <si>
    <t>Brian Schmidt Builder - 1.75%</t>
  </si>
  <si>
    <t>R J Staso - 1.75%</t>
  </si>
  <si>
    <t>Bestwholesaler - 1.75%</t>
  </si>
  <si>
    <t>Firefly US - 1.25%</t>
  </si>
  <si>
    <t>Premier Servie of Carolina - 1.75%</t>
  </si>
  <si>
    <t>Pacifc Coast Tree - 1.75%</t>
  </si>
  <si>
    <t>Way Down South - 1.75%</t>
  </si>
  <si>
    <t>Madhukant / Days Inn - 1.75%</t>
  </si>
  <si>
    <t>My Pizzeria Cuccina - 1.75%</t>
  </si>
  <si>
    <t>J&amp;S Waterproofing - 1.75%</t>
  </si>
  <si>
    <t>Universal PC - 1.25%</t>
  </si>
  <si>
    <t>New Cabinet Company - 1.75%</t>
  </si>
  <si>
    <t>Lightning Roofing - 1.75%</t>
  </si>
  <si>
    <t>JR Tranpsport - 1.75%</t>
  </si>
  <si>
    <t>La Vida Abode - 1.75%</t>
  </si>
  <si>
    <t>Munster Drywall - 1.75%</t>
  </si>
  <si>
    <t>D&amp;T Farms - 1.75%</t>
  </si>
  <si>
    <t>Gary P Lawton MD - 1.75%</t>
  </si>
  <si>
    <t>Glazer - BFS PIF</t>
  </si>
  <si>
    <t>California Tile and Granite - 1.75%</t>
  </si>
  <si>
    <t>MWW Services - 1.75%</t>
  </si>
  <si>
    <t>Ramsey Construction - 1.25%</t>
  </si>
  <si>
    <t>Drive Construction - 1.25%</t>
  </si>
  <si>
    <t>B&amp;B Glass - 1.25%</t>
  </si>
  <si>
    <t>YMCMV - 1.75%</t>
  </si>
  <si>
    <t>Madden - 1.25%</t>
  </si>
  <si>
    <t>Centerline - 1.25%</t>
  </si>
  <si>
    <t>Renew - Add ON</t>
  </si>
  <si>
    <t>Justin rev share Renew. Guru 10k syn</t>
  </si>
  <si>
    <t>Lonestar - 1.25%</t>
  </si>
  <si>
    <t>Tru-Eco Environmental - 1.75%</t>
  </si>
  <si>
    <t>West Coast Construction - 1.25%</t>
  </si>
  <si>
    <t>Naadam - 1.25%</t>
  </si>
  <si>
    <t>Saci - 1.75%</t>
  </si>
  <si>
    <t>Environmental Pump Services - 1.75%</t>
  </si>
  <si>
    <t>Carvici - 1.75%</t>
  </si>
  <si>
    <t xml:space="preserve">Advanced Funds Network </t>
  </si>
  <si>
    <t>Kappa - 1.25%</t>
  </si>
  <si>
    <t>Southern Times  - 1.25%</t>
  </si>
  <si>
    <t>RJP Repair  - 1.25%</t>
  </si>
  <si>
    <t>Bronze - 1.25%</t>
  </si>
  <si>
    <t>Hoffman - 1.75%</t>
  </si>
  <si>
    <t>Lucky Nail - 1.25%</t>
  </si>
  <si>
    <t>Precision Medical Supply - 1.25%</t>
  </si>
  <si>
    <t>Allied Health Programs - 1.75%</t>
  </si>
  <si>
    <t>Carrerra Capital</t>
  </si>
  <si>
    <t>Empathy Care Group - 1.75%</t>
  </si>
  <si>
    <t>Lunas Special Cleaning - 1.75%</t>
  </si>
  <si>
    <t>Ruckle Construction - 1.25%</t>
  </si>
  <si>
    <t>AMT Enterprises - 1.25%</t>
  </si>
  <si>
    <t>Burgundian - 1.75%</t>
  </si>
  <si>
    <t>Able Helpers Home Care - 1.25%</t>
  </si>
  <si>
    <t>MII Moving and Storage - 1.25%</t>
  </si>
  <si>
    <t>business loan on book</t>
  </si>
  <si>
    <t>Nomadik Customs - 1.75%</t>
  </si>
  <si>
    <t>Deal missed for June</t>
  </si>
  <si>
    <t>jusin new ISO</t>
  </si>
  <si>
    <t>Costal Development - 1.25%</t>
  </si>
  <si>
    <t>justin renew ISO</t>
  </si>
  <si>
    <t>Image Locations - 1.25%</t>
  </si>
  <si>
    <t>justin new guru</t>
  </si>
  <si>
    <t>Just N Time Trucking - 1.75%</t>
  </si>
  <si>
    <t>deal missed from May; customer didn't send money back</t>
  </si>
  <si>
    <t>justin renew guru</t>
  </si>
  <si>
    <t>Vintage Hill Consulting - 1.75%</t>
  </si>
  <si>
    <t>Mark J Leonardi - 1.75%</t>
  </si>
  <si>
    <t>1st Impression Floor Covering - 1.75%</t>
  </si>
  <si>
    <t>Smash Events - 1.75%</t>
  </si>
  <si>
    <t>Lancaster Beauty School - 1.75%</t>
  </si>
  <si>
    <t>Platform / Samson</t>
  </si>
  <si>
    <t>Sierra Consulting  - 1.75%</t>
  </si>
  <si>
    <t>Transforming Space - 1.25%</t>
  </si>
  <si>
    <t>Wright Family - 1.25%</t>
  </si>
  <si>
    <t>Oneill - 1.25%</t>
  </si>
  <si>
    <t>Nutis Press - 1.75%</t>
  </si>
  <si>
    <t>Valley Fire &amp; Security - 1.75%</t>
  </si>
  <si>
    <t>D W Green - 1.75%</t>
  </si>
  <si>
    <t>CRC Group - 1.25%</t>
  </si>
  <si>
    <t>La Tortilla - 1.25%</t>
  </si>
  <si>
    <t>Revive Aestetics - 1.75%</t>
  </si>
  <si>
    <t>Malt &amp; B / BBQ Grills - 1.25%</t>
  </si>
  <si>
    <t>Advanced Title - 1.25%</t>
  </si>
  <si>
    <t>Podsearch - 1.25%</t>
  </si>
  <si>
    <t>The Vsquare Group - 1.25%</t>
  </si>
  <si>
    <t>Maximum Advantage Bld - 1.75%</t>
  </si>
  <si>
    <t>Forrest Legal - 1.75%</t>
  </si>
  <si>
    <t>HD Fleet Service - 1.75%</t>
  </si>
  <si>
    <t>JWC LLC - 1.75%</t>
  </si>
  <si>
    <t>Flecto - 1.75%</t>
  </si>
  <si>
    <t>CSR Roofing - 1.75%</t>
  </si>
  <si>
    <t>Markets Depot - 1.75%</t>
  </si>
  <si>
    <t>Justin; capped at 1%</t>
  </si>
  <si>
    <t>Blue Dream Pool - 1.75%</t>
  </si>
  <si>
    <t>SDJ</t>
  </si>
  <si>
    <t>Revitalize Alabama - 1.75%</t>
  </si>
  <si>
    <t>Association Analytics - 1.75%</t>
  </si>
  <si>
    <t>Haseltine Builders - 1.75%</t>
  </si>
  <si>
    <t>MJC Trucking - 1.25%</t>
  </si>
  <si>
    <t>Xtreme - 1.25%</t>
  </si>
  <si>
    <t>Bridge Academy - 1.25%</t>
  </si>
  <si>
    <t>Freeman Support - 1.25%</t>
  </si>
  <si>
    <t>Adventure Marine &amp; Powersports - 1.75%</t>
  </si>
  <si>
    <t>Jac's Construction and Home Repair - 1.75%</t>
  </si>
  <si>
    <t>Mccurdy Farms - 1.75%</t>
  </si>
  <si>
    <t>All Weather Renovations  - 1.75%</t>
  </si>
  <si>
    <t>Kinley FLA - 1.75%</t>
  </si>
  <si>
    <t>Vroom Delivery - 1.25%</t>
  </si>
  <si>
    <t>OJC Trucking - 1.75%</t>
  </si>
  <si>
    <t>Central Valley Millworks - 1.75%</t>
  </si>
  <si>
    <t>La Pizzaria - 1.75%</t>
  </si>
  <si>
    <t>Riverdog Farm - 1.75%</t>
  </si>
  <si>
    <t>Willamette Valley - 1.75%</t>
  </si>
  <si>
    <t>Mrs Barnes - 1.25%</t>
  </si>
  <si>
    <t>Mark Antony Development - 1.25%</t>
  </si>
  <si>
    <t>City Wide Development - 1.75%</t>
  </si>
  <si>
    <t>WCP Aquisitions / Wounds Care - 1.25%</t>
  </si>
  <si>
    <t>TLC Health - 1.75%</t>
  </si>
  <si>
    <t>Pavelle Dortch - 1.25%</t>
  </si>
  <si>
    <t>Queens Empire - 1.75%</t>
  </si>
  <si>
    <t>Danisa - 1.25%</t>
  </si>
  <si>
    <t>Little Friends Moving Center - 1.75%</t>
  </si>
  <si>
    <t>Villa Hills - 1.75%</t>
  </si>
  <si>
    <t>Amerigo Metal Recycling - 1.75%</t>
  </si>
  <si>
    <t xml:space="preserve">Carrera </t>
  </si>
  <si>
    <t>Pratima Chandler - 1.75%</t>
  </si>
  <si>
    <t>The Greenhouses Hotel - 1.75%</t>
  </si>
  <si>
    <t>Ignis Design - 1.75%</t>
  </si>
  <si>
    <t>Pflipsen Trucking - 1.75%</t>
  </si>
  <si>
    <t>Unique Candies - 1.75%</t>
  </si>
  <si>
    <t>AP Modular - 1.75%</t>
  </si>
  <si>
    <t>JP transportation - 1.25%</t>
  </si>
  <si>
    <t>4488 LLC - 1.75%</t>
  </si>
  <si>
    <t>Microbio - 1.25%</t>
  </si>
  <si>
    <t>Marshburn Trucking - 1.25%</t>
  </si>
  <si>
    <t>Ambrose Outdoors - 1.75%</t>
  </si>
  <si>
    <t>Excelsior Protection Group - 1.75%</t>
  </si>
  <si>
    <t>Twin Falls - 1.25%</t>
  </si>
  <si>
    <t>Go to guys construction - 1.75%</t>
  </si>
  <si>
    <t>Pro Pavers - 1.25%</t>
  </si>
  <si>
    <t>Hoover - 1.75%</t>
  </si>
  <si>
    <t>Restaurant 1 - 1.75%</t>
  </si>
  <si>
    <t>311 Auto - 1.75%</t>
  </si>
  <si>
    <t>Glickman Group - 1.25%</t>
  </si>
  <si>
    <t>Ethik Brands - 1.75%</t>
  </si>
  <si>
    <t>Banks Construction - 1.75%</t>
  </si>
  <si>
    <t>Benedictus - 1.25%</t>
  </si>
  <si>
    <t>Liberty Door &amp; Window - 1.25%</t>
  </si>
  <si>
    <t>A &amp; R Corporation - 1.25%</t>
  </si>
  <si>
    <t>Samson/.Glazer</t>
  </si>
  <si>
    <t>Jakd Solutions - 1.75%</t>
  </si>
  <si>
    <t>Handlebar Cyclery - 1.25%</t>
  </si>
  <si>
    <t>Pro Turf and Landscape - 1.25%</t>
  </si>
  <si>
    <t>CW Paint Works - 1.25%</t>
  </si>
  <si>
    <t>Fricker - 1.25%</t>
  </si>
  <si>
    <t>Short Term Nashville - 1.75%</t>
  </si>
  <si>
    <t>Verstraete Conveyability - 1.75%</t>
  </si>
  <si>
    <t>Fletco - 1.75%</t>
  </si>
  <si>
    <t>Black Beards Grub - 1.75%</t>
  </si>
  <si>
    <t>Operational Technical Services - 1.75%</t>
  </si>
  <si>
    <t>Metro Contents - 1.75%</t>
  </si>
  <si>
    <t>TNT Wholesale - 1.75%</t>
  </si>
  <si>
    <t>Overwatch TN Security - 1.75%</t>
  </si>
  <si>
    <t>CLB Trucking - 1.75%</t>
  </si>
  <si>
    <t>Art Form - 1.75%</t>
  </si>
  <si>
    <t>Anchor Realty of St George - 1.75%</t>
  </si>
  <si>
    <t>JVK - 1.25%</t>
  </si>
  <si>
    <t>La Finca - 1.25%</t>
  </si>
  <si>
    <t>Arnies - 1.25%</t>
  </si>
  <si>
    <t>James Gray Auto Sales - 1.75%</t>
  </si>
  <si>
    <t>Martinelli Plumbing &amp; Heating - 1.75%</t>
  </si>
  <si>
    <t>RPM Transporation - 1.75%</t>
  </si>
  <si>
    <t>Rocksteady Technology - 1.75%</t>
  </si>
  <si>
    <t>Castilla Roofing - 1.75%</t>
  </si>
  <si>
    <t>VeeOne Health - 1.25%</t>
  </si>
  <si>
    <t>Southern Commercial Tire of Middle Georgia - 1.75%</t>
  </si>
  <si>
    <t>JB Dental Lab - 1.75%</t>
  </si>
  <si>
    <t>Jolin Concrete - 1.75%</t>
  </si>
  <si>
    <t>Cable Construction - 1.25%</t>
  </si>
  <si>
    <t>Twisted G - 1.75%</t>
  </si>
  <si>
    <t>Aztec Willie &amp; Joey - 1.75%</t>
  </si>
  <si>
    <t>Main Street Book Shop - 1.75%</t>
  </si>
  <si>
    <t>Brad Stevermer - 1.25%</t>
  </si>
  <si>
    <t>Moldstar / Eliteone - 1.75%</t>
  </si>
  <si>
    <t>Dars - 1.75%</t>
  </si>
  <si>
    <t>Breland - 1.25%</t>
  </si>
  <si>
    <t xml:space="preserve">Justin rev share Renew. </t>
  </si>
  <si>
    <t>KZY / Dok Freight - 1.75%</t>
  </si>
  <si>
    <t>Justin ; NO BONUS FOR ISO</t>
  </si>
  <si>
    <t>Integrated Energy Group - 1.75%</t>
  </si>
  <si>
    <t>SB Paulson - 1.75%</t>
  </si>
  <si>
    <t>Serenity Construction - 1.75%</t>
  </si>
  <si>
    <t>Reviatlize Alabama - 1.75%</t>
  </si>
  <si>
    <t>Fitman Podcast - 1.75%</t>
  </si>
  <si>
    <t>Green Planet Traders - 1.75%</t>
  </si>
  <si>
    <t>Wrightway / Miner Investments - 1.75%</t>
  </si>
  <si>
    <t>Turner Power Systems - 1.25%</t>
  </si>
  <si>
    <t>Giacomo 77 - 1.25%</t>
  </si>
  <si>
    <t>4 Angels Healthcare 1 - 1.75%</t>
  </si>
  <si>
    <t>4 Angels Healthcare 2 - 1.75%</t>
  </si>
  <si>
    <t>4 Angels Healthcare 3 - 1.75%</t>
  </si>
  <si>
    <t>Adapt2it - 1.75%</t>
  </si>
  <si>
    <t>CJB Construction - 1.25%</t>
  </si>
  <si>
    <t>Celebration - 1.25%</t>
  </si>
  <si>
    <t>Justin Salary</t>
  </si>
  <si>
    <t>Justin new (ISO)</t>
  </si>
  <si>
    <t>Justin renew (ISO)</t>
  </si>
  <si>
    <t>Guru (new)</t>
  </si>
  <si>
    <t>Kissable Dental - 1.75%</t>
  </si>
  <si>
    <t>Guru (renew)</t>
  </si>
  <si>
    <t>Scientifc Mechanical - 1.75%</t>
  </si>
  <si>
    <t>BTX Construction Group - 1.75%</t>
  </si>
  <si>
    <t>BFS PIF</t>
  </si>
  <si>
    <t>Anfield Interiors - 1.25%</t>
  </si>
  <si>
    <t>MC Land &amp; Proeprties - 1.75%</t>
  </si>
  <si>
    <t>EXIT Art - 1.25%</t>
  </si>
  <si>
    <t>Velocity Ammunitions - 1.75%</t>
  </si>
  <si>
    <t>Rich Interior - 1.75%</t>
  </si>
  <si>
    <t>Jmec Construction - 1.25%</t>
  </si>
  <si>
    <t>The Harbor at Newville - 1.25%</t>
  </si>
  <si>
    <t>Jakville - 1.75%</t>
  </si>
  <si>
    <t>Truism - 1.75%</t>
  </si>
  <si>
    <t>Headflyer Brewing - 1.75%</t>
  </si>
  <si>
    <t>Grant Construction - 1.75%</t>
  </si>
  <si>
    <t>Marathon Moving - 1.75%</t>
  </si>
  <si>
    <t>Carriker - 1.75%</t>
  </si>
  <si>
    <t>Puccio Electric - 1.75%</t>
  </si>
  <si>
    <t>Attraversiamo - 1.75%</t>
  </si>
  <si>
    <t>Tahoe Foods - 1.75%</t>
  </si>
  <si>
    <t>Platinum Drywall South - 1.75%</t>
  </si>
  <si>
    <t>Felipe Reyes - 1.75%</t>
  </si>
  <si>
    <t>Tri-Cities IT - 1.75%</t>
  </si>
  <si>
    <t>Candleight Cabinetry / Cotton Bay - 1.75%</t>
  </si>
  <si>
    <t>Waterbox - 1.75%</t>
  </si>
  <si>
    <t>Brooklyn Cupcakes - 1.25%</t>
  </si>
  <si>
    <t>Roofmasters - 1.75%</t>
  </si>
  <si>
    <t>Justin; No bonus. Cap 1%</t>
  </si>
  <si>
    <t>Absolute floor - 1.25%</t>
  </si>
  <si>
    <t>Horan Building - 1.75%</t>
  </si>
  <si>
    <t>1st impression floor - 1.25%</t>
  </si>
  <si>
    <t>No Management Fee</t>
  </si>
  <si>
    <t>Carfive Motors - 1.75%</t>
  </si>
  <si>
    <t>Annies Elder Care - 1.75%</t>
  </si>
  <si>
    <t>Janus Advisory Group - 1.75%</t>
  </si>
  <si>
    <t>Rock Star Renovations - 1.25%</t>
  </si>
  <si>
    <t>Eagle Vision Auto Services - 1.75%</t>
  </si>
  <si>
    <t>Compassionate Hearts Services - 1.75%</t>
  </si>
  <si>
    <t>New Age General Contracting - 1.75%</t>
  </si>
  <si>
    <t>Arc Builders - 1.75%</t>
  </si>
  <si>
    <t>J&amp;K Project Management - 1.25%</t>
  </si>
  <si>
    <t>Maxkars - 1.75%</t>
  </si>
  <si>
    <t>Sauk River - 1.25%</t>
  </si>
  <si>
    <t>Modern Productions - 1.25%</t>
  </si>
  <si>
    <t>Best Wholesalers - 1.75%</t>
  </si>
  <si>
    <t>Upscale Lakeshore - 1.75%</t>
  </si>
  <si>
    <t>Compliant Solutions / Elite Recovery Systems - 1.75%</t>
  </si>
  <si>
    <t>Phil AM Trading - 1.75%</t>
  </si>
  <si>
    <t>Lightning Strike - 1.75%</t>
  </si>
  <si>
    <t>International Directional Drilling - 1.25%</t>
  </si>
  <si>
    <t>Control Fire Protection - 1.25%</t>
  </si>
  <si>
    <t>Deck Helmet - 1.75%</t>
  </si>
  <si>
    <t>Curry Excavation - 1.75%</t>
  </si>
  <si>
    <t>Hale - 1.75%</t>
  </si>
  <si>
    <t>South Fifth - 1.25%</t>
  </si>
  <si>
    <t>Agsg Food Service - 1.75%</t>
  </si>
  <si>
    <t>Ignis Design and Construction - 1.75%</t>
  </si>
  <si>
    <t>Centerline Engineering - 1.25%</t>
  </si>
  <si>
    <t>Stem Solutions - 1.75%</t>
  </si>
  <si>
    <t>#VYBE - 1.75%</t>
  </si>
  <si>
    <t>Air Master - 1.25%</t>
  </si>
  <si>
    <t>Adept Technologies - 1.75%</t>
  </si>
  <si>
    <t>Bicycle Adventures - 1.75%</t>
  </si>
  <si>
    <t>Justin 1% BFS PIF from glazer</t>
  </si>
  <si>
    <t>Ambrose Outdoors - 1.25%</t>
  </si>
  <si>
    <t>Ridge Restoration - 1.25%</t>
  </si>
  <si>
    <t>Battleborn Pool &amp; Spa - 1.25%</t>
  </si>
  <si>
    <t>Steve Meats - 1.25%</t>
  </si>
  <si>
    <t>Jadon's - 1.75%</t>
  </si>
  <si>
    <t>Aquaspy - 1.75%</t>
  </si>
  <si>
    <t>TKCPA - 1.75%</t>
  </si>
  <si>
    <t>Advanved Automation - 1.25%</t>
  </si>
  <si>
    <t>Performance Distributors - 1.75%</t>
  </si>
  <si>
    <t>Pava Trucking - 1.75%</t>
  </si>
  <si>
    <t>Cape Cars Auto - 1.75%</t>
  </si>
  <si>
    <t>ID Washington - 1.25%</t>
  </si>
  <si>
    <t>Otoole - 1.25%</t>
  </si>
  <si>
    <t>Tomas Christopher - 1.75%</t>
  </si>
  <si>
    <t>Diamond Star Recycling - 1.75%</t>
  </si>
  <si>
    <t>Repair Physical Therapy - 1.25%</t>
  </si>
  <si>
    <t>Concierge Medical - 1.25%</t>
  </si>
  <si>
    <t>Dryline Roofing - 1.75%</t>
  </si>
  <si>
    <t>Titan Comm - 1.75%</t>
  </si>
  <si>
    <t>Readyset Solutions - 1.75%</t>
  </si>
  <si>
    <t>Concrete Mike - 1.75%</t>
  </si>
  <si>
    <t>Aztec Willie - 1.75%</t>
  </si>
  <si>
    <t>Educational Management - 1.25%</t>
  </si>
  <si>
    <t>Wntr Ski Academy - 1.75%</t>
  </si>
  <si>
    <t>Proline - 1.25%</t>
  </si>
  <si>
    <t>Greer Vetinary - 1.25%</t>
  </si>
  <si>
    <t>Accent Painting - 1.75%</t>
  </si>
  <si>
    <t>Pipe Ed Plumbing - 1.75%</t>
  </si>
  <si>
    <t>Stronghand - 1.75%</t>
  </si>
  <si>
    <t>Lovell Martin - 1.25%</t>
  </si>
  <si>
    <t>JBW Installations - 1.25%</t>
  </si>
  <si>
    <t>Divino Properties - 1.75%</t>
  </si>
  <si>
    <t>Pet Central Station - 1.25%</t>
  </si>
  <si>
    <t>salary</t>
  </si>
  <si>
    <t>Norco Transport - 1.75%</t>
  </si>
  <si>
    <t>new ISO</t>
  </si>
  <si>
    <t>Unique Auto Sales - 1.25%</t>
  </si>
  <si>
    <t>renew ISO</t>
  </si>
  <si>
    <t>Atomic Wraps - 1.75%</t>
  </si>
  <si>
    <t>M&amp;M Core - 1.25%</t>
  </si>
  <si>
    <t xml:space="preserve">Gaich - 1.25% </t>
  </si>
  <si>
    <t>seperate deal</t>
  </si>
  <si>
    <t>Nomadik - 1.25%</t>
  </si>
  <si>
    <t>Living Water Irrigation - 1.25%</t>
  </si>
  <si>
    <t>CRP Holdings - 1.25%</t>
  </si>
  <si>
    <t>Rock Transfer &amp; Storage - 1.25%</t>
  </si>
  <si>
    <t>Jerrys Sports Service - 1.75%</t>
  </si>
  <si>
    <t>Bergens - 1.75%</t>
  </si>
  <si>
    <t>ARC City - 1.25%</t>
  </si>
  <si>
    <t>Busted Bra Shop - 1.25%</t>
  </si>
  <si>
    <t>M&amp;R Specialty Trailer - 1.75%</t>
  </si>
  <si>
    <t>Gladiator Roofing and Restoration - 1.75%</t>
  </si>
  <si>
    <t>TDR Electrical - 1.75%</t>
  </si>
  <si>
    <t>Lifestyle Homes - 1.75%</t>
  </si>
  <si>
    <t>American Vets Abatement Experts - 1.75%</t>
  </si>
  <si>
    <t>Vets Demo - 1.75%</t>
  </si>
  <si>
    <t>First Metals - 1.75%</t>
  </si>
  <si>
    <t>MCS Communication - 1.75%</t>
  </si>
  <si>
    <t>Prestige Builders - 1.75%</t>
  </si>
  <si>
    <t>Specialty Real Estate - 1.25%</t>
  </si>
  <si>
    <t>Oneal Drywall - 1.25%</t>
  </si>
  <si>
    <t>Eugene Sprecker - 1.25%</t>
  </si>
  <si>
    <t>Milwaukee Paper - 1.25%</t>
  </si>
  <si>
    <t>Horses and Hounds - 1.75%</t>
  </si>
  <si>
    <t>Willamette Valley - 1.25%</t>
  </si>
  <si>
    <t>Lumen Data - 1.75%</t>
  </si>
  <si>
    <t>J Taylor - 1.75%</t>
  </si>
  <si>
    <t>Draxlers - 1.75%</t>
  </si>
  <si>
    <t>Exotac - 1.75%</t>
  </si>
  <si>
    <t>Nsi Construction - 1.75%</t>
  </si>
  <si>
    <t>Shamrock Medical - 1.75%</t>
  </si>
  <si>
    <t>Sierra Forest Products - 1.75%</t>
  </si>
  <si>
    <t>First Point Construction - 1.75%</t>
  </si>
  <si>
    <t>PJ Lisac - 1.75%</t>
  </si>
  <si>
    <t>J and T Holdings - 1.75%</t>
  </si>
  <si>
    <t>TNA Fleet - 1.75%</t>
  </si>
  <si>
    <t>369 Logistics - 1.75%</t>
  </si>
  <si>
    <t>Association Analytics - 1.25%</t>
  </si>
  <si>
    <t>Droc Auto Repair - 1.75%</t>
  </si>
  <si>
    <t>Direct/Glazer</t>
  </si>
  <si>
    <t>Haque Legal - 1.25%</t>
  </si>
  <si>
    <t>Imran Imports - 1.75%</t>
  </si>
  <si>
    <t>Logan's Pool Service - 1.25%</t>
  </si>
  <si>
    <t>ARRT Construction - 1.75%</t>
  </si>
  <si>
    <t>Bulldog Roofing - 1.75%</t>
  </si>
  <si>
    <t>Norkon Construction - 1.75%</t>
  </si>
  <si>
    <t>DS Restaurant - 1.75%</t>
  </si>
  <si>
    <t>CM Bruce - 1.75%</t>
  </si>
  <si>
    <t>Freedom Air - 1.25%</t>
  </si>
  <si>
    <t>Woodall Tools - 1.75%</t>
  </si>
  <si>
    <t>Sidecar Lansing - 1.25%</t>
  </si>
  <si>
    <t>Hayworth fence - 1.75%</t>
  </si>
  <si>
    <t>T&amp;Q LLC - 1.75%</t>
  </si>
  <si>
    <t>Joshuason - 1.75%</t>
  </si>
  <si>
    <t>Turner Machine - 1.75%</t>
  </si>
  <si>
    <t>Fisher Towing - 1.25%</t>
  </si>
  <si>
    <t xml:space="preserve">Vetted syn whole deal </t>
  </si>
  <si>
    <t>Tavern on the Wharf - 1.25%</t>
  </si>
  <si>
    <t>ANC movers - 1.75%</t>
  </si>
  <si>
    <t>Wing Fellas - 1.25%</t>
  </si>
  <si>
    <t>Perkins - 1.25%</t>
  </si>
  <si>
    <t>Concrete - 1.25%</t>
  </si>
  <si>
    <t>Southeast Abetement - 1.75%</t>
  </si>
  <si>
    <t>The Learning Academy - 1.75%</t>
  </si>
  <si>
    <t>Beauty Bar Med Spa - 1.75%</t>
  </si>
  <si>
    <t>Mi Tiendita &amp; Deli - 1.75%</t>
  </si>
  <si>
    <t>Gabes Professional Auto Solutions - 1.75%</t>
  </si>
  <si>
    <t>Around the clock homecare - 1.75%</t>
  </si>
  <si>
    <t>Much - 1.75%</t>
  </si>
  <si>
    <t>DIIBS - 1.25%</t>
  </si>
  <si>
    <t>Tri-Cities - 1.25%</t>
  </si>
  <si>
    <t>Pacific North - 1.25%</t>
  </si>
  <si>
    <t>Glazer/Direct</t>
  </si>
  <si>
    <t>Indy Real Estate - 1.75%</t>
  </si>
  <si>
    <t>D&amp;D Construction - 1.25%</t>
  </si>
  <si>
    <t>BAS Roofing - 1.75%</t>
  </si>
  <si>
    <t>Burton Metal - 1.25%</t>
  </si>
  <si>
    <t>Real Time - 1.75%</t>
  </si>
  <si>
    <t>Galian Roofinng - 1.75%</t>
  </si>
  <si>
    <t>Dectrinity - 1.75%</t>
  </si>
  <si>
    <t>Nextek Construction - 1.25%</t>
  </si>
  <si>
    <t>Universal Power - 1.25%</t>
  </si>
  <si>
    <t>Pros Corporate Housing - 1.25%</t>
  </si>
  <si>
    <t>Warren Restoration - 1.25%</t>
  </si>
  <si>
    <t>Pav - 1.75%</t>
  </si>
  <si>
    <t>Eyncon - 1.75%</t>
  </si>
  <si>
    <t>JAT Trucking - 1.75%</t>
  </si>
  <si>
    <t>After Hours - 1.75%</t>
  </si>
  <si>
    <t>Verstraete Conveyability - 1.25%</t>
  </si>
  <si>
    <t>JCRC Enterprises - 1.75%</t>
  </si>
  <si>
    <t>direct</t>
  </si>
  <si>
    <t>It's all about the cake - 1.25%</t>
  </si>
  <si>
    <t>Puddletown Bagel - 1.75%</t>
  </si>
  <si>
    <t>Carstar R&amp;M - 1.75%</t>
  </si>
  <si>
    <t>Cimarron Escrow - 1.75%</t>
  </si>
  <si>
    <t>Joseph J Gerrior / Gerrior Massonry - 1.75%</t>
  </si>
  <si>
    <t>Family A Automax - 1.75%</t>
  </si>
  <si>
    <t>Schooks Holdings - 1.75%</t>
  </si>
  <si>
    <t>J Wine Enterprises - 1.75%</t>
  </si>
  <si>
    <t>Premier Reimbursment Solutions - 1.25%</t>
  </si>
  <si>
    <t>Muv-All - 1.25%</t>
  </si>
  <si>
    <t>Savvy - 1.25%</t>
  </si>
  <si>
    <t>Dalton Communities - 1.75%</t>
  </si>
  <si>
    <t>Gift Basket - 1.75%</t>
  </si>
  <si>
    <t>Landrum - 1.25%</t>
  </si>
  <si>
    <t>Brockton Meat Market - 1.75%</t>
  </si>
  <si>
    <t>J&amp;K Contacting - 1.75%</t>
  </si>
  <si>
    <t>JA&amp;D Auto Detailing - 1.75%</t>
  </si>
  <si>
    <t>Robert Marchsese - 1.75%</t>
  </si>
  <si>
    <t>Queens Empire - 1.25%</t>
  </si>
  <si>
    <t>Appraisal Nation - 1.75%</t>
  </si>
  <si>
    <t>Little Treasures - 1.75%</t>
  </si>
  <si>
    <t>Riverside - 1.25%</t>
  </si>
  <si>
    <t>Bradan - 1.25%</t>
  </si>
  <si>
    <t>Diseases of the Lung - 1.25%</t>
  </si>
  <si>
    <t>MW Aircraft Services - 1.75%</t>
  </si>
  <si>
    <t>E4 Athletics - 1.75%</t>
  </si>
  <si>
    <t>NO MGMT FEE</t>
  </si>
  <si>
    <t>Treasured Days - 1.25%</t>
  </si>
  <si>
    <t>Lori Jayne - 1.75%</t>
  </si>
  <si>
    <t>Conejo - 1.25%</t>
  </si>
  <si>
    <t>Glazer / Direct</t>
  </si>
  <si>
    <t>International Liquidation - 1.75%</t>
  </si>
  <si>
    <t>BLA Trucking - 1.25%</t>
  </si>
  <si>
    <t>Wntr Ski - 1.75%</t>
  </si>
  <si>
    <t>Lightning Roofing - 1.25%</t>
  </si>
  <si>
    <t>Brown Family Restaurant - 1.25%</t>
  </si>
  <si>
    <t>Bills Automotive - 1.75%</t>
  </si>
  <si>
    <t>1st Impression Floor - 1.25%</t>
  </si>
  <si>
    <t>NO NET</t>
  </si>
  <si>
    <t>National Construction Management - 1.75%</t>
  </si>
  <si>
    <t>GVS Hospitality - 1.75%</t>
  </si>
  <si>
    <t>BCK Construction - 1.75%</t>
  </si>
  <si>
    <t>Pneumatic Tire - 1.25%</t>
  </si>
  <si>
    <t>McGuire Bros - 1.75%</t>
  </si>
  <si>
    <t>Sapphire Repair Center - 1.75%</t>
  </si>
  <si>
    <t>Weaver Excavation - 1.75%</t>
  </si>
  <si>
    <t>Riptide Restaurant - 1.75%</t>
  </si>
  <si>
    <t>Cafe Vico - 1.75%</t>
  </si>
  <si>
    <t>E&amp;S Hauling LLC - 1.75%</t>
  </si>
  <si>
    <t>Empire Contractors of CNY - 1.75%</t>
  </si>
  <si>
    <t>Finger Lakes Power Equipment - 1.75%</t>
  </si>
  <si>
    <t>My Pizzeria - 1.25%</t>
  </si>
  <si>
    <t>Erica Diaz - 1.75%</t>
  </si>
  <si>
    <t>Perfection Industrial - 1.25%</t>
  </si>
  <si>
    <t>RVB - 1.75%</t>
  </si>
  <si>
    <t>GC Construction Group - 1.75%</t>
  </si>
  <si>
    <t>Reynolds Plumbing - 1.25%</t>
  </si>
  <si>
    <t>Lock Out Fence - 1.75%</t>
  </si>
  <si>
    <t>Coastal Financial Group - 1.25%</t>
  </si>
  <si>
    <t>T-M Vacuum Products - 1.75%</t>
  </si>
  <si>
    <t>Background Research Solutions - 1.75%</t>
  </si>
  <si>
    <t>Southwest Warehouse - 1.25%</t>
  </si>
  <si>
    <t>Jet Aeration - 1.75%</t>
  </si>
  <si>
    <t>Architectural Glazing Systems - 1.75%</t>
  </si>
  <si>
    <t>Quadrel - 1.75%</t>
  </si>
  <si>
    <t>Exchange Custom Homes - 1.25%</t>
  </si>
  <si>
    <t>Your Midlands Real Estate - 1.75%</t>
  </si>
  <si>
    <t>Precision Tower Maintenance - 1.75%</t>
  </si>
  <si>
    <t>Tabacco Crush - 1.25%</t>
  </si>
  <si>
    <t>Market Depot - 1.25%</t>
  </si>
  <si>
    <t>Curtis Classic - 1.75%</t>
  </si>
  <si>
    <t>Wholesale Logistics - 1.75%</t>
  </si>
  <si>
    <t>JB Asset Management - 1.25%</t>
  </si>
  <si>
    <t>Discover Casting - 1.75%</t>
  </si>
  <si>
    <t>REI Steel - 1.25%</t>
  </si>
  <si>
    <t>Werth Realty - 1.75%</t>
  </si>
  <si>
    <t>Melodia Hospice - 1.75%</t>
  </si>
  <si>
    <t>Ceifaa - 1.25%</t>
  </si>
  <si>
    <t>Domaine - 1.25%</t>
  </si>
  <si>
    <t>Andaman Asian Bistro - 1.75%</t>
  </si>
  <si>
    <t xml:space="preserve">Gozal - 1.25% </t>
  </si>
  <si>
    <t>Allied Towing - 1.75%</t>
  </si>
  <si>
    <t>Snack Farm - 1.75%</t>
  </si>
  <si>
    <t>Golden Pear 1 - 1.25%</t>
  </si>
  <si>
    <t>Golden Pear 2 - 1.25%</t>
  </si>
  <si>
    <t>Golden Pear 3 - 1.25%</t>
  </si>
  <si>
    <t>Squared Away Construction - 1.75%</t>
  </si>
  <si>
    <t>Assher Grace - 1.25%</t>
  </si>
  <si>
    <t>Extreme Comfort Heating - 1.75%</t>
  </si>
  <si>
    <t>Fix It Plumbing - 1.75%</t>
  </si>
  <si>
    <t>ECC Roofing - 1.75%</t>
  </si>
  <si>
    <t>Sales Transformation Group - 1.75%</t>
  </si>
  <si>
    <t>Tru-Eco Environmental - 1.25%</t>
  </si>
  <si>
    <t>Jmec - 1.25%</t>
  </si>
  <si>
    <t>Donaldson - 1.75%</t>
  </si>
  <si>
    <t>justin salary</t>
  </si>
  <si>
    <t>Marao Burgers - 1.25%</t>
  </si>
  <si>
    <t>justin direct</t>
  </si>
  <si>
    <t>Axis General Construciton - 1.75%</t>
  </si>
  <si>
    <t>justin ISO (new)</t>
  </si>
  <si>
    <t>Angelo's - 1.75%</t>
  </si>
  <si>
    <t>Justin ISO (renew)</t>
  </si>
  <si>
    <t>Justin (gurus new)</t>
  </si>
  <si>
    <t>EGC Family Plumbing - 1.75%</t>
  </si>
  <si>
    <t>Justin (gurus renew)</t>
  </si>
  <si>
    <t>LLM Door - 1.75%</t>
  </si>
  <si>
    <t>Flushing Sand - 1.75%</t>
  </si>
  <si>
    <t>barber salary</t>
  </si>
  <si>
    <t>barber direct</t>
  </si>
  <si>
    <t>Learning Academy of Austel - 1.75%</t>
  </si>
  <si>
    <t>greg</t>
  </si>
  <si>
    <t>SNP - 1.75%</t>
  </si>
  <si>
    <t>Enchanted - 1.75%</t>
  </si>
  <si>
    <t>Excelssior Group - 1.25%</t>
  </si>
  <si>
    <t>San Diego Construction - 1.75%</t>
  </si>
  <si>
    <t>ClemmTenn Contracting - 1.75%</t>
  </si>
  <si>
    <t xml:space="preserve">Glazer </t>
  </si>
  <si>
    <t>Pinnacle Property - 1.75%</t>
  </si>
  <si>
    <t>Peak Remodel - 1.75%</t>
  </si>
  <si>
    <t>Advanced Door Solution - 1.75%</t>
  </si>
  <si>
    <t>Mad Partners - 1.75%</t>
  </si>
  <si>
    <t>Shearer - 1.25%</t>
  </si>
  <si>
    <t>Double M Marketing - 1.25%</t>
  </si>
  <si>
    <t>Revivie Aesthetics and Spa - 1.25%</t>
  </si>
  <si>
    <t>Sipe Grading - 1.75%</t>
  </si>
  <si>
    <t>Fontana Towing - 1.75%</t>
  </si>
  <si>
    <t>Obax - 1.75%</t>
  </si>
  <si>
    <t>Avery Family - 1.25%</t>
  </si>
  <si>
    <t>Doug's place on Emerson - 1.25%</t>
  </si>
  <si>
    <t>All dogs society - 1.75%</t>
  </si>
  <si>
    <t>Capitol Investment Consultants - 1.75%</t>
  </si>
  <si>
    <t>Landcare Unlimited - 1.25%</t>
  </si>
  <si>
    <t>Minuti - 1.25%</t>
  </si>
  <si>
    <t>Integrity Family Farms</t>
  </si>
  <si>
    <t>Western Fence - 1.75%</t>
  </si>
  <si>
    <t>Tephra Solar - 1.75%</t>
  </si>
  <si>
    <t>Apex Pavers - 1.75%</t>
  </si>
  <si>
    <t>J&amp;R Sunberg Construction - 1.75%</t>
  </si>
  <si>
    <t>US Freight - 1.75%</t>
  </si>
  <si>
    <t>SOS</t>
  </si>
  <si>
    <t>Arielles - 1.25%</t>
  </si>
  <si>
    <t>Kids Inc Preschool - 1.75%</t>
  </si>
  <si>
    <t>Reliance Concrete Contractors - 1.75%</t>
  </si>
  <si>
    <t>Collar &amp; Leash - 1.25%</t>
  </si>
  <si>
    <t>Kabbabbq - 1.75%</t>
  </si>
  <si>
    <t>Riverbend Costruction - 1.75%</t>
  </si>
  <si>
    <t>Craftsman Contractors - 1.75%</t>
  </si>
  <si>
    <t>Ichiban Candy - 1.25%</t>
  </si>
  <si>
    <t>Latino Roofing - 1.25%</t>
  </si>
  <si>
    <t>Guardians Security - 1.75%</t>
  </si>
  <si>
    <t>Kid City - 1.75%</t>
  </si>
  <si>
    <t>Taste of India 1 - 1.75% (missed)</t>
  </si>
  <si>
    <t>Taste of India 2 - 1.25% (missed)</t>
  </si>
  <si>
    <t>Taste of India 3 - 1.25% (missed)</t>
  </si>
  <si>
    <t>Miner Investment - 1.25%</t>
  </si>
  <si>
    <t>Just N Time Air Conditioning - 1.75%</t>
  </si>
  <si>
    <t>One Stop Xteriors - 1.75%</t>
  </si>
  <si>
    <t>Cake Craft Factory - 1.75%</t>
  </si>
  <si>
    <t>Shannons Trucking - 1.75%</t>
  </si>
  <si>
    <t>Mark Olson - 1.75%</t>
  </si>
  <si>
    <t>Superior Home Performance of Texas - 1.25%</t>
  </si>
  <si>
    <t>Blueline Hardscraping - 1.25%</t>
  </si>
  <si>
    <t>Northwest Renewables - 1.25%</t>
  </si>
  <si>
    <t>Absolute Climate Control - 1.75%</t>
  </si>
  <si>
    <t>Bare Brothers - 1.75%</t>
  </si>
  <si>
    <t>Justice - 1.25%</t>
  </si>
  <si>
    <t>Positively Balanced - 1.25%</t>
  </si>
  <si>
    <t>Citywide - 1.25%</t>
  </si>
  <si>
    <t>JA and D Auto - 1.25%</t>
  </si>
  <si>
    <t>Oklahoma Motorcar  - 1.75%</t>
  </si>
  <si>
    <t>Zanco Sales - 1.75%</t>
  </si>
  <si>
    <t>J.Bachman Design - 1.75%</t>
  </si>
  <si>
    <t>RPM Transportation - 1.25%</t>
  </si>
  <si>
    <t>Story Auto Collission - 1.75%</t>
  </si>
  <si>
    <t>Grandfather Homes - 1.75%</t>
  </si>
  <si>
    <t>Galvin - 1.25%</t>
  </si>
  <si>
    <t>Pamela Rummage - 1.75%</t>
  </si>
  <si>
    <t>I Know A Guy Fence and Deck - 1.75%</t>
  </si>
  <si>
    <t>Top Armour Contracting - 1.75%</t>
  </si>
  <si>
    <t>HD Paving &amp; Sealcoating - 1.75%</t>
  </si>
  <si>
    <t>Platinum Drywall South - 1.25%</t>
  </si>
  <si>
    <t>East Wind Construction - 1.75%</t>
  </si>
  <si>
    <t>Concealed Carriers - 1.75%</t>
  </si>
  <si>
    <t>Pleasurebent Tours - 1.75%</t>
  </si>
  <si>
    <t>Wassi World - 1.75%</t>
  </si>
  <si>
    <t>Bluelake - 1.25%</t>
  </si>
  <si>
    <t>Legacy - 1.25%</t>
  </si>
  <si>
    <t>Dominguez Contractors - 1.75%</t>
  </si>
  <si>
    <t>ISO new</t>
  </si>
  <si>
    <t>Compasionate Heart - 1.25%</t>
  </si>
  <si>
    <t>G&amp;T / 3TS - 1.75%</t>
  </si>
  <si>
    <t>C&amp;A Millwirght - 1.25%</t>
  </si>
  <si>
    <t>Own Deal</t>
  </si>
  <si>
    <t>Southern Commercial Tire - 1.25%</t>
  </si>
  <si>
    <t>Mcmillan &amp; Quinn - 1.75%</t>
  </si>
  <si>
    <t>Barber Salary</t>
  </si>
  <si>
    <t>La Salsa - 1.75%</t>
  </si>
  <si>
    <t>Muv-All Trailer - 1.25%</t>
  </si>
  <si>
    <t>MII Moving - 1.25%</t>
  </si>
  <si>
    <t>The Learning Academy of Austell - 1.75%</t>
  </si>
  <si>
    <t>JT Contracting - 1.75%</t>
  </si>
  <si>
    <t>Pikes Peak Indian Motorcycle - 1.75%</t>
  </si>
  <si>
    <t>Northwest Structures - 1.25%</t>
  </si>
  <si>
    <t>Homecare Transitions - 1.75%</t>
  </si>
  <si>
    <t>LAST MONTH PUT 330 VS 430</t>
  </si>
  <si>
    <t>LAST MONTH MISSED</t>
  </si>
  <si>
    <t>Truism Center - 1.25%</t>
  </si>
  <si>
    <t>Pool Boys - 1.75%</t>
  </si>
  <si>
    <t>Premier Reimbursements Solutions - 1.25%</t>
  </si>
  <si>
    <t>Showtime Home Renovation - 1.75%</t>
  </si>
  <si>
    <t>Precision Well - 1.75%</t>
  </si>
  <si>
    <t>CW Paint - 1.25%</t>
  </si>
  <si>
    <t>EP Caine &amp; Associated - 1.75%</t>
  </si>
  <si>
    <t>Barrett Concrete Innovation - 1.75%</t>
  </si>
  <si>
    <t>DM Hope Alliance - 1.75%</t>
  </si>
  <si>
    <t>STS Impact - 1.75%</t>
  </si>
  <si>
    <t>Mass</t>
  </si>
  <si>
    <t>Superior Household - 1.25%</t>
  </si>
  <si>
    <t>Price Paint and Body - 1.75%</t>
  </si>
  <si>
    <t>Chaffee Liquors - 1.25%</t>
  </si>
  <si>
    <t>Redicare Management - 1.25%</t>
  </si>
  <si>
    <t>Malt B / BBQ Grills - 1.25%</t>
  </si>
  <si>
    <t>Perfect Wellness - 1.75%</t>
  </si>
  <si>
    <t>J&amp;K Distrobution - 1.25%</t>
  </si>
  <si>
    <t>Kid City - 1.25%</t>
  </si>
  <si>
    <t>Ellie and Allie Trucking - 1.75%</t>
  </si>
  <si>
    <t>3871 LLC - 1.75%</t>
  </si>
  <si>
    <t>MRI Transportatation - 1.75%</t>
  </si>
  <si>
    <t>Press Leap - 1.75%</t>
  </si>
  <si>
    <t>Kinley FLA - 1.25%</t>
  </si>
  <si>
    <t>Nutis - 1.25%</t>
  </si>
  <si>
    <t>JUSTIN DIRECT</t>
  </si>
  <si>
    <t>Henry Construction - 1.75%</t>
  </si>
  <si>
    <t>Swift Corporation - 1.75%</t>
  </si>
  <si>
    <t>RB Greene Trucking - 1.75%</t>
  </si>
  <si>
    <t xml:space="preserve">Fundible </t>
  </si>
  <si>
    <t>Fresh Treats - 1.75%</t>
  </si>
  <si>
    <t>TM KM Construction - 1.25%</t>
  </si>
  <si>
    <t>Duracraft - 1.75%</t>
  </si>
  <si>
    <t>Cumbia - 1.75%</t>
  </si>
  <si>
    <t>Gensis 1 Construction - 1.75%</t>
  </si>
  <si>
    <t>Body Symmetry - 1.75%</t>
  </si>
  <si>
    <t>GSC Roof - 1.75%</t>
  </si>
  <si>
    <t>Obax - 1.25%</t>
  </si>
  <si>
    <t>Gripon - 1.25%</t>
  </si>
  <si>
    <t>Cape Cars - 1.25%</t>
  </si>
  <si>
    <t>Verstratete Conveyability - 1.25%</t>
  </si>
  <si>
    <t>Titan - 1.75%</t>
  </si>
  <si>
    <t>Big Sky Specialized - 1.75%</t>
  </si>
  <si>
    <t>AZ Code Consultants - 1.75%</t>
  </si>
  <si>
    <t>A and A transportation - 1.25%</t>
  </si>
  <si>
    <t>Nuvision Holdings - 1.75%</t>
  </si>
  <si>
    <t>Davis Grading - 1.25%</t>
  </si>
  <si>
    <t>Stroman - 1.25%</t>
  </si>
  <si>
    <t>Ron Warfield - 1.25%</t>
  </si>
  <si>
    <t>SOS / Vetted</t>
  </si>
  <si>
    <t>Health-Pro - 1.75%</t>
  </si>
  <si>
    <t>Honest Home Solutions - 1.75%</t>
  </si>
  <si>
    <t>Justin rev share. Guru 15k syn</t>
  </si>
  <si>
    <t>Custom Home Production - 1.25%</t>
  </si>
  <si>
    <t>DOK Freight - 1.25%</t>
  </si>
  <si>
    <t>Tuma - 1.75%</t>
  </si>
  <si>
    <t>Gary Trujilo - 1.25%</t>
  </si>
  <si>
    <t>Event Structure Solutions - 1.75%</t>
  </si>
  <si>
    <t>Wenderoff - 1.25%</t>
  </si>
  <si>
    <t>Braga - 1.25%</t>
  </si>
  <si>
    <t>Dubose Trucking - 1.75%</t>
  </si>
  <si>
    <t>Speed Aviation -1.75%</t>
  </si>
  <si>
    <t>5M Services - 1.75%</t>
  </si>
  <si>
    <t>Coastal - 1.25%</t>
  </si>
  <si>
    <t>Themis Legal - 1.75%</t>
  </si>
  <si>
    <t>Pedroncelli Mobile Bottling - 1.75%</t>
  </si>
  <si>
    <t>Absolute Transporation - 1.75%</t>
  </si>
  <si>
    <t>Total Construction - 1.75%</t>
  </si>
  <si>
    <t>Outdoor Lighting Perspectives of Atlanta - 1.75%</t>
  </si>
  <si>
    <t>Fersch - 1.75%</t>
  </si>
  <si>
    <t>Eaton Alliance - 1.75%</t>
  </si>
  <si>
    <t>Taylors Floor - 1.75%</t>
  </si>
  <si>
    <t>Vonberg Heating - 1.75%</t>
  </si>
  <si>
    <t>Blaque - 1.75%</t>
  </si>
  <si>
    <t>T&amp;D Grading - 1.75%</t>
  </si>
  <si>
    <t>Raven Auto - 1.75%</t>
  </si>
  <si>
    <t>Law Office of Christopher - 1.75%</t>
  </si>
  <si>
    <t xml:space="preserve">Dubbs </t>
  </si>
  <si>
    <t>Innovation Vista - 1.25%</t>
  </si>
  <si>
    <t>Goose - 1.75%</t>
  </si>
  <si>
    <t>Mello - 1.25%</t>
  </si>
  <si>
    <t xml:space="preserve">Justin 5% of upsell (4.5% comm) </t>
  </si>
  <si>
    <t>Toasted Owl - 1.75%</t>
  </si>
  <si>
    <t>Mesa Rental - 1.75%</t>
  </si>
  <si>
    <t>LS Interior Group - 1.25%</t>
  </si>
  <si>
    <t>Outback Landscape - 1.75%</t>
  </si>
  <si>
    <t>Maxkars - 1.25%</t>
  </si>
  <si>
    <t>Edge Services - 1.75%</t>
  </si>
  <si>
    <t>Hangloose - 1.75%</t>
  </si>
  <si>
    <t>Mavens - 1.75%</t>
  </si>
  <si>
    <t>Rebel 6 Films - 1.75%</t>
  </si>
  <si>
    <t>Willow Homes - 1.75%</t>
  </si>
  <si>
    <t>Granted Angels - 1.75%</t>
  </si>
  <si>
    <t>New Age - 1.25%</t>
  </si>
  <si>
    <t>Fletco - 1.25%</t>
  </si>
  <si>
    <t>Justin rev share Renew. Guru 15k syn</t>
  </si>
  <si>
    <t>Two Car Guys - 1.75%</t>
  </si>
  <si>
    <t>Modular Home Erectors - 1.75%</t>
  </si>
  <si>
    <t>The Lykos Group - 1.75%</t>
  </si>
  <si>
    <t>AGI Construction - 1.75%</t>
  </si>
  <si>
    <t>Cool Storage of Las Vegas - 1.75%</t>
  </si>
  <si>
    <t>Revscale Technologies - 1.75%</t>
  </si>
  <si>
    <t>Ric's Professional Painting - 1.75%</t>
  </si>
  <si>
    <t>Kelly Pneumatics - 1.75%</t>
  </si>
  <si>
    <t>BOL Global - 1.25%</t>
  </si>
  <si>
    <t>Luzis cleaning - 1.75%</t>
  </si>
  <si>
    <t>A &amp; J Supply - 1.75%</t>
  </si>
  <si>
    <t>Schocks Holdings / Tilford Towing - 1.75%</t>
  </si>
  <si>
    <t>Pete Dospel - 1.25%</t>
  </si>
  <si>
    <t>Liberty Behavioral - 1.75%</t>
  </si>
  <si>
    <t>Columbia Center for Impants - 1.75%</t>
  </si>
  <si>
    <t>Jeff Troyer - 1.75%</t>
  </si>
  <si>
    <t>Southwest Feeds - 1.75%</t>
  </si>
  <si>
    <t>Soundview Landscape &amp; Sprinkler - 1.75%</t>
  </si>
  <si>
    <t>Steves Electric - 1.75%</t>
  </si>
  <si>
    <t>2023 YTD</t>
  </si>
  <si>
    <t>DV Estore - 1.25%</t>
  </si>
  <si>
    <t>National Auto Tools - 1.25%</t>
  </si>
  <si>
    <t>Sun Valley - 1.25%</t>
  </si>
  <si>
    <t>Sun Valley 2 - 1.25%</t>
  </si>
  <si>
    <t>Southern California Transport - 1.25%</t>
  </si>
  <si>
    <t>Apparatus Equipment - 1.25%</t>
  </si>
  <si>
    <t>Southland Equipment - 1.75%</t>
  </si>
  <si>
    <t>Iconic - 1.75%</t>
  </si>
  <si>
    <t>JJ Harvest - 1.25%</t>
  </si>
  <si>
    <t>Luong - 1.75%</t>
  </si>
  <si>
    <t>Coleman - 1.75%</t>
  </si>
  <si>
    <t>City Wide - 1.75%</t>
  </si>
  <si>
    <t>Vista Michigan - 1.75%</t>
  </si>
  <si>
    <t>Fallen Tree - 1.25%</t>
  </si>
  <si>
    <t>Lee Nails Spa - 1.75%</t>
  </si>
  <si>
    <t>Villa Plumbing - 1.25%</t>
  </si>
  <si>
    <t>Marcline - 1.25%</t>
  </si>
  <si>
    <t>Fred's Plumbing - 1.75%</t>
  </si>
  <si>
    <t>Auto First - 1.75%</t>
  </si>
  <si>
    <t>IAdvance</t>
  </si>
  <si>
    <t>Bi-Country Irrigation - 1.25%</t>
  </si>
  <si>
    <t>Clutch Solutions - 1.75%</t>
  </si>
  <si>
    <t>Teckon Construction - 1.75%</t>
  </si>
  <si>
    <t>Steady Capital</t>
  </si>
  <si>
    <t>After Hours Hauling - 1.75%</t>
  </si>
  <si>
    <t>Stroman - 1.75%</t>
  </si>
  <si>
    <t>Moneywell</t>
  </si>
  <si>
    <t>Red Zone - 1.25</t>
  </si>
  <si>
    <t>Absolute Floor - 1.75%</t>
  </si>
  <si>
    <t>AG Builders - 1.75%</t>
  </si>
  <si>
    <t>Siris - 1.75%</t>
  </si>
  <si>
    <t>Insulation - 1.75%</t>
  </si>
  <si>
    <t>No Jobs - 1.75%</t>
  </si>
  <si>
    <t>Superior Homes - 1.75%</t>
  </si>
  <si>
    <t>Lacin - 1.75%</t>
  </si>
  <si>
    <t>Coleman Environmental - 1.75%</t>
  </si>
  <si>
    <t>RCS</t>
  </si>
  <si>
    <t>White Glove - 1.75%</t>
  </si>
  <si>
    <t>Sunternal - 1.75%</t>
  </si>
  <si>
    <t>Pinellas Construction Services - 1.75%</t>
  </si>
  <si>
    <t>J &amp; S Trucking - 1.25%</t>
  </si>
  <si>
    <t>Justin deal</t>
  </si>
  <si>
    <t>Confidence Construction - 1.25%</t>
  </si>
  <si>
    <t>TMT</t>
  </si>
  <si>
    <t>Thompson Fine Home Improvement - 1.75%</t>
  </si>
  <si>
    <t>Mister lader - 1.75%</t>
  </si>
  <si>
    <t>Benders - 1.75%</t>
  </si>
  <si>
    <t>Happy tails  - 1.75%</t>
  </si>
  <si>
    <t>Cheapo - 1.75%</t>
  </si>
  <si>
    <t>bradlyn - 1.75%</t>
  </si>
  <si>
    <t>Southern strength - 1.75%</t>
  </si>
  <si>
    <t>World Upholstery - 1.25%</t>
  </si>
  <si>
    <t>Lees auto recylcing  - 1.75%</t>
  </si>
  <si>
    <t>Justin Direct</t>
  </si>
  <si>
    <t>Muvall - 1.75%</t>
  </si>
  <si>
    <t>Lauren Landis - 1.25%</t>
  </si>
  <si>
    <t>Lauren Gidley- Prosperity  - 1.75%</t>
  </si>
  <si>
    <t>Beato - 1.75%</t>
  </si>
  <si>
    <t>Epilogue - 1.75%</t>
  </si>
  <si>
    <t>Empire nails - 1.75%</t>
  </si>
  <si>
    <t>Worldwide Supply - 1.25%</t>
  </si>
  <si>
    <t>Fast Funds</t>
  </si>
  <si>
    <t>Grande Pizza - 1.25%</t>
  </si>
  <si>
    <t>CDL - 1.25%</t>
  </si>
  <si>
    <t>JT donaldson - 1.75%</t>
  </si>
  <si>
    <t>Shoemaker - 1.75%</t>
  </si>
  <si>
    <t>DOK Freight - 1.75%</t>
  </si>
  <si>
    <t>Paleo on the go - 1.75%</t>
  </si>
  <si>
    <t>Modern Shade - 1.75%</t>
  </si>
  <si>
    <t>Diamond - 1.75%</t>
  </si>
  <si>
    <t>VIP Granite - 1.75%</t>
  </si>
  <si>
    <t>Cater Sisters - 1.25%</t>
  </si>
  <si>
    <t>Medical Center of Lehigh - 1.75%</t>
  </si>
  <si>
    <t>Huntingburg Machine Works - 1.25%</t>
  </si>
  <si>
    <t>No Bonus Maltz</t>
  </si>
  <si>
    <t>PTL - 1.25%</t>
  </si>
  <si>
    <t>Black Bear - 1.25%</t>
  </si>
  <si>
    <t>Encore - 1.25%</t>
  </si>
  <si>
    <t>M&amp;C Metal - 1.25%</t>
  </si>
  <si>
    <t>Sven's Son Trucking - 1.75%</t>
  </si>
  <si>
    <t>Community Labor Partnership - 1.75%</t>
  </si>
  <si>
    <t>Lendlow</t>
  </si>
  <si>
    <t>Hyperion Munitions - 1.75%</t>
  </si>
  <si>
    <t>Lexington Insurance Agency - 1.75%</t>
  </si>
  <si>
    <t>Ondek Healthcare - 1.25%</t>
  </si>
  <si>
    <t>Communications Holdings of Colorado - 1.75%</t>
  </si>
  <si>
    <t>5 Star - 1.75%</t>
  </si>
  <si>
    <t>Punto - 1.25%</t>
  </si>
  <si>
    <t>FD Miller - 1.25%</t>
  </si>
  <si>
    <t>HRBoost - 1.75%</t>
  </si>
  <si>
    <t>Quality Countertops - 1.75%</t>
  </si>
  <si>
    <t>Timberland - 1.75%</t>
  </si>
  <si>
    <t>RAA - 1.75%</t>
  </si>
  <si>
    <t>Baseline NXC - 1.25%</t>
  </si>
  <si>
    <t>Performance Off Road - 1.25%</t>
  </si>
  <si>
    <t>Drive City Motors - 1.75%</t>
  </si>
  <si>
    <t>Cross Country Communication - 1.75%</t>
  </si>
  <si>
    <t>R&amp;N Heath Enterprises - 1.75%</t>
  </si>
  <si>
    <t>Spikegadgets - 1.75%</t>
  </si>
  <si>
    <t>Kortana - 1.75%</t>
  </si>
  <si>
    <t>Rapid Biz</t>
  </si>
  <si>
    <t>Massachusetts Material - 1.25%</t>
  </si>
  <si>
    <t>Macky Landscapping - 1.75%</t>
  </si>
  <si>
    <t>M&amp;G Transportation - 1.25%</t>
  </si>
  <si>
    <t>TR Oliver - 1.25%</t>
  </si>
  <si>
    <t>Landmark Retail - 1.75%</t>
  </si>
  <si>
    <t>ACH Commercial - 1.25%</t>
  </si>
  <si>
    <t>The Redline Group - 1.25%</t>
  </si>
  <si>
    <t>Cilantro Taco - 1.25%</t>
  </si>
  <si>
    <t>Domaine Properties - 1.75%</t>
  </si>
  <si>
    <t>Femji - 1.75%</t>
  </si>
  <si>
    <t>Slate Performance - 1.75%</t>
  </si>
  <si>
    <t>Laramie Range Water - 1.75%</t>
  </si>
  <si>
    <t>Counted for last month Jared/Thomas</t>
  </si>
  <si>
    <t>Vital Workforce - 1.75%</t>
  </si>
  <si>
    <t>Pride Roofing - 1.75%</t>
  </si>
  <si>
    <t>Sterling Pharmaceutical Services - 1.75%</t>
  </si>
  <si>
    <t>South Florida Fire - 1.25%</t>
  </si>
  <si>
    <t>Afka - 1.75%</t>
  </si>
  <si>
    <t>Southern Times - 1.75%</t>
  </si>
  <si>
    <t>Brookan - 1.75%</t>
  </si>
  <si>
    <t>Brooklyn Cupcake - 1.75%</t>
  </si>
  <si>
    <t>Beattie - 1.75%</t>
  </si>
  <si>
    <t>Anderson Tile and Granite - 1.25%</t>
  </si>
  <si>
    <t>Covenant Roofing - 1.75%</t>
  </si>
  <si>
    <t>Esperanza Dental - 1.75%</t>
  </si>
  <si>
    <t>Southeastern Shop Services - 1.25%</t>
  </si>
  <si>
    <t>Tensoriot Inc - 1.75%</t>
  </si>
  <si>
    <t>Homerun Capital</t>
  </si>
  <si>
    <t>Tennessee Vascular - 1.75%</t>
  </si>
  <si>
    <t>Williamsburg Drug Company - 1.75%</t>
  </si>
  <si>
    <t>Sunday Afternoon - 1.75%</t>
  </si>
  <si>
    <t>Action Services - 1.75%</t>
  </si>
  <si>
    <t>Grizzly - 1.75%</t>
  </si>
  <si>
    <t>WCS - 1.25%</t>
  </si>
  <si>
    <t>Sandy Springs - 1.75%</t>
  </si>
  <si>
    <t>AFG - 1.25%</t>
  </si>
  <si>
    <t>Mobile Guys - 1.75%</t>
  </si>
  <si>
    <t>Foley Custom Pools - 1.25%</t>
  </si>
  <si>
    <t>Phil's Meat Market - 1.25%</t>
  </si>
  <si>
    <t>Synergy Contracting - 1.75%</t>
  </si>
  <si>
    <t>Housemart - 1.75%</t>
  </si>
  <si>
    <t>Beattie Add On - 1.75%</t>
  </si>
  <si>
    <t>J &amp; S Transport - 1.75%</t>
  </si>
  <si>
    <t>Jobot - 1.75%</t>
  </si>
  <si>
    <t>Cross Audience - 1.75%</t>
  </si>
  <si>
    <t>Blue Northern - 1.25%</t>
  </si>
  <si>
    <t>Trinity Care - 1.75%</t>
  </si>
  <si>
    <t xml:space="preserve">Flexibility </t>
  </si>
  <si>
    <t>Al Truck Transport - 1.75%</t>
  </si>
  <si>
    <t>Clayton's Land Service 1 - 1.75%</t>
  </si>
  <si>
    <t>Clayton's Land Service 2 - 1.75%</t>
  </si>
  <si>
    <t>Cusitech - 1.75%</t>
  </si>
  <si>
    <t>R &amp; A Supply - 1.25%</t>
  </si>
  <si>
    <t>Cox Rock Products - 1.75%</t>
  </si>
  <si>
    <t>Verified Uniform - 1.75%</t>
  </si>
  <si>
    <t>Silk Tree - 1.25%</t>
  </si>
  <si>
    <t>5th &amp; Wellness - 1.25%</t>
  </si>
  <si>
    <t>Hometown - 1.75%</t>
  </si>
  <si>
    <t>Radiant - 1.25%</t>
  </si>
  <si>
    <t>Green Leaf - 1.75%</t>
  </si>
  <si>
    <t>Dot Connect - 1.75%</t>
  </si>
  <si>
    <t>Advacned Funds</t>
  </si>
  <si>
    <t>Everst Home Improvement - 1.75%</t>
  </si>
  <si>
    <t>Pacesetter Pro - 1.75%</t>
  </si>
  <si>
    <t>Sterling Pharmaceutical - 1.75%</t>
  </si>
  <si>
    <t>Urbina Auto Sales - 1.75%</t>
  </si>
  <si>
    <t>Ayers Contracting - 1.25%</t>
  </si>
  <si>
    <t>Advanced Mobile Truck Repair - 1.75%</t>
  </si>
  <si>
    <t>Two 20 Property Management - 1.75%</t>
  </si>
  <si>
    <t>Sugar Bear - 1.75%</t>
  </si>
  <si>
    <t>Unique Window - 1.25%</t>
  </si>
  <si>
    <t>Legacy - 1.75%</t>
  </si>
  <si>
    <t>Hometown Hideout - 1.75%</t>
  </si>
  <si>
    <t>Flex Freightlines - 1.75%</t>
  </si>
  <si>
    <t>MRH Auto - 1.25%</t>
  </si>
  <si>
    <t>Tech Source - 1.75%</t>
  </si>
  <si>
    <t>GSMS Investments - 1.75%</t>
  </si>
  <si>
    <t>Superior Roofing - 1.75%</t>
  </si>
  <si>
    <t>J &amp; J Elite - 1.75%</t>
  </si>
  <si>
    <t>Showtime Relocations - 1.75%</t>
  </si>
  <si>
    <t>Valley Vet - 1.75%</t>
  </si>
  <si>
    <t>Kava Health - 1.75%</t>
  </si>
  <si>
    <t>Vision Construction - 1.25%</t>
  </si>
  <si>
    <t>Defense Distributed - 1.25%</t>
  </si>
  <si>
    <t>D2 Contractors - 1.25%</t>
  </si>
  <si>
    <t>Harter Ground Solutions - 1.75%</t>
  </si>
  <si>
    <t>Turner - 1.75%</t>
  </si>
  <si>
    <t>Promed Healthcare - 1.75%</t>
  </si>
  <si>
    <t>Steady Cap</t>
  </si>
  <si>
    <t>Dixie Homes - 1.75%</t>
  </si>
  <si>
    <t>BCS - 1.25%</t>
  </si>
  <si>
    <t>Core Commercial Flooring - 1.25%</t>
  </si>
  <si>
    <t>Ark Live - 1.75%</t>
  </si>
  <si>
    <t>Cured Foods - 1.75%</t>
  </si>
  <si>
    <t>Shue's Property Management - 1.75%</t>
  </si>
  <si>
    <t>Ground Penetration - 1.25%</t>
  </si>
  <si>
    <t>Titan Maintenance Group - 1.75%</t>
  </si>
  <si>
    <t>Rural Power - 1.75%</t>
  </si>
  <si>
    <t>BSW - 1.75%</t>
  </si>
  <si>
    <t>Roy Salmon Trucking - 1.75%</t>
  </si>
  <si>
    <t>Picnic Brookyn - 1.75%</t>
  </si>
  <si>
    <t>Kaffeology - 1.75%</t>
  </si>
  <si>
    <t>Vermont Shade - 1.25%</t>
  </si>
  <si>
    <t>MJ Van Damme - 1.75%</t>
  </si>
  <si>
    <t>MCF</t>
  </si>
  <si>
    <t>Maradu - 1.25%</t>
  </si>
  <si>
    <t>Elizabeth &amp; Starling - 1.75%</t>
  </si>
  <si>
    <t>Ice Trucking - 1.75%</t>
  </si>
  <si>
    <t>CRM Construction - 1.75%</t>
  </si>
  <si>
    <t>Cleaning Services - 1.75%</t>
  </si>
  <si>
    <t>Hackett Security - 1.75%</t>
  </si>
  <si>
    <t>Ambiance Realty - 1.75%</t>
  </si>
  <si>
    <t>Bank of Cardiff</t>
  </si>
  <si>
    <t>Coastal Alabama - 1.25%</t>
  </si>
  <si>
    <t>Brabham Family Enterprises - 1.25%</t>
  </si>
  <si>
    <t>21st Century Automotive - 1.25%</t>
  </si>
  <si>
    <t>Iadvance</t>
  </si>
  <si>
    <t>Prestigious Foundations - 1.25%</t>
  </si>
  <si>
    <t>Conor Construction Services - 1.25%</t>
  </si>
  <si>
    <t>Bob's Custom Tiles - 1.75%</t>
  </si>
  <si>
    <t>Mobile Therapy - 1.25%</t>
  </si>
  <si>
    <t>A-Head for Profit - 1.75%</t>
  </si>
  <si>
    <t>Lucky Nails - 1.75%</t>
  </si>
  <si>
    <t>Skytech - 1.75%</t>
  </si>
  <si>
    <t>Vermont - 1.25%</t>
  </si>
  <si>
    <t>Balloonprime - 1.25%</t>
  </si>
  <si>
    <t>East Side - 1.25%</t>
  </si>
  <si>
    <t>Precision Tower - 1.25%</t>
  </si>
  <si>
    <t>Southeastern Industrial Contractors - 1.75%</t>
  </si>
  <si>
    <t>Premium Used Parts Solutions - 1.75%</t>
  </si>
  <si>
    <t>Jeff Troyer Carpentry - 1.75%</t>
  </si>
  <si>
    <t>Dale's Paving - 1.75%</t>
  </si>
  <si>
    <t>White Pelican - 1.75%</t>
  </si>
  <si>
    <t>Samson (Chris)</t>
  </si>
  <si>
    <t>Rosewood Management - 1.25%</t>
  </si>
  <si>
    <t>AC Architect - 1.25%</t>
  </si>
  <si>
    <t>Masco - 1.25%</t>
  </si>
  <si>
    <t>National Transfer - 1.75%</t>
  </si>
  <si>
    <t>Innate Medical - 1.25%</t>
  </si>
  <si>
    <t>Cornerstone - 1.75%</t>
  </si>
  <si>
    <t>2212 Marketing - 1.25%</t>
  </si>
  <si>
    <t>LLCooldre - 1.25%</t>
  </si>
  <si>
    <t>Mariners - 1.75%</t>
  </si>
  <si>
    <t>McMillan - 1.75%</t>
  </si>
  <si>
    <t>Outdoor Homes - 1.75%</t>
  </si>
  <si>
    <t>Shull Remodeling - 1.75%</t>
  </si>
  <si>
    <t>D2R Linen - 1.75%</t>
  </si>
  <si>
    <t>Production Services - 1.75%</t>
  </si>
  <si>
    <t>Four Seasons Construction - 1.75%</t>
  </si>
  <si>
    <t>Shearer Plumbing - 1.75%</t>
  </si>
  <si>
    <t>Kung Hsue She - 1.75%</t>
  </si>
  <si>
    <t>Precision Diesal - 1.75%</t>
  </si>
  <si>
    <t>No bonus Maltz</t>
  </si>
  <si>
    <t>Pet Central - 1.25%</t>
  </si>
  <si>
    <t>Freds Plumbing - 1.25%</t>
  </si>
  <si>
    <t>Superior Salvage - 1.75%</t>
  </si>
  <si>
    <t>Diersen Welding - 1.75%</t>
  </si>
  <si>
    <t>Cadre Construction - 1.75%</t>
  </si>
  <si>
    <t>McCarty &amp; Company - 1.75%</t>
  </si>
  <si>
    <t>Red Steel - 1.25%</t>
  </si>
  <si>
    <t>Red Zone - 1.25%</t>
  </si>
  <si>
    <t>Franktown Firearms - 1.25%</t>
  </si>
  <si>
    <t>Occupational Medicine - 1.75%</t>
  </si>
  <si>
    <t>Spotti - 1.75%</t>
  </si>
  <si>
    <t>Ondek - 1.25%</t>
  </si>
  <si>
    <t>Mister Ladder - 1.25%</t>
  </si>
  <si>
    <t>House of Holistic - 1.25%</t>
  </si>
  <si>
    <t>Green Improvements - 1.75%</t>
  </si>
  <si>
    <t>B&amp;M Developers / Bouffard - 1.25%</t>
  </si>
  <si>
    <t>At Towers - 1.75%</t>
  </si>
  <si>
    <t>Synergy Contracting - 1.25%</t>
  </si>
  <si>
    <t>Talon Veteren Services - 1.25%</t>
  </si>
  <si>
    <t>Di Construction - 1.75%</t>
  </si>
  <si>
    <t>Good News Trucking - 1.75%</t>
  </si>
  <si>
    <t>Eagle Eye Security - 1.75%</t>
  </si>
  <si>
    <t>Esperanza - 1.75%</t>
  </si>
  <si>
    <t>Macon Precast - 1.25%</t>
  </si>
  <si>
    <t>Roslil - 1.75%</t>
  </si>
  <si>
    <t>Automation Links - 1.75</t>
  </si>
  <si>
    <t>Lexington Insurance - 1.25%</t>
  </si>
  <si>
    <t>LLcooldre - 1.25%</t>
  </si>
  <si>
    <t>Remsvol - 1.75%</t>
  </si>
  <si>
    <t>Notex Construction - 1.25%</t>
  </si>
  <si>
    <t>Alpine Soda - 1.75%</t>
  </si>
  <si>
    <t>CW Healthcare Services - 1%</t>
  </si>
  <si>
    <t xml:space="preserve">United Capital Source </t>
  </si>
  <si>
    <t>1% mgmt fee cap</t>
  </si>
  <si>
    <t>8 Other Reasons LLC - 1.25%</t>
  </si>
  <si>
    <t>UST General - 1.25%</t>
  </si>
  <si>
    <t>RTL Carriers - 1.25%</t>
  </si>
  <si>
    <t>Vroom - 1.75%</t>
  </si>
  <si>
    <t>Stiefel - 1.75%</t>
  </si>
  <si>
    <t>United Fitness - 1.75%</t>
  </si>
  <si>
    <t>Epoch - 1.25%</t>
  </si>
  <si>
    <t>Spring Meadows - 1.25%</t>
  </si>
  <si>
    <t>Lil Steves - 1.25%</t>
  </si>
  <si>
    <t>ECI - 1.75%</t>
  </si>
  <si>
    <t>Eric Sonner - 1.75%</t>
  </si>
  <si>
    <t>Herrick and Son - 1.25%</t>
  </si>
  <si>
    <t>Modern Electrical Contrating - 1.75%</t>
  </si>
  <si>
    <t>JWH - 1.25%</t>
  </si>
  <si>
    <t>Cusitech - 1.25%</t>
  </si>
  <si>
    <t>Tri-City Glass - 1.75%</t>
  </si>
  <si>
    <t>Uptown Dental Solutions - 1.75%</t>
  </si>
  <si>
    <t>Fry Street - 1.75%</t>
  </si>
  <si>
    <t>Cavalry Trailer - 1.75%</t>
  </si>
  <si>
    <t>Interstate - 1.75%</t>
  </si>
  <si>
    <t>Schnieke - 1.25%</t>
  </si>
  <si>
    <t>Blitz Transport - 1.25%</t>
  </si>
  <si>
    <t>Davis - 1.25%</t>
  </si>
  <si>
    <t>Alpha Supply warehouse - 1.75%</t>
  </si>
  <si>
    <t>J&amp;R - 1.75%</t>
  </si>
  <si>
    <t>Poseidon Pools - 1.75%</t>
  </si>
  <si>
    <t>Sparkling Bins - 1.75%</t>
  </si>
  <si>
    <t>Air Quality Acessors of Florida / Kidwell Group - 1.75%</t>
  </si>
  <si>
    <t>Sennza Construction - 1.25%</t>
  </si>
  <si>
    <t>Terminus - 1.25%</t>
  </si>
  <si>
    <t>North River - 1.75%</t>
  </si>
  <si>
    <t>The Gifting Group - 1.25%</t>
  </si>
  <si>
    <t>ESD Logistic - 1.75%</t>
  </si>
  <si>
    <t>Kelley Global - 1.25%</t>
  </si>
  <si>
    <t>Patham / Prime Contracting - 1.75%</t>
  </si>
  <si>
    <t>Landmark - 1.25%</t>
  </si>
  <si>
    <t>Millwork - 1.25%</t>
  </si>
  <si>
    <t>Dalyn - 1.75%</t>
  </si>
  <si>
    <t>Concrete Services - 1.75%</t>
  </si>
  <si>
    <t>Taylor Pro - 1.75%</t>
  </si>
  <si>
    <t>Agave - 1.75%</t>
  </si>
  <si>
    <t>Ilir Grajcevci - 1.25%</t>
  </si>
  <si>
    <t>Joy Custom - 1.25%</t>
  </si>
  <si>
    <t>Innate - 1.25%</t>
  </si>
  <si>
    <t>A and R Collission Specialist - 1.75%</t>
  </si>
  <si>
    <t>Academy of Volleyball - 1.75%</t>
  </si>
  <si>
    <t>Constantinou - 1.25%</t>
  </si>
  <si>
    <t>Deans Auto Sales - 1.75%</t>
  </si>
  <si>
    <t>4 Angels - 1.25%</t>
  </si>
  <si>
    <t>Premium Used Parts - 1.25%</t>
  </si>
  <si>
    <t>Norbay Service - 1.25%</t>
  </si>
  <si>
    <t>Absolute Services of MI - 1.25%</t>
  </si>
  <si>
    <t>Rural Power - 1.25%</t>
  </si>
  <si>
    <t>Mi Piace - 1.75%</t>
  </si>
  <si>
    <t>Verified Uniforms - 1.25%</t>
  </si>
  <si>
    <t>Sturgeons - 1.25%</t>
  </si>
  <si>
    <t>Wright - 1.25%</t>
  </si>
  <si>
    <t>Atlantic Insulation - 1.25%</t>
  </si>
  <si>
    <t>Superior - 1.25%</t>
  </si>
  <si>
    <t>Urbane - 1.25%</t>
  </si>
  <si>
    <t>Parker - 1.75%</t>
  </si>
  <si>
    <t>Grandezza - 1.75%</t>
  </si>
  <si>
    <t>Chad Roesler - 1.75%</t>
  </si>
  <si>
    <t>Davis Cleaning - 1.25%</t>
  </si>
  <si>
    <t>Pro 93 Home - 1.75%</t>
  </si>
  <si>
    <t>Emes - 1.25%</t>
  </si>
  <si>
    <t>B&amp;L Company - 1.25%</t>
  </si>
  <si>
    <t>Medplus Urgent Care  - 1.75%</t>
  </si>
  <si>
    <t>Sugar Bear - 1.25%</t>
  </si>
  <si>
    <t>Reines / Assher Grace- 1.75%</t>
  </si>
  <si>
    <t>Wheeler Heating and Cooling - 1.75%</t>
  </si>
  <si>
    <t>Red Truck BBQ - 1.75%</t>
  </si>
  <si>
    <t>Valley Vet - 1.25%</t>
  </si>
  <si>
    <t>Brett</t>
  </si>
  <si>
    <t>Hamilton Entrepenuer - 1.75%</t>
  </si>
  <si>
    <t>Steady</t>
  </si>
  <si>
    <t>Rhino - 1.25%</t>
  </si>
  <si>
    <t>Coleman - 1.25%</t>
  </si>
  <si>
    <t>Twin Express - 1.25%</t>
  </si>
  <si>
    <t>Precision Aire - 1.75%</t>
  </si>
  <si>
    <t>Robert Signs - 1.25%</t>
  </si>
  <si>
    <t>Falcon - 1.75%</t>
  </si>
  <si>
    <t>Propsect 33 - 1.75%</t>
  </si>
  <si>
    <t>MXM - 1.25%</t>
  </si>
  <si>
    <t>Medex Instruments - 1.75%</t>
  </si>
  <si>
    <t>Dom's Nationwide - 1.75%</t>
  </si>
  <si>
    <t>Modern Shade - 1.25%</t>
  </si>
  <si>
    <t>Lamas Family - 1.25%</t>
  </si>
  <si>
    <t>Connor Construction - 1.25%</t>
  </si>
  <si>
    <t>Crosscut Construction - 1.25%</t>
  </si>
  <si>
    <t>East Wind Construction - 1.25%</t>
  </si>
  <si>
    <t>Wager Trailer - 1.25%</t>
  </si>
  <si>
    <t>T&amp;M - 1.25%</t>
  </si>
  <si>
    <t>Custom Home Productions - 1.25%</t>
  </si>
  <si>
    <t>Bailey European - 1.75%</t>
  </si>
  <si>
    <t>Direct Deal</t>
  </si>
  <si>
    <t>Justin Direct - 2.4%</t>
  </si>
  <si>
    <t>Parker Steak - 1.75%</t>
  </si>
  <si>
    <t>Natures Choice - 1.75%</t>
  </si>
  <si>
    <t>Ark Live - 1.25%</t>
  </si>
  <si>
    <t>S&amp;Y - 1.25%</t>
  </si>
  <si>
    <t>Braden Coachworks - 1.75%</t>
  </si>
  <si>
    <t>Hackett - 1.25%</t>
  </si>
  <si>
    <t>K&amp;M Custom Cabinetry - 1.75%</t>
  </si>
  <si>
    <t>Justin Direct - 2%</t>
  </si>
  <si>
    <t>Vector Utilities - 1.75%</t>
  </si>
  <si>
    <t>Abe&amp;Momobile - 1.75%</t>
  </si>
  <si>
    <t>AP Auto - 1.25%</t>
  </si>
  <si>
    <t>Desjarden Excavating - 1.75%</t>
  </si>
  <si>
    <t>South Florida Stucco - 0%</t>
  </si>
  <si>
    <t>No Fee; Too cheap</t>
  </si>
  <si>
    <t>Integrated NW Construction - 1.75%</t>
  </si>
  <si>
    <t>JB Rodgers - 1.75%</t>
  </si>
  <si>
    <t>Country Market - 1.75%</t>
  </si>
  <si>
    <t>BCS Capital - 1.25%</t>
  </si>
  <si>
    <t>McDowell - 1.75%</t>
  </si>
  <si>
    <t>Franktown - 1.25%</t>
  </si>
  <si>
    <t>Dries Painting - 1.75%</t>
  </si>
  <si>
    <t>JK Project Management - 1.25%</t>
  </si>
  <si>
    <t>Bliss - 1.75%</t>
  </si>
  <si>
    <t>Thor Jr - 1.75%</t>
  </si>
  <si>
    <t>Fastfunds</t>
  </si>
  <si>
    <t>Gary Trujillo - 1.25%</t>
  </si>
  <si>
    <t>Savvy Auto Sales - 1.75%</t>
  </si>
  <si>
    <t>Turner Insurance - 1.75%</t>
  </si>
  <si>
    <t>Pride and Hope Ministry - 1.75%</t>
  </si>
  <si>
    <t>All Merchant Funding</t>
  </si>
  <si>
    <t>Wild Weabs - 1.75%</t>
  </si>
  <si>
    <t>GRP</t>
  </si>
  <si>
    <t>Kelley Global Brands - 1.25%</t>
  </si>
  <si>
    <t>R &amp; C Consulting - 1.75%</t>
  </si>
  <si>
    <t>Safe N Sound - 1.75%</t>
  </si>
  <si>
    <t xml:space="preserve">Legendary Funding </t>
  </si>
  <si>
    <t>Fusion Transport Corp - 1.75%</t>
  </si>
  <si>
    <t>Fejes - 1.75%</t>
  </si>
  <si>
    <t>Huggins - 1.25%</t>
  </si>
  <si>
    <t>Pro Paver - 1.25%</t>
  </si>
  <si>
    <t>All About Construction - 1.25%</t>
  </si>
  <si>
    <t>Hallmark Building Group - 1.75%</t>
  </si>
  <si>
    <t>Harter Ground Solutions - 1.25%</t>
  </si>
  <si>
    <t>Voxo - 1.75%</t>
  </si>
  <si>
    <t>Grants Custom Homes - 1.75%</t>
  </si>
  <si>
    <t>Caroina Cobblestone - 1.75%</t>
  </si>
  <si>
    <t>Outfoor Homes - 1.25%</t>
  </si>
  <si>
    <t>Perpetual - 1.25%</t>
  </si>
  <si>
    <t>La Original - 1.25%</t>
  </si>
  <si>
    <t>US Engineering - 1.75%</t>
  </si>
  <si>
    <t>Penn RV Center - 1.75%</t>
  </si>
  <si>
    <t>Gaetro Group - 1.75%</t>
  </si>
  <si>
    <t>Tonda - 1.25%</t>
  </si>
  <si>
    <t>Unique Windows - 1.25%</t>
  </si>
  <si>
    <t>Select Mechanical - 1.25%</t>
  </si>
  <si>
    <t>DB LLC - 1.75%</t>
  </si>
  <si>
    <t>3 Rivers - 1.75%</t>
  </si>
  <si>
    <t xml:space="preserve">W A Arnold </t>
  </si>
  <si>
    <t>Power Plus Line Construction - 1.75%</t>
  </si>
  <si>
    <t xml:space="preserve">Inquisitive Minds </t>
  </si>
  <si>
    <t>Byzloan Direct</t>
  </si>
  <si>
    <t>Ilya referrral; no fee</t>
  </si>
  <si>
    <t>Legacy Construction - 1.75%</t>
  </si>
  <si>
    <t>Lalliar / LCU - 1.75%</t>
  </si>
  <si>
    <t>Rollm Up - 1.75%</t>
  </si>
  <si>
    <t>Guiterrez - 1.75%</t>
  </si>
  <si>
    <t>No fee; too cheap</t>
  </si>
  <si>
    <t>Bowman Steel - 1.75%</t>
  </si>
  <si>
    <t>Reliable Hauling Services - 1.75%</t>
  </si>
  <si>
    <t>Jeff Smith Construction - 1.75%</t>
  </si>
  <si>
    <t>Best Life Health Care - 1.75%</t>
  </si>
  <si>
    <t>PBJ Restaurant - 1.25%</t>
  </si>
  <si>
    <t>McCarty - 1.25%</t>
  </si>
  <si>
    <t>Sunday Afternoon - 1.25%</t>
  </si>
  <si>
    <t>Remsvol - 1.25%</t>
  </si>
  <si>
    <t>Vico Galt - 1.25%</t>
  </si>
  <si>
    <t>All About Tires - 1.75%</t>
  </si>
  <si>
    <t>Madons Convenient Store - 1.75%</t>
  </si>
  <si>
    <t>Paleo on the Go - 1.25%</t>
  </si>
  <si>
    <t>Finest Freight - 1.25%</t>
  </si>
  <si>
    <t xml:space="preserve">Twinfold / House </t>
  </si>
  <si>
    <t>White Glove - 1.25%</t>
  </si>
  <si>
    <t>Eno Glass - 1.75%</t>
  </si>
  <si>
    <t>Tensoriot - 1.25%</t>
  </si>
  <si>
    <t>Home Run Capital</t>
  </si>
  <si>
    <t>B&amp;G Deliver - 1.25%</t>
  </si>
  <si>
    <t>Mission Minded - 1.75%</t>
  </si>
  <si>
    <t>R&amp;N Heath - 1.25%</t>
  </si>
  <si>
    <t>No Fee; too cheap</t>
  </si>
  <si>
    <t>Dharam Auto Sales - 1.75%</t>
  </si>
  <si>
    <t>Justin - Lendflow syn $10k</t>
  </si>
  <si>
    <t>Allstate Installations - 1.25%</t>
  </si>
  <si>
    <t>Muvall Trailers - 1.25%</t>
  </si>
  <si>
    <t>Eye Odom - 1.25</t>
  </si>
  <si>
    <t>Brooklyn Cupcake - 1.25%</t>
  </si>
  <si>
    <t>Absolute - 1.25%</t>
  </si>
  <si>
    <t>Novacon - 1.25%</t>
  </si>
  <si>
    <t>Hometown Hideout - 1.25%</t>
  </si>
  <si>
    <t>Byzloan/Vetted</t>
  </si>
  <si>
    <t>Cavalia - 1.75%</t>
  </si>
  <si>
    <t>Justin - Lendflow syn 10k</t>
  </si>
  <si>
    <t>Capital Truck Lines - 1.75%</t>
  </si>
  <si>
    <t>International Protective Services - 1.25%</t>
  </si>
  <si>
    <t>Newk's Eatery - 1.25%</t>
  </si>
  <si>
    <t>Frog &amp; The Bull - 1.75%</t>
  </si>
  <si>
    <t>Melley - 1.25%</t>
  </si>
  <si>
    <t>Bouffard &amp; McFarland - 1.25%</t>
  </si>
  <si>
    <t>AMCS - 1.25%</t>
  </si>
  <si>
    <t>Sierra Landscape - 1.75%</t>
  </si>
  <si>
    <t>AFKA - 1.25%</t>
  </si>
  <si>
    <t>Baseline - 1.25%</t>
  </si>
  <si>
    <t>Blueline Equipment - 1.25%</t>
  </si>
  <si>
    <t>Valley FIre - 1.75%</t>
  </si>
  <si>
    <t>Turnkey - 1.75%</t>
  </si>
  <si>
    <t>5 Star Granite - 1.25%</t>
  </si>
  <si>
    <t>East Side Family Dentistry - 1.25%</t>
  </si>
  <si>
    <t>Southeastern Shop - 1.25%</t>
  </si>
  <si>
    <t>Stiefel - 1.25%</t>
  </si>
  <si>
    <t>Truckar - 1.75%</t>
  </si>
  <si>
    <t xml:space="preserve">Justin - Lendflow syn 15k </t>
  </si>
  <si>
    <t>Kitsap RV - 1.75%</t>
  </si>
  <si>
    <t>Williams Family RV - 1.75%</t>
  </si>
  <si>
    <t>Anderson Freight - 1.75%</t>
  </si>
  <si>
    <t>Berry Paving - 1.25%</t>
  </si>
  <si>
    <t>DLD3 Carts - 1.25%</t>
  </si>
  <si>
    <t>Coleman- 1.25%</t>
  </si>
  <si>
    <t>Circle - 1.25%</t>
  </si>
  <si>
    <t>Goff - 1.25%</t>
  </si>
  <si>
    <t>Pro 93 - 1.25%</t>
  </si>
  <si>
    <t>BSW - 1.25%</t>
  </si>
  <si>
    <t>ECI - 1.25%</t>
  </si>
  <si>
    <t>Minuti Coffee  - 1.25%</t>
  </si>
  <si>
    <t>Comfort CEC - 1.25%</t>
  </si>
  <si>
    <t>United Service - 1.75%</t>
  </si>
  <si>
    <t>Lexington Kentucky - 1.25%</t>
  </si>
  <si>
    <t>Ecletic Dog Poplar - 1.75%</t>
  </si>
  <si>
    <t>Shine Transport - 1.25%</t>
  </si>
  <si>
    <t>Austin Fire Protection - 1.25%</t>
  </si>
  <si>
    <t>Falcon Marketing - 1.25%</t>
  </si>
  <si>
    <t>Sunternal - 1.25%</t>
  </si>
  <si>
    <t>Occupational - 1.25%</t>
  </si>
  <si>
    <t>Finca Coffee - 1.75%</t>
  </si>
  <si>
    <t>Ice Trucking - 1.25%</t>
  </si>
  <si>
    <t>Carinae - 1.75%</t>
  </si>
  <si>
    <t>Leola - 1.75%</t>
  </si>
  <si>
    <t>Justin Renewal</t>
  </si>
  <si>
    <t>KNA Daycare - 1.75%</t>
  </si>
  <si>
    <t>Gary a Johnson Trucking - 1.75%</t>
  </si>
  <si>
    <t>Atlanta One - 1.25%</t>
  </si>
  <si>
    <t>Be Fufilled - 1.75%</t>
  </si>
  <si>
    <t>Mossy Oak Fence - 1.25%</t>
  </si>
  <si>
    <t>American Wholesale - 1.25%</t>
  </si>
  <si>
    <t>David Armendariz - 1.75%</t>
  </si>
  <si>
    <t xml:space="preserve">Woodlief Dentistry </t>
  </si>
  <si>
    <t>Zachary Gallotta - 1.25%</t>
  </si>
  <si>
    <t>S&amp;Y Transportation - 1.25%</t>
  </si>
  <si>
    <t>Grizzly Auto - 1.25%</t>
  </si>
  <si>
    <t>Lonestar - 1.75%</t>
  </si>
  <si>
    <t>Brady Auto - 1.75%</t>
  </si>
  <si>
    <t>Doug's Place - 1.75%</t>
  </si>
  <si>
    <t>Kirkman - 1.75%</t>
  </si>
  <si>
    <t>MXM NV - 1.25%</t>
  </si>
  <si>
    <t>Samson / Glazer</t>
  </si>
  <si>
    <t>Durastroke - 1.75%</t>
  </si>
  <si>
    <t>My Pillow - 1.75%</t>
  </si>
  <si>
    <t>Justin capped 1%</t>
  </si>
  <si>
    <t>Precise Mobility - 1.75%</t>
  </si>
  <si>
    <t>Justin ; Lendflow syn $5k</t>
  </si>
  <si>
    <t>Red Truck - 1.75%</t>
  </si>
  <si>
    <t>CMR No Net - 1.25%</t>
  </si>
  <si>
    <t>CMR Add On - 1.25%</t>
  </si>
  <si>
    <t>Garman - 1.25%</t>
  </si>
  <si>
    <t>Ericson - 1.25%</t>
  </si>
  <si>
    <t>Superior Homes - 1.25%</t>
  </si>
  <si>
    <t>Punto Paisa - 1.25%</t>
  </si>
  <si>
    <t>Pride - 1.25%</t>
  </si>
  <si>
    <t>Hedberg - 1.75%</t>
  </si>
  <si>
    <t>Cal-Nevada - 1.75%</t>
  </si>
  <si>
    <t>Sabrina Pools - 1.75%</t>
  </si>
  <si>
    <t>Business Marketplace</t>
  </si>
  <si>
    <t>Super GasCo - 1.75%</t>
  </si>
  <si>
    <t>On Duty Transportation - 1.75%</t>
  </si>
  <si>
    <t>Manko - 1.75%</t>
  </si>
  <si>
    <t>Capital Guru</t>
  </si>
  <si>
    <t>Quality - 1.25%</t>
  </si>
  <si>
    <t>Jamie James Motor - 1.75%</t>
  </si>
  <si>
    <t>Defesnse Distributed - 1.25%</t>
  </si>
  <si>
    <t>LCP Enterprises - 1.75%</t>
  </si>
  <si>
    <t>Core DC - 1.75%</t>
  </si>
  <si>
    <t>Phils Meat Market - 1.25%</t>
  </si>
  <si>
    <t>Showtime - 1.25%</t>
  </si>
  <si>
    <t xml:space="preserve">Justin Renew (missed July; pay in August) </t>
  </si>
  <si>
    <t>Siris - 1.25%</t>
  </si>
  <si>
    <t>Green Hornet - 1.75%</t>
  </si>
  <si>
    <t>Happy Plumbing - 1.75%</t>
  </si>
  <si>
    <t>Borderline - 1.75%</t>
  </si>
  <si>
    <t>Capspot</t>
  </si>
  <si>
    <t>American Tank Lines - 1.75%</t>
  </si>
  <si>
    <t>Lake Upscale - 1.75%</t>
  </si>
  <si>
    <t>Lamas - 1.25%</t>
  </si>
  <si>
    <t>US Coachways - 1.25% (November 2022 missed)</t>
  </si>
  <si>
    <t xml:space="preserve">US Coachways - 1.25% (June 2023 missed) </t>
  </si>
  <si>
    <t>Depalma - 1.75%</t>
  </si>
  <si>
    <t>Alamo Music - 1.75%</t>
  </si>
  <si>
    <t>US Coachway - 1.25%</t>
  </si>
  <si>
    <t>Unique Windows Doors - 1.25%</t>
  </si>
  <si>
    <t>Fry Street - 1.25%</t>
  </si>
  <si>
    <t>Mhas - 1.75%</t>
  </si>
  <si>
    <t>Justin - 1% cap</t>
  </si>
  <si>
    <t>Abercrombie - 1.75%</t>
  </si>
  <si>
    <t>No bonus Maltz PIF</t>
  </si>
  <si>
    <t>Metro Money - 1.75%</t>
  </si>
  <si>
    <t>Heritage Transportation - 1.75%</t>
  </si>
  <si>
    <t>Klontech Measurement Solutions - 1.25%</t>
  </si>
  <si>
    <t>SQ Motors - 1.75%</t>
  </si>
  <si>
    <t>AC Power - 1.75%</t>
  </si>
  <si>
    <t>Larrabee Construction - 1.75%</t>
  </si>
  <si>
    <t>Like Dreams - 1.75%</t>
  </si>
  <si>
    <t>Atlas Plumbing - 1.25%</t>
  </si>
  <si>
    <t>R&amp;A Supply - 1.25%</t>
  </si>
  <si>
    <t>Bordner - 1.75%</t>
  </si>
  <si>
    <t>American Eagle Precast - 1.75%</t>
  </si>
  <si>
    <t>George Strohm - 1.75%</t>
  </si>
  <si>
    <t>Plumbing Hvac Purchasing - 1.75%</t>
  </si>
  <si>
    <t>Jacob's Contracting - 1.25%</t>
  </si>
  <si>
    <t>Platinum Oilfield - 1.75%</t>
  </si>
  <si>
    <t>ACS Plumbing - 1.75%</t>
  </si>
  <si>
    <t>Business Loans Lead</t>
  </si>
  <si>
    <t>Alpine Soda - 1.25%</t>
  </si>
  <si>
    <t>Madagoni - 1.75%</t>
  </si>
  <si>
    <t>Young Transporation - 1.75%</t>
  </si>
  <si>
    <t>Waltier Homes - 1.75%</t>
  </si>
  <si>
    <t>Justin ; Lendflow syndicated $10k</t>
  </si>
  <si>
    <t>Kitchens Lumber Company - 1.75%</t>
  </si>
  <si>
    <t>Truckar - 1.25%</t>
  </si>
  <si>
    <t>Justin Renew ; Lendflow syndicated $10k</t>
  </si>
  <si>
    <t>Hanson Trucking - 1.75%</t>
  </si>
  <si>
    <t>Cloverkle Enterprises - 1.75%</t>
  </si>
  <si>
    <t>Justin ; Lendflow syndicated $25k</t>
  </si>
  <si>
    <t>Knautz Flooring - 1.75%</t>
  </si>
  <si>
    <t>Prime Contracting - 1.25%</t>
  </si>
  <si>
    <t>JVK Molbile - 1.25%</t>
  </si>
  <si>
    <t>Davis Moving &amp; Cleaning - 1.25%</t>
  </si>
  <si>
    <t>American Alliance Logistics - 1.75%</t>
  </si>
  <si>
    <t>Madden - 1.75%</t>
  </si>
  <si>
    <t>Platform syndicated $50k</t>
  </si>
  <si>
    <t>Hodge - 1.75%</t>
  </si>
  <si>
    <t>Lakeside Meats - 1.75%</t>
  </si>
  <si>
    <t>Aspen Business Works - 1.75%</t>
  </si>
  <si>
    <t>Las Tres - 1.75%</t>
  </si>
  <si>
    <t>Todds Trucking - 1.75%</t>
  </si>
  <si>
    <t>OCM</t>
  </si>
  <si>
    <t>MH Installations - 1.75%</t>
  </si>
  <si>
    <t>Anchor - 1.25%</t>
  </si>
  <si>
    <t>Ac Architectural concrete - 1.25%</t>
  </si>
  <si>
    <t>Beauty Expo Corp - 1.75%</t>
  </si>
  <si>
    <t>JT's Lawn and Lanscape - 1.75%</t>
  </si>
  <si>
    <t>Villegas Dental Laboratory - 1.75%</t>
  </si>
  <si>
    <t>Burns and Burns - 1.75%</t>
  </si>
  <si>
    <t>Justin ; Lendflow syndicated 20k</t>
  </si>
  <si>
    <t>Encore Audio Visual - 1.75%</t>
  </si>
  <si>
    <t>Lendflow leads</t>
  </si>
  <si>
    <t xml:space="preserve">Justin ; 10% of upsell (8% comm) </t>
  </si>
  <si>
    <t>E3 Pest Control - 1.75%</t>
  </si>
  <si>
    <t xml:space="preserve">Justin ; Lendflow syndicated $10k </t>
  </si>
  <si>
    <t>Positive Outcomes - 1.75%</t>
  </si>
  <si>
    <t>Justin ; rev share off glazer comm</t>
  </si>
  <si>
    <t>NLPA - 1.75%</t>
  </si>
  <si>
    <t>Riesch plumbing - 1.75%</t>
  </si>
  <si>
    <t xml:space="preserve">Justin 10% of upsell (9% comm) </t>
  </si>
  <si>
    <t>Cross Audience - 1.25%</t>
  </si>
  <si>
    <t>Shine - 1.25%</t>
  </si>
  <si>
    <t>Technology Truck Repair - 1.75%</t>
  </si>
  <si>
    <t>Novak</t>
  </si>
  <si>
    <t>Warren Salvage - 1.75%</t>
  </si>
  <si>
    <t>Hemming Contractors - 1.25%</t>
  </si>
  <si>
    <t>LCP - 1.25%</t>
  </si>
  <si>
    <t>RLC - 1.25%</t>
  </si>
  <si>
    <t>Cal Nevada - 1.25%</t>
  </si>
  <si>
    <t>Coastal Automotive - 1.75%</t>
  </si>
  <si>
    <t>Madison Furniture - 1.75%</t>
  </si>
  <si>
    <t>Justin; rev share off glazer comm</t>
  </si>
  <si>
    <t>Apple Intercom - 1.75%</t>
  </si>
  <si>
    <t>Jenoo QSR - 1.75%</t>
  </si>
  <si>
    <t>Arrowhead Logistics - 1.75%</t>
  </si>
  <si>
    <t>Poseidon Pools - 1.25%</t>
  </si>
  <si>
    <t>Savvy Auto Sales - 1.25%</t>
  </si>
  <si>
    <t>J Montes - 1.75%</t>
  </si>
  <si>
    <t>West Chem - 1.75%</t>
  </si>
  <si>
    <t>SC Design - 1.75%</t>
  </si>
  <si>
    <t>Dynamic Energy Transport - 1.25%</t>
  </si>
  <si>
    <t>Good News Trucking - 1.25%</t>
  </si>
  <si>
    <t>Plat syn $200k</t>
  </si>
  <si>
    <t>Anglers Pest - 1.75%</t>
  </si>
  <si>
    <t>Hill Building Maintenance - 1.75%</t>
  </si>
  <si>
    <t>Nlpa - 1.75%</t>
  </si>
  <si>
    <t>6Hallz - 1.75%</t>
  </si>
  <si>
    <t>Avanti - 1.25%</t>
  </si>
  <si>
    <t>Turnkey Design - 1.25%</t>
  </si>
  <si>
    <t>M Coach - 1.75%</t>
  </si>
  <si>
    <t>Quality Auto of Collins - 1.75%</t>
  </si>
  <si>
    <t>Landscape Technique - 1.75%</t>
  </si>
  <si>
    <t>Lickity Split - 1.25%</t>
  </si>
  <si>
    <t>Pierce Construction - 1.75%</t>
  </si>
  <si>
    <t>Direct - NRG</t>
  </si>
  <si>
    <t>Justin 1% comm</t>
  </si>
  <si>
    <t>My Tech - 1.75%</t>
  </si>
  <si>
    <t>Sanders</t>
  </si>
  <si>
    <t>MGJ Elizabeth - 1.75%</t>
  </si>
  <si>
    <t>Naylor - 1.75%</t>
  </si>
  <si>
    <t>Salt Fork - 1.75%</t>
  </si>
  <si>
    <t>Onil Chibas - 1.75%</t>
  </si>
  <si>
    <t>JMG Transportation - 1.75%</t>
  </si>
  <si>
    <t>Blue Mountain - 1.75%</t>
  </si>
  <si>
    <t>Coyote Excacvation - 1.75%</t>
  </si>
  <si>
    <t>Simmons Capital</t>
  </si>
  <si>
    <t>Paint and Wall - 1.75%</t>
  </si>
  <si>
    <t>Gracefield Group - 1.75%</t>
  </si>
  <si>
    <t>Gladiator Roofing - 1.75%</t>
  </si>
  <si>
    <t>M&amp;C - 1.25%</t>
  </si>
  <si>
    <t>Comfortmax - 1.75%</t>
  </si>
  <si>
    <t>Red Truck - 1.25%</t>
  </si>
  <si>
    <t>MRI Transportation - 1.75%</t>
  </si>
  <si>
    <t>Elite Security Gorup - 1.75%</t>
  </si>
  <si>
    <t>Justin ; Lendflow syndicated 10k</t>
  </si>
  <si>
    <t>Reds Realty - 1.75%</t>
  </si>
  <si>
    <t>TM Vacuum - 1.75%</t>
  </si>
  <si>
    <t>Fischer - 1.75%</t>
  </si>
  <si>
    <t>Pinz - 1.25%</t>
  </si>
  <si>
    <t>Ella &amp; Ollies - 1.75%</t>
  </si>
  <si>
    <t>Pristine - 1.75%</t>
  </si>
  <si>
    <t>K and M Custom Cabinetry - 1.25%</t>
  </si>
  <si>
    <t>Justin Direct - 2% comm</t>
  </si>
  <si>
    <t>Dreams Elite Motorsports - 1.75%</t>
  </si>
  <si>
    <t>Pot Express - 1.75%</t>
  </si>
  <si>
    <t>Deans Auto - 1.25%</t>
  </si>
  <si>
    <t>Missed from Dec 2022</t>
  </si>
  <si>
    <t>Missed from Aug 2023</t>
  </si>
  <si>
    <t>Anfield Interior - 1.25%</t>
  </si>
  <si>
    <t>Encore visual - 1.25%</t>
  </si>
  <si>
    <t>Lendlflow Lead</t>
  </si>
  <si>
    <t>Justin 10% of upsell (8% comm)</t>
  </si>
  <si>
    <t>Wilson Building Maintenance - 1.75%</t>
  </si>
  <si>
    <t>James Sommerville - 1.75%</t>
  </si>
  <si>
    <t>Natures Choice - 1.25%</t>
  </si>
  <si>
    <t>Brilliant Beginnings Learning - 1.75%</t>
  </si>
  <si>
    <t>Justin; lendlow syndicated $10k</t>
  </si>
  <si>
    <t>Symphony of wimberly - 1.75%</t>
  </si>
  <si>
    <t>Air Surfaces Express Tampa - 1.75%</t>
  </si>
  <si>
    <t>National Solar Service - 1.75%</t>
  </si>
  <si>
    <t>Oasis</t>
  </si>
  <si>
    <t>Bi-county Irrigation - 1.25%</t>
  </si>
  <si>
    <t>Allen's Watermart - 1.75%</t>
  </si>
  <si>
    <t>Midwest - 1.25%</t>
  </si>
  <si>
    <t>Dream Motor - 1.25%</t>
  </si>
  <si>
    <t>Makota - 1.75%</t>
  </si>
  <si>
    <t>Charlie</t>
  </si>
  <si>
    <t>Roberts Automotive Holding - 1.75%</t>
  </si>
  <si>
    <t>Main Electric - 1.75%</t>
  </si>
  <si>
    <t>Steifel - 1.25%</t>
  </si>
  <si>
    <t>Vital Workdorce - 1.25%</t>
  </si>
  <si>
    <t>Eno Glass - 1.25%</t>
  </si>
  <si>
    <t>East SIde - 1.25%</t>
  </si>
  <si>
    <t>Viking - 1.75%</t>
  </si>
  <si>
    <t>True Grit - 1.75%</t>
  </si>
  <si>
    <t>Panther Air Conditioning - 1.75%</t>
  </si>
  <si>
    <t>Island Delight - 1.75%</t>
  </si>
  <si>
    <t>Break justin off Glazer comm</t>
  </si>
  <si>
    <t>Native Plumbing - 1.75%</t>
  </si>
  <si>
    <t>Moctezma Trucking - 1.75%</t>
  </si>
  <si>
    <t>Bloomfield best bagels - 1.75%</t>
  </si>
  <si>
    <t>Absolute Design Custom Home Builders - 1.25%</t>
  </si>
  <si>
    <t>Warrior Ammunication - 1.75%</t>
  </si>
  <si>
    <t>Avartec - 1.75%</t>
  </si>
  <si>
    <t>Titan automation - 1.75%</t>
  </si>
  <si>
    <t>Roos Holistic Care - 1.75%</t>
  </si>
  <si>
    <t>Rhino Homes - 1.25%</t>
  </si>
  <si>
    <t>Live Oaks - 1.75%</t>
  </si>
  <si>
    <t>All About Family Construction - 1.25%</t>
  </si>
  <si>
    <t>Skytech - 1.25%</t>
  </si>
  <si>
    <t>Turner Outdoor Services - 1.25%</t>
  </si>
  <si>
    <t>Frog and Bull - 1.25%</t>
  </si>
  <si>
    <t>Dragonfly Lanscapes - 1.75%</t>
  </si>
  <si>
    <t>Ilir Grajcevci / Drive Citry - 1.25%</t>
  </si>
  <si>
    <t>Justin - 2.4%</t>
  </si>
  <si>
    <t>C2c Logistics - 1.75%</t>
  </si>
  <si>
    <t>Cavalry Trailer - 1.25%</t>
  </si>
  <si>
    <t>Scott Construction &amp; Welding - 1.75%</t>
  </si>
  <si>
    <t>David Walters Yachts - 1.75%</t>
  </si>
  <si>
    <t>Precision Air &amp; Plumbing - 1.25%</t>
  </si>
  <si>
    <t>K2M Transporation - 1.75%</t>
  </si>
  <si>
    <t>Sirius Mechanical - 1.75%</t>
  </si>
  <si>
    <t>Green Team USA - 1.75%</t>
  </si>
  <si>
    <t>Justin; rev share ; NO ISO bonus</t>
  </si>
  <si>
    <t>Marlins Auto Service - 1.75%</t>
  </si>
  <si>
    <t>Nash Construction - 1.75%</t>
  </si>
  <si>
    <t>Dairy Bar - 1.75%</t>
  </si>
  <si>
    <t>NHM - 1.75%</t>
  </si>
  <si>
    <t>Superior Quartz - 1.75%</t>
  </si>
  <si>
    <t xml:space="preserve">Capital Guru </t>
  </si>
  <si>
    <t>Southern Times - 1.25%</t>
  </si>
  <si>
    <t>Dreams Elite - 1.75%</t>
  </si>
  <si>
    <t>Conejo Landscape - 1.75%</t>
  </si>
  <si>
    <t>Cropper's Nogales Auto Center - 1.75%</t>
  </si>
  <si>
    <t>Simmonscap</t>
  </si>
  <si>
    <t>DLTC Healthcare - 1.75%</t>
  </si>
  <si>
    <t>E Diaz Construction - 1.75%</t>
  </si>
  <si>
    <t>J and S Trucking - 1.25%</t>
  </si>
  <si>
    <t xml:space="preserve">New (didn't take full) </t>
  </si>
  <si>
    <t>Amran - 1.75%</t>
  </si>
  <si>
    <t>Pig Out ATL - 1.75%</t>
  </si>
  <si>
    <t>Eric Deal</t>
  </si>
  <si>
    <t>Ruiz Brothers &amp; Associates - 1.25%</t>
  </si>
  <si>
    <t>ACDC - 1.75%</t>
  </si>
  <si>
    <t>Foothills Dentistry Alaska - 1.75%</t>
  </si>
  <si>
    <t>Rick Curren - 1.75%</t>
  </si>
  <si>
    <t>Pro 93 Home - 1.25%</t>
  </si>
  <si>
    <t>Roberts Signs - 1.25%</t>
  </si>
  <si>
    <t>Bi County - 1.25%</t>
  </si>
  <si>
    <t>Exchange - 1.25%</t>
  </si>
  <si>
    <t>Alpha Personal - 1.75%</t>
  </si>
  <si>
    <t>TKV Electric - 1.75%</t>
  </si>
  <si>
    <t>Breeland Commercial Tire - 1.75%</t>
  </si>
  <si>
    <t>East to West CA Trans Inc - 1.75%</t>
  </si>
  <si>
    <t>Kalli's - 1.75%</t>
  </si>
  <si>
    <t>Atlantis Comfort Systems Corp - 1.75%</t>
  </si>
  <si>
    <t>Cutting Edge - 1.75%</t>
  </si>
  <si>
    <t>Pristine - 1.25%</t>
  </si>
  <si>
    <t>Green Horizon Landscapping - 1.75%</t>
  </si>
  <si>
    <t>Ap Auto - 1.25%</t>
  </si>
  <si>
    <t>Beach Blvd - 1.25%</t>
  </si>
  <si>
    <t>BGB Renovations - 1.75%</t>
  </si>
  <si>
    <t>Janus Enterprise Group - 1.75%</t>
  </si>
  <si>
    <t>A Cleaner Chimney - 1.75%</t>
  </si>
  <si>
    <t>Galvan Builders - 1.75%</t>
  </si>
  <si>
    <t>Global Freight - 1.75%</t>
  </si>
  <si>
    <t>Apollo Crewing - 1.75%</t>
  </si>
  <si>
    <t>PBJ - 1.25%</t>
  </si>
  <si>
    <t>Herrick and Sons - 1.25%</t>
  </si>
  <si>
    <t>JMG - 1.75%</t>
  </si>
  <si>
    <t>Exit Art - 1.75%</t>
  </si>
  <si>
    <t xml:space="preserve">New (Add On) </t>
  </si>
  <si>
    <t>Papis Auto Sales - 1.75%</t>
  </si>
  <si>
    <t>South Fifth Automotive - 1.75%</t>
  </si>
  <si>
    <t>Capital Gurus Leads</t>
  </si>
  <si>
    <t>Brindley Beach - 1.75%</t>
  </si>
  <si>
    <t>Coastal Energy Group - 1.75%</t>
  </si>
  <si>
    <t>Bennett Brothers - 1.75%</t>
  </si>
  <si>
    <t>Odyssey Medical - 1.75%</t>
  </si>
  <si>
    <t>Yard Barbours - 1.25%</t>
  </si>
  <si>
    <t>Pavemaster Asphalt - 1.75%</t>
  </si>
  <si>
    <t>Greencraft Landscape - 1.75%</t>
  </si>
  <si>
    <t>Story Collission - 1.75%</t>
  </si>
  <si>
    <t>BFS PIF leads</t>
  </si>
  <si>
    <t>Lawrenceville - 1.75%</t>
  </si>
  <si>
    <t>Advance Funds</t>
  </si>
  <si>
    <t>Island Day Spa - 1.75%</t>
  </si>
  <si>
    <t>Platinum Oilfield - 1.25%</t>
  </si>
  <si>
    <t>Control Fire Protection - 1.75%</t>
  </si>
  <si>
    <t>Austosmart - 1.75%</t>
  </si>
  <si>
    <t>PAID ON 11/2 ; FUNDED 3/23 ; missed. Don't pay twice</t>
  </si>
  <si>
    <t>PROS Corporate Housing - 1.75%</t>
  </si>
  <si>
    <t>Omni Pools &amp; Scapes / Omni Holdings - 1.75%</t>
  </si>
  <si>
    <t>Vision Electric - 1.75%</t>
  </si>
  <si>
    <t>Hillside Countertops - 1.75%</t>
  </si>
  <si>
    <t>Starfleet Cars - 1.75%</t>
  </si>
  <si>
    <t>Blowe - 1.75%</t>
  </si>
  <si>
    <t>Production Technologies - 1.75%</t>
  </si>
  <si>
    <t>Renew ; Add On</t>
  </si>
  <si>
    <t>Didn't take max</t>
  </si>
  <si>
    <t>New ; Add On</t>
  </si>
  <si>
    <t>Avery Construction - 1.25%</t>
  </si>
  <si>
    <t>Studiano's - 1.25%</t>
  </si>
  <si>
    <t>3J River - 1.75%</t>
  </si>
  <si>
    <t>Durkin Tree Service - 1.75%</t>
  </si>
  <si>
    <t>Young Transporation - 1.25%</t>
  </si>
  <si>
    <t>A&amp;R Corporation - 1.75%</t>
  </si>
  <si>
    <t>CMC Advertising - 1.75%</t>
  </si>
  <si>
    <t>Elkbound - 1.75%</t>
  </si>
  <si>
    <t>Crescent City Meat - 1.75%</t>
  </si>
  <si>
    <t>Bob the Builder - 1.75%</t>
  </si>
  <si>
    <t>Skoggins - 1.75%</t>
  </si>
  <si>
    <t>Frontline Steel Structures - 1.75%</t>
  </si>
  <si>
    <t>Eye Odom - 1.25%</t>
  </si>
  <si>
    <t>Swiftwater - 1.75%</t>
  </si>
  <si>
    <t>Southwest Warehouse Services - 1.75%</t>
  </si>
  <si>
    <t>JWH Construction - 1.25%</t>
  </si>
  <si>
    <t>Accurate Home Services - 1.75%</t>
  </si>
  <si>
    <t>Encore Visutal - 1.25%</t>
  </si>
  <si>
    <t>Lendflow lead</t>
  </si>
  <si>
    <t>Veterinary Mobile Surgical Services - 1.75%</t>
  </si>
  <si>
    <t>Starfire - 1.75%</t>
  </si>
  <si>
    <t>Matty Sales &amp; Service - 1.75%</t>
  </si>
  <si>
    <t>4Tune - 1.75%</t>
  </si>
  <si>
    <t>CLP International - 1.75%</t>
  </si>
  <si>
    <t>Aqua Haven - 1.75%</t>
  </si>
  <si>
    <t>Phantom Labs - 1.75%</t>
  </si>
  <si>
    <t>3 Rivers - 1.25%</t>
  </si>
  <si>
    <t>Citywide Home Care - 1.75%</t>
  </si>
  <si>
    <t>Re-new - 1.75%</t>
  </si>
  <si>
    <t>Preferred Mulch - 1.75%</t>
  </si>
  <si>
    <t>Conejo - 1.75%</t>
  </si>
  <si>
    <t>Mo's Cafe - 1.75%</t>
  </si>
  <si>
    <t>Bass Solutions - 1.75%</t>
  </si>
  <si>
    <t>La Tiendita Restaurant - 1.75%</t>
  </si>
  <si>
    <t>Yummy Yummy - 1.75%</t>
  </si>
  <si>
    <t>Busted Bra Shop - 1.75%</t>
  </si>
  <si>
    <t>Guttieriez Yard - 1.25%</t>
  </si>
  <si>
    <t>Femij - 1.25%</t>
  </si>
  <si>
    <t>DFW - 1.75%</t>
  </si>
  <si>
    <t>Modern Paving - 1.75%</t>
  </si>
  <si>
    <t>MAD Supeior - 1.75%</t>
  </si>
  <si>
    <t>Pereira - 1.75%</t>
  </si>
  <si>
    <t>Komax Business Solutions - 1.75%</t>
  </si>
  <si>
    <t>Next Levels - 1.75%</t>
  </si>
  <si>
    <t>Black Label Transportation - 1.75%</t>
  </si>
  <si>
    <t>Indy Homes - 1.75%</t>
  </si>
  <si>
    <t>Best One Cleaning Services - 1.75%</t>
  </si>
  <si>
    <t>Bridgeside Building Company - 1.75%</t>
  </si>
  <si>
    <t>Roadrunner Grill - 1.75%</t>
  </si>
  <si>
    <t>Peolple custom rx - 1.75%</t>
  </si>
  <si>
    <t>Taylormade Contracting - 1.75%</t>
  </si>
  <si>
    <t>Sennza - 1.25%</t>
  </si>
  <si>
    <t>Justin renew</t>
  </si>
  <si>
    <t>Elevation Festivals - 1.75%</t>
  </si>
  <si>
    <t>8 Other Reasons - 1.25%</t>
  </si>
  <si>
    <t>Ground Support - 1.75%</t>
  </si>
  <si>
    <t>TJS Leasing - 1.75%</t>
  </si>
  <si>
    <t>Pangea - 1.75%</t>
  </si>
  <si>
    <t>Siciliy Coal - 1.75%</t>
  </si>
  <si>
    <t>Diamond - 1.25%</t>
  </si>
  <si>
    <t>General Builders Supply - 1.75%</t>
  </si>
  <si>
    <t>Custom Needle Print - 1.75%</t>
  </si>
  <si>
    <t>Cano Electric - 1.75%</t>
  </si>
  <si>
    <t>LS Interiors - 1.75%</t>
  </si>
  <si>
    <t>Parker Steak - 1.25%</t>
  </si>
  <si>
    <t>Parker Eatery - 1.25%</t>
  </si>
  <si>
    <t>ID Washington - 1.75%</t>
  </si>
  <si>
    <t>Dye No Myte - 1.75%</t>
  </si>
  <si>
    <t>RD3 Muslce - 1.75%</t>
  </si>
  <si>
    <t>Aca Transport - 1.75%</t>
  </si>
  <si>
    <t>Bronze Star Moving - 1.75%</t>
  </si>
  <si>
    <t>Ware Funds and Trucking - 1.75%</t>
  </si>
  <si>
    <t>Business Loan</t>
  </si>
  <si>
    <t>Jersons Concrete - 1.75%</t>
  </si>
  <si>
    <t>The Vsquare Group - 1.75%</t>
  </si>
  <si>
    <t>Structures Northest - 1.75%</t>
  </si>
  <si>
    <t>Ayala Development - 1.75%</t>
  </si>
  <si>
    <t>Exchange Trucking - 1.75%</t>
  </si>
  <si>
    <t xml:space="preserve">Smoky Mountain Pools - 1.75% </t>
  </si>
  <si>
    <t>Exp Performance LLC - 1.75%</t>
  </si>
  <si>
    <t>Paris Heating - 1.75%</t>
  </si>
  <si>
    <t>LJ Construction - 1.75%</t>
  </si>
  <si>
    <t>Mello Marketing - 1.75%</t>
  </si>
  <si>
    <t>MII Moving and Storage - 1.75%</t>
  </si>
  <si>
    <t>K&amp;M Custom Cabinetry - 1.25%</t>
  </si>
  <si>
    <t>Capital Guru Lead</t>
  </si>
  <si>
    <t>Justin 1%</t>
  </si>
  <si>
    <t>ACS  Plumbing - 1.25%</t>
  </si>
  <si>
    <t>Eclectic - 1.25%</t>
  </si>
  <si>
    <t>Universal Insulation - 1.25%</t>
  </si>
  <si>
    <t>Quality Truss - 1.75%</t>
  </si>
  <si>
    <t>HF3 Associates - 1.75%</t>
  </si>
  <si>
    <t>Golden Hammer Roofing - 1.75%</t>
  </si>
  <si>
    <t>Noble Pluming - 1.25%</t>
  </si>
  <si>
    <t>Muvall Trailer - 1.25%</t>
  </si>
  <si>
    <t>Southwest Warehouse - 1.75%</t>
  </si>
  <si>
    <t>Apparatus Equipment &amp; Service - 1.25%</t>
  </si>
  <si>
    <t>Finnco - 1.25%</t>
  </si>
  <si>
    <t>Mobility Partners of Houston - 1.75%</t>
  </si>
  <si>
    <t>Martinex Painting - 1.75%</t>
  </si>
  <si>
    <t>MH Installations - 1.25%</t>
  </si>
  <si>
    <t>Swiftwater Custom Homes - 1.75%</t>
  </si>
  <si>
    <t>LP Express Oil Change - 1.75%</t>
  </si>
  <si>
    <t>Five Star Residential - 1.75%</t>
  </si>
  <si>
    <t>H6 Company - 1.75%</t>
  </si>
  <si>
    <t>Coto De Caza Glass - 1.75%</t>
  </si>
  <si>
    <t>Crucial MRO - 1.75%</t>
  </si>
  <si>
    <t>American Logistics - 1.25%</t>
  </si>
  <si>
    <t>Danisa - 1.75%</t>
  </si>
  <si>
    <t>10-8 Emergency Vehicle Service - 1.75%</t>
  </si>
  <si>
    <t>David Armendariz - 1.25%</t>
  </si>
  <si>
    <t>California Smog - 1.75%</t>
  </si>
  <si>
    <t>Mccusso Services - 1.75%</t>
  </si>
  <si>
    <t>Ceramo - 1.75%</t>
  </si>
  <si>
    <t>Northriver Mechanical - 1.25%</t>
  </si>
  <si>
    <t>Wright Medical - 1.25%</t>
  </si>
  <si>
    <t>Pro Home 93 - 1.25%</t>
  </si>
  <si>
    <t>Jt Donalds - 1.75%</t>
  </si>
  <si>
    <t>GSMS - 1.25%</t>
  </si>
  <si>
    <t>Blue Ribbon - 1.75%</t>
  </si>
  <si>
    <t>Health Pro Home Care - 1.75%</t>
  </si>
  <si>
    <t>Legacy Roofing - 1.75%</t>
  </si>
  <si>
    <t>Bass Solutions Forwarding - 1.75%</t>
  </si>
  <si>
    <t>M and M Core - 1.75%</t>
  </si>
  <si>
    <t>Anfield - 1.75%</t>
  </si>
  <si>
    <t>SKV Holdings - 1.75%</t>
  </si>
  <si>
    <t>Franklin Todd / Foothills Dentistry - 1.75%</t>
  </si>
  <si>
    <t>Treasured Days - 1.75%</t>
  </si>
  <si>
    <t>Community  Labor Partnership - 1.75%</t>
  </si>
  <si>
    <t>Superior Granite - 1.75%</t>
  </si>
  <si>
    <t>Thompson Fine - 1.25%</t>
  </si>
  <si>
    <t>Road Runner Grill - 1.75%</t>
  </si>
  <si>
    <t>PM Repair - 1.75%</t>
  </si>
  <si>
    <t>After Hours Hauling - 1.25%</t>
  </si>
  <si>
    <t>Learning Center / LCP - 1.25%</t>
  </si>
  <si>
    <t>BB Glass - 1.75%</t>
  </si>
  <si>
    <t>Technology Solutions Unlimited - 1.75%</t>
  </si>
  <si>
    <t>Dawn Eagle - 1.75%</t>
  </si>
  <si>
    <t>Haque Legal - 1.75%</t>
  </si>
  <si>
    <t>Bykota - 1.75%</t>
  </si>
  <si>
    <t>BLB Trucking - 1.75%</t>
  </si>
  <si>
    <t>Handlebar - 1.75%</t>
  </si>
  <si>
    <t>Corporate Cafe - 1.75%</t>
  </si>
  <si>
    <t>East Side  - 1.25%</t>
  </si>
  <si>
    <t>East End - 1.25%</t>
  </si>
  <si>
    <t>KDJL - 1.25%</t>
  </si>
  <si>
    <t>Third Pear Corp - 1.25%</t>
  </si>
  <si>
    <t>All Vision - 1.25%</t>
  </si>
  <si>
    <t>R Harris - 1.75%</t>
  </si>
  <si>
    <t>It's All About Cakes - 1.75%</t>
  </si>
  <si>
    <t>Dodson Builders Construction - 1.75%</t>
  </si>
  <si>
    <t>Roofing Made Easy - 1.75%</t>
  </si>
  <si>
    <t>Coleman Research - 1.75%</t>
  </si>
  <si>
    <t>Tennessee Vascular - 1.25%</t>
  </si>
  <si>
    <t>Bruche and Nachas - 1.75%</t>
  </si>
  <si>
    <t>Reliable Business Resources - 1.75%</t>
  </si>
  <si>
    <t>JT Donaldson - 1.25%</t>
  </si>
  <si>
    <t>Quincy Gate Auto - 1.75%</t>
  </si>
  <si>
    <t>Phil AM Trading - 1.25%</t>
  </si>
  <si>
    <t>Red Wolfe Industries - 1.75%</t>
  </si>
  <si>
    <t>On Duty Transporation - 1.25%</t>
  </si>
  <si>
    <t>Service Novelty Company - 1.75%</t>
  </si>
  <si>
    <t>Greer Vet - 1.25%</t>
  </si>
  <si>
    <t>Lolow - 1.75%</t>
  </si>
  <si>
    <t>Waltier Homes - 1.25%</t>
  </si>
  <si>
    <t>Pros Corporate Housing - 1.75%</t>
  </si>
  <si>
    <t>Hage Fence Repair of TB - 1.75%</t>
  </si>
  <si>
    <t xml:space="preserve">Justin 10% of upsell (1% comm) </t>
  </si>
  <si>
    <t>Ondeal Drywall - 1.75%</t>
  </si>
  <si>
    <t>Original Farinacci Landscape - 1.75%</t>
  </si>
  <si>
    <t>Sybil's House - 1.75%</t>
  </si>
  <si>
    <t>Deal Name</t>
  </si>
  <si>
    <t xml:space="preserve">2.75% total </t>
  </si>
  <si>
    <t xml:space="preserve">True up total </t>
  </si>
  <si>
    <t>true up needed</t>
  </si>
  <si>
    <t>2022 YTD</t>
  </si>
  <si>
    <t>Linovoys</t>
  </si>
  <si>
    <t xml:space="preserve">Platform </t>
  </si>
  <si>
    <t xml:space="preserve">Renewal </t>
  </si>
  <si>
    <t>US Bus and Charter Limo</t>
  </si>
  <si>
    <t>Samson Internal</t>
  </si>
  <si>
    <t>needed</t>
  </si>
  <si>
    <t>Carry 2.75%</t>
  </si>
  <si>
    <t xml:space="preserve">Strategic Construction </t>
  </si>
  <si>
    <t xml:space="preserve">Luam Investments </t>
  </si>
  <si>
    <t>Automation and Entertainment</t>
  </si>
  <si>
    <t>Platform Syndicated 20%</t>
  </si>
  <si>
    <t>A-Head For Profit</t>
  </si>
  <si>
    <t>Entron</t>
  </si>
  <si>
    <t>Innovative</t>
  </si>
  <si>
    <t>pt built in samson</t>
  </si>
  <si>
    <t>Cafe 21</t>
  </si>
  <si>
    <t>Samson / Gibb</t>
  </si>
  <si>
    <t xml:space="preserve">Pacific North </t>
  </si>
  <si>
    <t>Samson / Mass</t>
  </si>
  <si>
    <t xml:space="preserve">River Pointe </t>
  </si>
  <si>
    <t xml:space="preserve">Chupp Industrial </t>
  </si>
  <si>
    <t>Samson / Synergy</t>
  </si>
  <si>
    <t xml:space="preserve">Brett </t>
  </si>
  <si>
    <t>Fine Foods</t>
  </si>
  <si>
    <t>Skilletz</t>
  </si>
  <si>
    <t>Samson / GSB</t>
  </si>
  <si>
    <t>not needed</t>
  </si>
  <si>
    <t>Steve/Glazer</t>
  </si>
  <si>
    <t xml:space="preserve">East Mountain Vet </t>
  </si>
  <si>
    <t>Pathem</t>
  </si>
  <si>
    <t xml:space="preserve">Daxx / Greg </t>
  </si>
  <si>
    <t xml:space="preserve">Precision Tower Maitenance </t>
  </si>
  <si>
    <t>Loch Builders</t>
  </si>
  <si>
    <t>Boston Market</t>
  </si>
  <si>
    <t>Shollock / Qualfi</t>
  </si>
  <si>
    <t>$6,625 needed to Samson</t>
  </si>
  <si>
    <t xml:space="preserve">2pt built in samson / shollock 12k </t>
  </si>
  <si>
    <t>Greg / Advanced American Funding</t>
  </si>
  <si>
    <t>Greg / Advanced Funds Network</t>
  </si>
  <si>
    <t xml:space="preserve">Superior Corporation </t>
  </si>
  <si>
    <t>Rcs</t>
  </si>
  <si>
    <t xml:space="preserve">AJ Sons </t>
  </si>
  <si>
    <t xml:space="preserve">cashless refi </t>
  </si>
  <si>
    <t>Radial</t>
  </si>
  <si>
    <t>$425 needed  to Samson</t>
  </si>
  <si>
    <t>Platform syndicated $125k</t>
  </si>
  <si>
    <t>Platform syndicated $75k</t>
  </si>
  <si>
    <t>JVK Trucking Co</t>
  </si>
  <si>
    <t>OCM Financial</t>
  </si>
  <si>
    <t>Indian Motorcycle of San Diego / Broadhead Power Sports</t>
  </si>
  <si>
    <t>Twinfold</t>
  </si>
  <si>
    <t>April bonus</t>
  </si>
  <si>
    <t>4887.5 needed</t>
  </si>
  <si>
    <t>2% Samson + 1% O Fee; 55% to sales rep</t>
  </si>
  <si>
    <t>carrying 2.75% mgmt on $600k</t>
  </si>
  <si>
    <t>Pippen Timber Harvesting</t>
  </si>
  <si>
    <t xml:space="preserve">Paramount </t>
  </si>
  <si>
    <t xml:space="preserve">American Provenence </t>
  </si>
  <si>
    <t xml:space="preserve">Penhurst </t>
  </si>
  <si>
    <t>Elevation syndicated $100k</t>
  </si>
  <si>
    <t>All State Glass</t>
  </si>
  <si>
    <t>Shollock / Cheddar Express</t>
  </si>
  <si>
    <t>$12,562.5 needed</t>
  </si>
  <si>
    <t>$4500 SHOLLOCK</t>
  </si>
  <si>
    <t>carry 2.75% mgmt fee</t>
  </si>
  <si>
    <t xml:space="preserve">Creative / Samson </t>
  </si>
  <si>
    <t>3% to Samson - $5,600 SHOLLOCK</t>
  </si>
  <si>
    <t xml:space="preserve">Morin Construction </t>
  </si>
  <si>
    <t xml:space="preserve">Blakely Construction </t>
  </si>
  <si>
    <t>MRX</t>
  </si>
  <si>
    <t xml:space="preserve">1,000 fee shollock - 300 - $700 net </t>
  </si>
  <si>
    <t>Funded on May 26; missed last month</t>
  </si>
  <si>
    <t xml:space="preserve">Central Avenue </t>
  </si>
  <si>
    <t>Iadvance / Samson</t>
  </si>
  <si>
    <t>Samson net $2700</t>
  </si>
  <si>
    <t>JK Project Management</t>
  </si>
  <si>
    <t>Samson net $30k</t>
  </si>
  <si>
    <t>Jubilee Hilltop Ranch</t>
  </si>
  <si>
    <t>Home Run Capital / Samson</t>
  </si>
  <si>
    <t xml:space="preserve">Samson net 7500 </t>
  </si>
  <si>
    <t>B&amp;G Express Delivery 1</t>
  </si>
  <si>
    <t>B&amp;G Express Delivery 2</t>
  </si>
  <si>
    <t>Solidify</t>
  </si>
  <si>
    <t>Global Cancer</t>
  </si>
  <si>
    <t>Michael / Business Capital USA</t>
  </si>
  <si>
    <t xml:space="preserve">yes </t>
  </si>
  <si>
    <t xml:space="preserve">samson made 12k </t>
  </si>
  <si>
    <t>yes</t>
  </si>
  <si>
    <t xml:space="preserve">samson made $0 </t>
  </si>
  <si>
    <t xml:space="preserve">US Coachways </t>
  </si>
  <si>
    <t xml:space="preserve">Samson Funding / Pizza </t>
  </si>
  <si>
    <t xml:space="preserve">splitting mgmt fee w Samson </t>
  </si>
  <si>
    <t>Eastside</t>
  </si>
  <si>
    <t>Rochester Flooring</t>
  </si>
  <si>
    <t>A&amp;H Excavating</t>
  </si>
  <si>
    <t>David Allen</t>
  </si>
  <si>
    <t>Fundomate</t>
  </si>
  <si>
    <t>Precision Tower</t>
  </si>
  <si>
    <t>Adame Handyman</t>
  </si>
  <si>
    <t>Twin Express</t>
  </si>
  <si>
    <t>MCF Fund</t>
  </si>
  <si>
    <t>Samson 2% O Fee and 1% in rate</t>
  </si>
  <si>
    <t>Pacific North</t>
  </si>
  <si>
    <t>Samson 2% OFee and 1% in rate</t>
  </si>
  <si>
    <t>Ron Jones Electrical</t>
  </si>
  <si>
    <t>Prime Capital Partners</t>
  </si>
  <si>
    <t>Absolute Designs</t>
  </si>
  <si>
    <t>Hemmingway</t>
  </si>
  <si>
    <t>Samson 2% O Fee + 1% comm</t>
  </si>
  <si>
    <t>Carry mgmt fee</t>
  </si>
  <si>
    <t>TMT / Pizza</t>
  </si>
  <si>
    <t>2% O FEE + 990 IN COMM TO SAMSON AFTER SPLIT WITH REP</t>
  </si>
  <si>
    <t>MCG</t>
  </si>
  <si>
    <t>Triple 7 Construction</t>
  </si>
  <si>
    <t>TMT  / Pizza</t>
  </si>
  <si>
    <t>2% O FEE + $2,925 IN COMM TO SAMSON AFTER SPLIT WITH REP</t>
  </si>
  <si>
    <t>Gemini Concrete Pumping</t>
  </si>
  <si>
    <t>MCP</t>
  </si>
  <si>
    <t>Cheddar</t>
  </si>
  <si>
    <t>Suspension Wholesaler</t>
  </si>
  <si>
    <t>Ditcharos</t>
  </si>
  <si>
    <t>AR Capital</t>
  </si>
  <si>
    <t>Curry Excavation</t>
  </si>
  <si>
    <t>PC Medical</t>
  </si>
  <si>
    <t>Missed in Sept</t>
  </si>
  <si>
    <t>Platform syndicated 40k; fee on 120k</t>
  </si>
  <si>
    <t>Glazer/Steve</t>
  </si>
  <si>
    <t>Joy Construction</t>
  </si>
  <si>
    <t>SOS Syn</t>
  </si>
  <si>
    <t xml:space="preserve">Leafnode </t>
  </si>
  <si>
    <t>Finest Freight</t>
  </si>
  <si>
    <t xml:space="preserve">Everlasting / House </t>
  </si>
  <si>
    <t>Justin Deal ; 1% cap</t>
  </si>
  <si>
    <t>Justin Deal</t>
  </si>
  <si>
    <t>Ruiz Brothers &amp; Associates, Inc</t>
  </si>
  <si>
    <t>2% fees and 5% comm split with rep</t>
  </si>
  <si>
    <t>Mobile Therapy Centers of America</t>
  </si>
  <si>
    <t>Carolina Crab Hosue</t>
  </si>
  <si>
    <t>Curtis Construction</t>
  </si>
  <si>
    <t>Ron Jones Electric</t>
  </si>
  <si>
    <t>Samson 2% OFEE an 2% comm</t>
  </si>
  <si>
    <t>Monewell</t>
  </si>
  <si>
    <t>Global Cancer Research</t>
  </si>
  <si>
    <t>Samson 2% O Fee and 2% Comm</t>
  </si>
  <si>
    <t>RGs</t>
  </si>
  <si>
    <t>Ayers Contracting</t>
  </si>
  <si>
    <t>SIMs</t>
  </si>
  <si>
    <t>Samson 1% O Fee and 2% Comm</t>
  </si>
  <si>
    <t>NEW COMISSION STRUCTURE IN EFFECT AS OF 11/21/22</t>
  </si>
  <si>
    <t xml:space="preserve">Total Comm </t>
  </si>
  <si>
    <t>Gifting Group - 1.75%</t>
  </si>
  <si>
    <t>Leave no Paws - 1.75%</t>
  </si>
  <si>
    <t>Distinct by Design - 1.75%</t>
  </si>
  <si>
    <t>Bicounty Irrigation - 1.75%</t>
  </si>
  <si>
    <t>Four Seaons Ground Maintenance - 1.75%</t>
  </si>
  <si>
    <t>Kumul - 1.25%</t>
  </si>
  <si>
    <t>Sennza - 1.75%</t>
  </si>
  <si>
    <t>Jesses Equipment - 1.25%</t>
  </si>
  <si>
    <t>DIIBS - 1.75%</t>
  </si>
  <si>
    <t>Precision Air &amp; Plumbing - 1.75%</t>
  </si>
  <si>
    <t>Level Up - 1.25%</t>
  </si>
  <si>
    <t xml:space="preserve">Minuti Coffee - 1.75% </t>
  </si>
  <si>
    <t xml:space="preserve">side by side- within 30 days </t>
  </si>
  <si>
    <t>Atlantic Insulation - 1.75%</t>
  </si>
  <si>
    <t>Chicken Pantry - 1.25%</t>
  </si>
  <si>
    <t>Wright Family Medical - 1.75%</t>
  </si>
  <si>
    <t>Silk Tree - 1.75%</t>
  </si>
  <si>
    <t>Laser Line - 1.75%</t>
  </si>
  <si>
    <t>Roadrunner - 1.25%</t>
  </si>
  <si>
    <t>Independent Exterior - 1.25%</t>
  </si>
  <si>
    <t>Beach Blvd - 1.75%</t>
  </si>
  <si>
    <t>Ayala - 1.25%</t>
  </si>
  <si>
    <t>Anchor - 1.75%</t>
  </si>
  <si>
    <t>CMR - No Fee</t>
  </si>
  <si>
    <t>No mgmt fee</t>
  </si>
  <si>
    <t>Southers - 1.25%</t>
  </si>
  <si>
    <t>Integrity Farms - 1.25%</t>
  </si>
  <si>
    <t>RC Counseling - 1.75%</t>
  </si>
  <si>
    <t>AA Family - 1.75%</t>
  </si>
  <si>
    <t>Rebel Taco - 1.75%</t>
  </si>
  <si>
    <t>Davis - 1.75%</t>
  </si>
  <si>
    <t>Radiant - 1.75%</t>
  </si>
  <si>
    <t>Unique windows - 1.75%</t>
  </si>
  <si>
    <t>141 Dental - 1.25%</t>
  </si>
  <si>
    <t>East side family - 1.25%</t>
  </si>
  <si>
    <t>Davis Diseal Services - 1.75%</t>
  </si>
  <si>
    <t>Renova - 1.25%</t>
  </si>
  <si>
    <t>T&amp;M Transport - 1.75%</t>
  </si>
  <si>
    <t>Herritage Masonry - 1.75%</t>
  </si>
  <si>
    <t>Jets Amazing - 1.25%</t>
  </si>
  <si>
    <t>J&amp;J Harvest - 1.25%</t>
  </si>
  <si>
    <t>Crazy Burgers - 1.75%</t>
  </si>
  <si>
    <t>Denox Direct - 1.75%</t>
  </si>
  <si>
    <t>Wagers Trailer Sales - 1.75%</t>
  </si>
  <si>
    <t>Lawrenceville Construction - 1.75%</t>
  </si>
  <si>
    <t>Advancefunds</t>
  </si>
  <si>
    <t>A &amp; H Excavating - 1.25%</t>
  </si>
  <si>
    <t>Notex - 1.75%</t>
  </si>
  <si>
    <t>Aunt Irenes - 1.75%</t>
  </si>
  <si>
    <t>Americos - 1.25%</t>
  </si>
  <si>
    <t>DCI - 1.75%</t>
  </si>
  <si>
    <t>Pioneer Air - 1.25%</t>
  </si>
  <si>
    <t>MCG / Getty</t>
  </si>
  <si>
    <t>Storm - 1.75%</t>
  </si>
  <si>
    <t>Hair by Chiara - 1.75%</t>
  </si>
  <si>
    <t>Macon - 1.75%</t>
  </si>
  <si>
    <t>Fresh Start - 1.75%</t>
  </si>
  <si>
    <t>United Republic - 1.25%</t>
  </si>
  <si>
    <t>Seifrig Trucking - 1.75%</t>
  </si>
  <si>
    <t>Highburry Concrete - 1.25%</t>
  </si>
  <si>
    <t xml:space="preserve">No Net Refi </t>
  </si>
  <si>
    <t>Newk's Eatery - 1.75%</t>
  </si>
  <si>
    <t>BCAC Underground - 1.75%</t>
  </si>
  <si>
    <t>DMG AV - 1.75%</t>
  </si>
  <si>
    <t>Twin Express - 1.75%</t>
  </si>
  <si>
    <t>Studiano's  - 1.25%</t>
  </si>
  <si>
    <t>East End Alliance - 1.25%</t>
  </si>
  <si>
    <t>S Sun Health - 1.75%</t>
  </si>
  <si>
    <t>Notes - 1.75%</t>
  </si>
  <si>
    <t>Klontech - 1.75%</t>
  </si>
  <si>
    <t>Norbay - 1.75%</t>
  </si>
  <si>
    <t>USA Trades - 1.75%</t>
  </si>
  <si>
    <t>Wingspan - 1.75%</t>
  </si>
  <si>
    <t>Bad Apple - 1.75%</t>
  </si>
  <si>
    <t>CTFO - 1.75%</t>
  </si>
  <si>
    <t>Advantage Dermatology - 1.25%</t>
  </si>
  <si>
    <t>Blitz - 1.25%</t>
  </si>
  <si>
    <t>Leeward - 1.25%</t>
  </si>
  <si>
    <t>bcs - 1.25%</t>
  </si>
  <si>
    <t>Atlas - 1.75%</t>
  </si>
  <si>
    <t>Austin Fire - 1.75%</t>
  </si>
  <si>
    <t>RTL Carriors - 1.75%</t>
  </si>
  <si>
    <t>Cross Cut - 1.25%</t>
  </si>
  <si>
    <t>Hub City - 1.75%</t>
  </si>
  <si>
    <t>Demello - 1.25%</t>
  </si>
  <si>
    <t>JK Contracting - 1.25%</t>
  </si>
  <si>
    <t>Zero Gravity - 1.75%</t>
  </si>
  <si>
    <t>JNK Trucking - 1.75%</t>
  </si>
  <si>
    <t>Cant Wait - 1.75%</t>
  </si>
  <si>
    <t>Ws Contracting - 1.75%</t>
  </si>
  <si>
    <t>LL Cool Dre - 1.25%</t>
  </si>
  <si>
    <t>Franktown - 1.75%</t>
  </si>
  <si>
    <t>VPI - 1.75%</t>
  </si>
  <si>
    <t>Michael Silverman - 1.75%</t>
  </si>
  <si>
    <t>Shucked - 1.75%</t>
  </si>
  <si>
    <t>MRH Auto - 1.75%</t>
  </si>
  <si>
    <t>Mark Case Logging - 1.25%</t>
  </si>
  <si>
    <t>Tornado Roofing - 1.75%</t>
  </si>
  <si>
    <t>Tonda - 1.75%</t>
  </si>
  <si>
    <t>Novicon - 1.75%</t>
  </si>
  <si>
    <t>Vacations four you - 1.75%</t>
  </si>
  <si>
    <t>ACH Commercial Construction - 1.75%</t>
  </si>
  <si>
    <t>Team 110 - 1.75%</t>
  </si>
  <si>
    <t>CNR Repair - 1.75%</t>
  </si>
  <si>
    <t>Davis Moving and Cleaning - 1.75%</t>
  </si>
  <si>
    <t>The Light School of Atlanta - 1.75%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</si>
</sst>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mmmm\ yyyy"/>
    <numFmt numFmtId="166" formatCode="m/d/yy"/>
    <numFmt numFmtId="168" formatCode="&quot;$&quot;#,##0"/>
  </numFmts>
  <fonts count="15">
    <font>
      <sz val="10"/>
      <color rgb="FF000000"/>
      <name val="Arial"/>
      <scheme val="minor"/>
    </font>
    <font>
      <u/>
      <sz val="12"/>
      <color rgb="FF0000FF"/>
      <name val="Arial"/>
      <family val="2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1F1F1F"/>
      <name val="Arial"/>
      <family val="2"/>
      <scheme val="minor"/>
    </font>
    <font>
      <sz val="17"/>
      <color rgb="FF1F1F1F"/>
      <name val="&quot;Google Sans&quot;"/>
    </font>
    <font>
      <b/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rgb="FFB7E1CD"/>
      </patternFill>
    </fill>
    <fill>
      <patternFill patternType="solid">
        <fgColor rgb="FFD9E2F3"/>
        <bgColor rgb="FFD9E2F3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5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4" fontId="5" fillId="5" borderId="0" xfId="0" applyNumberFormat="1" applyFont="1" applyFill="1" applyAlignment="1">
      <alignment horizontal="center"/>
    </xf>
    <xf numFmtId="164" fontId="5" fillId="0" borderId="0" xfId="0" applyNumberFormat="1" applyFont="1"/>
    <xf numFmtId="165" fontId="5" fillId="5" borderId="0" xfId="0" applyNumberFormat="1" applyFont="1" applyFill="1" applyAlignment="1">
      <alignment horizontal="left"/>
    </xf>
    <xf numFmtId="164" fontId="7" fillId="5" borderId="0" xfId="0" applyNumberFormat="1" applyFont="1" applyFill="1" applyAlignment="1">
      <alignment horizontal="center"/>
    </xf>
    <xf numFmtId="14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4" fillId="5" borderId="0" xfId="0" applyFont="1" applyFill="1"/>
    <xf numFmtId="0" fontId="4" fillId="0" borderId="0" xfId="0" applyFont="1"/>
    <xf numFmtId="164" fontId="4" fillId="0" borderId="0" xfId="0" applyNumberFormat="1" applyFont="1" applyAlignment="1">
      <alignment horizontal="center"/>
    </xf>
    <xf numFmtId="14" fontId="4" fillId="0" borderId="0" xfId="0" applyNumberFormat="1" applyFont="1"/>
    <xf numFmtId="0" fontId="5" fillId="0" borderId="0" xfId="0" applyFont="1"/>
    <xf numFmtId="164" fontId="4" fillId="0" borderId="0" xfId="0" applyNumberFormat="1" applyFont="1"/>
    <xf numFmtId="0" fontId="4" fillId="6" borderId="0" xfId="0" applyFont="1" applyFill="1"/>
    <xf numFmtId="0" fontId="4" fillId="0" borderId="0" xfId="0" applyFont="1" applyAlignment="1">
      <alignment horizontal="left"/>
    </xf>
    <xf numFmtId="0" fontId="4" fillId="7" borderId="0" xfId="0" applyFont="1" applyFill="1"/>
    <xf numFmtId="0" fontId="8" fillId="0" borderId="0" xfId="0" applyFont="1"/>
    <xf numFmtId="164" fontId="8" fillId="0" borderId="0" xfId="0" applyNumberFormat="1" applyFont="1" applyAlignment="1">
      <alignment horizontal="center"/>
    </xf>
    <xf numFmtId="14" fontId="8" fillId="0" borderId="0" xfId="0" applyNumberFormat="1" applyFont="1" applyAlignment="1">
      <alignment horizontal="right"/>
    </xf>
    <xf numFmtId="166" fontId="4" fillId="0" borderId="0" xfId="0" applyNumberFormat="1" applyFont="1"/>
    <xf numFmtId="0" fontId="8" fillId="6" borderId="0" xfId="0" applyFont="1" applyFill="1"/>
    <xf numFmtId="0" fontId="8" fillId="7" borderId="0" xfId="0" applyFont="1" applyFill="1"/>
    <xf numFmtId="10" fontId="4" fillId="0" borderId="0" xfId="0" applyNumberFormat="1" applyFont="1"/>
    <xf numFmtId="168" fontId="4" fillId="0" borderId="0" xfId="0" applyNumberFormat="1" applyFont="1"/>
    <xf numFmtId="0" fontId="4" fillId="0" borderId="0" xfId="0" applyFont="1" applyAlignment="1">
      <alignment horizontal="center"/>
    </xf>
    <xf numFmtId="4" fontId="4" fillId="0" borderId="0" xfId="0" applyNumberFormat="1" applyFont="1"/>
    <xf numFmtId="0" fontId="8" fillId="0" borderId="0" xfId="0" applyFont="1" applyAlignment="1">
      <alignment horizontal="center"/>
    </xf>
    <xf numFmtId="0" fontId="5" fillId="7" borderId="0" xfId="0" applyFont="1" applyFill="1"/>
    <xf numFmtId="0" fontId="5" fillId="3" borderId="0" xfId="0" applyFont="1" applyFill="1"/>
    <xf numFmtId="2" fontId="4" fillId="0" borderId="0" xfId="0" applyNumberFormat="1" applyFont="1"/>
    <xf numFmtId="0" fontId="11" fillId="3" borderId="0" xfId="0" applyFont="1" applyFill="1"/>
    <xf numFmtId="164" fontId="4" fillId="7" borderId="0" xfId="0" applyNumberFormat="1" applyFont="1" applyFill="1" applyAlignment="1">
      <alignment horizontal="center"/>
    </xf>
    <xf numFmtId="164" fontId="9" fillId="0" borderId="0" xfId="0" applyNumberFormat="1" applyFont="1" applyAlignment="1">
      <alignment horizontal="center"/>
    </xf>
    <xf numFmtId="164" fontId="4" fillId="3" borderId="0" xfId="0" applyNumberFormat="1" applyFont="1" applyFill="1" applyAlignment="1">
      <alignment horizontal="center"/>
    </xf>
    <xf numFmtId="1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3" fontId="4" fillId="0" borderId="0" xfId="0" applyNumberFormat="1" applyFont="1"/>
    <xf numFmtId="166" fontId="4" fillId="0" borderId="0" xfId="0" applyNumberFormat="1" applyFont="1" applyAlignment="1">
      <alignment horizontal="center"/>
    </xf>
    <xf numFmtId="0" fontId="10" fillId="3" borderId="0" xfId="0" applyFont="1" applyFill="1" applyAlignment="1">
      <alignment horizontal="left"/>
    </xf>
    <xf numFmtId="0" fontId="8" fillId="8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2" fillId="7" borderId="0" xfId="0" applyNumberFormat="1" applyFont="1" applyFill="1" applyAlignment="1">
      <alignment horizontal="center"/>
    </xf>
    <xf numFmtId="166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4" fillId="7" borderId="0" xfId="0" applyFont="1" applyFill="1" applyAlignment="1">
      <alignment horizontal="left"/>
    </xf>
    <xf numFmtId="164" fontId="3" fillId="0" borderId="0" xfId="0" applyNumberFormat="1" applyFont="1" applyAlignment="1">
      <alignment horizontal="center"/>
    </xf>
    <xf numFmtId="0" fontId="5" fillId="5" borderId="0" xfId="0" applyFont="1" applyFill="1" applyAlignment="1">
      <alignment horizontal="center"/>
    </xf>
    <xf numFmtId="164" fontId="4" fillId="7" borderId="0" xfId="0" applyNumberFormat="1" applyFont="1" applyFill="1" applyAlignment="1">
      <alignment horizontal="right"/>
    </xf>
    <xf numFmtId="0" fontId="5" fillId="7" borderId="0" xfId="0" applyFont="1" applyFill="1" applyAlignment="1">
      <alignment horizontal="center"/>
    </xf>
    <xf numFmtId="166" fontId="4" fillId="0" borderId="0" xfId="0" applyNumberFormat="1" applyFont="1" applyAlignment="1">
      <alignment horizontal="right"/>
    </xf>
    <xf numFmtId="4" fontId="4" fillId="6" borderId="0" xfId="0" applyNumberFormat="1" applyFont="1" applyFill="1"/>
    <xf numFmtId="0" fontId="12" fillId="3" borderId="0" xfId="0" applyFont="1" applyFill="1"/>
    <xf numFmtId="164" fontId="5" fillId="7" borderId="0" xfId="0" applyNumberFormat="1" applyFont="1" applyFill="1" applyAlignment="1">
      <alignment horizontal="center"/>
    </xf>
    <xf numFmtId="0" fontId="13" fillId="0" borderId="0" xfId="0" applyFont="1" applyAlignment="1">
      <alignment horizontal="center"/>
    </xf>
    <xf numFmtId="0" fontId="5" fillId="5" borderId="0" xfId="0" applyFont="1" applyFill="1"/>
    <xf numFmtId="0" fontId="4" fillId="10" borderId="0" xfId="0" applyFont="1" applyFill="1" applyAlignment="1">
      <alignment horizontal="center"/>
    </xf>
    <xf numFmtId="164" fontId="5" fillId="5" borderId="0" xfId="0" applyNumberFormat="1" applyFont="1" applyFill="1"/>
    <xf numFmtId="165" fontId="5" fillId="7" borderId="0" xfId="0" applyNumberFormat="1" applyFont="1" applyFill="1" applyAlignment="1">
      <alignment horizontal="left"/>
    </xf>
    <xf numFmtId="168" fontId="4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164" fontId="5" fillId="3" borderId="0" xfId="0" applyNumberFormat="1" applyFont="1" applyFill="1" applyAlignment="1">
      <alignment horizontal="center"/>
    </xf>
    <xf numFmtId="168" fontId="4" fillId="0" borderId="0" xfId="0" applyNumberFormat="1" applyFont="1" applyAlignment="1">
      <alignment horizontal="center" wrapText="1"/>
    </xf>
    <xf numFmtId="0" fontId="4" fillId="7" borderId="0" xfId="0" applyFont="1" applyFill="1" applyAlignment="1">
      <alignment horizontal="center"/>
    </xf>
    <xf numFmtId="0" fontId="14" fillId="9" borderId="0" xfId="0" applyFont="1" applyFill="1"/>
    <xf numFmtId="164" fontId="4" fillId="9" borderId="0" xfId="0" applyNumberFormat="1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9" borderId="0" xfId="0" applyFont="1" applyFill="1"/>
    <xf numFmtId="0" fontId="4" fillId="4" borderId="0" xfId="0" applyFont="1" applyFill="1"/>
    <xf numFmtId="164" fontId="5" fillId="4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66" fontId="4" fillId="7" borderId="0" xfId="0" applyNumberFormat="1" applyFont="1" applyFill="1" applyAlignment="1">
      <alignment horizontal="center"/>
    </xf>
    <xf numFmtId="165" fontId="5" fillId="4" borderId="0" xfId="0" applyNumberFormat="1" applyFont="1" applyFill="1" applyAlignment="1">
      <alignment horizontal="left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98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0" customWidth="1"/>
    <col min="3" max="3" width="27.140625" customWidth="1"/>
    <col min="5" max="5" width="22.42578125" customWidth="1"/>
    <col min="7" max="7" width="15.85546875" customWidth="1"/>
    <col min="8" max="8" width="44.85546875" customWidth="1"/>
    <col min="9" max="9" width="15.140625" customWidth="1"/>
    <col min="11" max="11" width="16.42578125" customWidth="1"/>
  </cols>
  <sheetData>
    <row r="1" spans="1:15" ht="1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/>
      <c r="K1" s="7" t="s">
        <v>9</v>
      </c>
      <c r="L1" s="6"/>
    </row>
    <row r="2" spans="1:15" ht="33.75" customHeight="1">
      <c r="A2" s="8"/>
      <c r="B2" s="3"/>
      <c r="C2" s="3"/>
      <c r="D2" s="3"/>
      <c r="E2" s="3"/>
      <c r="F2" s="3"/>
      <c r="G2" s="3"/>
      <c r="H2" s="9">
        <f>SUM(B3+B181+B321+B457+B577+B704+B816+B949+B1079+B1238+B1370)</f>
        <v>329779500</v>
      </c>
      <c r="I2" s="6"/>
      <c r="J2" s="6"/>
      <c r="K2" s="10">
        <v>328216000</v>
      </c>
      <c r="L2" s="6"/>
    </row>
    <row r="3" spans="1:15" ht="12.75">
      <c r="A3" s="11">
        <v>45658</v>
      </c>
      <c r="B3" s="12">
        <f t="shared" ref="B3:C3" si="0">SUM(B4:B180)</f>
        <v>34555300</v>
      </c>
      <c r="C3" s="12">
        <f t="shared" si="0"/>
        <v>518215.25</v>
      </c>
      <c r="D3" s="13"/>
      <c r="E3" s="14"/>
      <c r="F3" s="14"/>
      <c r="G3" s="14"/>
      <c r="H3" s="15"/>
      <c r="I3" s="15"/>
      <c r="J3" s="15"/>
      <c r="K3" s="15"/>
      <c r="L3" s="15"/>
    </row>
    <row r="4" spans="1:15" ht="12.75">
      <c r="A4" s="16" t="s">
        <v>10</v>
      </c>
      <c r="B4" s="17">
        <v>31500</v>
      </c>
      <c r="C4" s="17">
        <f t="shared" ref="C4:C8" si="1">0.0125*B4</f>
        <v>393.75</v>
      </c>
      <c r="D4" s="18">
        <v>45659</v>
      </c>
      <c r="E4" s="16" t="s">
        <v>11</v>
      </c>
      <c r="F4" s="16" t="s">
        <v>12</v>
      </c>
      <c r="N4" s="19" t="s">
        <v>13</v>
      </c>
    </row>
    <row r="5" spans="1:15" ht="12.75">
      <c r="A5" s="16" t="s">
        <v>14</v>
      </c>
      <c r="B5" s="17">
        <v>15000</v>
      </c>
      <c r="C5" s="17">
        <f t="shared" si="1"/>
        <v>187.5</v>
      </c>
      <c r="D5" s="18">
        <v>45659</v>
      </c>
      <c r="E5" s="16" t="s">
        <v>15</v>
      </c>
      <c r="F5" s="16" t="s">
        <v>12</v>
      </c>
      <c r="H5" s="16" t="s">
        <v>16</v>
      </c>
      <c r="K5" s="16">
        <v>60</v>
      </c>
      <c r="N5" s="16" t="s">
        <v>17</v>
      </c>
      <c r="O5" s="20">
        <v>14423.07</v>
      </c>
    </row>
    <row r="6" spans="1:15" ht="12.75">
      <c r="A6" s="16" t="s">
        <v>18</v>
      </c>
      <c r="B6" s="17">
        <v>50000</v>
      </c>
      <c r="C6" s="17">
        <f t="shared" si="1"/>
        <v>625</v>
      </c>
      <c r="D6" s="18">
        <v>45659</v>
      </c>
      <c r="E6" s="16" t="s">
        <v>15</v>
      </c>
      <c r="F6" s="16" t="s">
        <v>12</v>
      </c>
      <c r="H6" s="16" t="s">
        <v>16</v>
      </c>
      <c r="K6" s="16">
        <v>200</v>
      </c>
      <c r="N6" s="16" t="s">
        <v>19</v>
      </c>
      <c r="O6" s="20">
        <v>30487.5</v>
      </c>
    </row>
    <row r="7" spans="1:15" ht="12.75">
      <c r="A7" s="16" t="s">
        <v>20</v>
      </c>
      <c r="B7" s="17">
        <v>100000</v>
      </c>
      <c r="C7" s="17">
        <f t="shared" si="1"/>
        <v>1250</v>
      </c>
      <c r="D7" s="18">
        <v>45659</v>
      </c>
      <c r="E7" s="16" t="s">
        <v>21</v>
      </c>
      <c r="F7" s="16" t="s">
        <v>12</v>
      </c>
      <c r="H7" s="16" t="s">
        <v>22</v>
      </c>
      <c r="N7" s="16" t="s">
        <v>15</v>
      </c>
      <c r="O7" s="20">
        <v>15228.75</v>
      </c>
    </row>
    <row r="8" spans="1:15" ht="12.75">
      <c r="A8" s="16" t="s">
        <v>23</v>
      </c>
      <c r="B8" s="17">
        <v>70000</v>
      </c>
      <c r="C8" s="17">
        <f t="shared" si="1"/>
        <v>875</v>
      </c>
      <c r="D8" s="18">
        <v>45659</v>
      </c>
      <c r="E8" s="16" t="s">
        <v>24</v>
      </c>
      <c r="F8" s="16" t="s">
        <v>12</v>
      </c>
      <c r="H8" s="16" t="s">
        <v>25</v>
      </c>
      <c r="N8" s="16" t="s">
        <v>26</v>
      </c>
      <c r="O8" s="20">
        <v>18250</v>
      </c>
    </row>
    <row r="9" spans="1:15" ht="12.75">
      <c r="A9" s="16" t="s">
        <v>27</v>
      </c>
      <c r="B9" s="17">
        <v>10000</v>
      </c>
      <c r="C9" s="17">
        <f>0.0175*B9</f>
        <v>175.00000000000003</v>
      </c>
      <c r="D9" s="18">
        <v>45660</v>
      </c>
      <c r="E9" s="16" t="s">
        <v>15</v>
      </c>
      <c r="F9" s="16" t="s">
        <v>28</v>
      </c>
      <c r="H9" s="16" t="s">
        <v>29</v>
      </c>
      <c r="I9" s="21" t="s">
        <v>30</v>
      </c>
      <c r="K9" s="16">
        <v>45</v>
      </c>
      <c r="N9" s="16" t="s">
        <v>31</v>
      </c>
      <c r="O9" s="20">
        <v>8125</v>
      </c>
    </row>
    <row r="10" spans="1:15" ht="12.75">
      <c r="A10" s="16" t="s">
        <v>32</v>
      </c>
      <c r="B10" s="17">
        <v>34000</v>
      </c>
      <c r="C10" s="17">
        <f>0.0125*B10</f>
        <v>425</v>
      </c>
      <c r="D10" s="18">
        <v>45660</v>
      </c>
      <c r="E10" s="16" t="s">
        <v>15</v>
      </c>
      <c r="F10" s="16" t="s">
        <v>12</v>
      </c>
      <c r="H10" s="16" t="s">
        <v>16</v>
      </c>
      <c r="K10" s="16">
        <v>136</v>
      </c>
    </row>
    <row r="11" spans="1:15" ht="12.75">
      <c r="A11" s="16" t="s">
        <v>33</v>
      </c>
      <c r="B11" s="17">
        <v>210000</v>
      </c>
      <c r="C11" s="17">
        <f t="shared" ref="C11:C13" si="2">0.0175*B11</f>
        <v>3675.0000000000005</v>
      </c>
      <c r="D11" s="18">
        <v>45660</v>
      </c>
      <c r="E11" s="16" t="s">
        <v>11</v>
      </c>
      <c r="F11" s="16" t="s">
        <v>28</v>
      </c>
      <c r="I11" s="21" t="s">
        <v>30</v>
      </c>
    </row>
    <row r="12" spans="1:15" ht="12.75">
      <c r="A12" s="16" t="s">
        <v>34</v>
      </c>
      <c r="B12" s="17">
        <v>200000</v>
      </c>
      <c r="C12" s="17">
        <f t="shared" si="2"/>
        <v>3500.0000000000005</v>
      </c>
      <c r="D12" s="18">
        <v>45660</v>
      </c>
      <c r="E12" s="16" t="s">
        <v>15</v>
      </c>
      <c r="F12" s="16" t="s">
        <v>28</v>
      </c>
      <c r="H12" s="16" t="s">
        <v>35</v>
      </c>
      <c r="I12" s="21" t="s">
        <v>30</v>
      </c>
      <c r="K12" s="16">
        <v>400</v>
      </c>
    </row>
    <row r="13" spans="1:15" ht="12.75">
      <c r="A13" s="16" t="s">
        <v>36</v>
      </c>
      <c r="B13" s="17">
        <v>50000</v>
      </c>
      <c r="C13" s="17">
        <f t="shared" si="2"/>
        <v>875.00000000000011</v>
      </c>
      <c r="D13" s="18">
        <v>45660</v>
      </c>
      <c r="E13" s="16" t="s">
        <v>11</v>
      </c>
      <c r="F13" s="16" t="s">
        <v>28</v>
      </c>
      <c r="I13" s="21" t="s">
        <v>30</v>
      </c>
    </row>
    <row r="14" spans="1:15" ht="12.75">
      <c r="A14" s="16" t="s">
        <v>37</v>
      </c>
      <c r="B14" s="17">
        <v>1000000</v>
      </c>
      <c r="C14" s="17">
        <f t="shared" ref="C14:C15" si="3">0.0125*B14</f>
        <v>12500</v>
      </c>
      <c r="D14" s="18">
        <v>45660</v>
      </c>
      <c r="E14" s="16" t="s">
        <v>11</v>
      </c>
      <c r="F14" s="16" t="s">
        <v>12</v>
      </c>
    </row>
    <row r="15" spans="1:15" ht="12.75">
      <c r="A15" s="16" t="s">
        <v>38</v>
      </c>
      <c r="B15" s="17">
        <v>35000</v>
      </c>
      <c r="C15" s="17">
        <f t="shared" si="3"/>
        <v>437.5</v>
      </c>
      <c r="D15" s="18">
        <v>45660</v>
      </c>
      <c r="E15" s="16" t="s">
        <v>21</v>
      </c>
      <c r="F15" s="16" t="s">
        <v>12</v>
      </c>
      <c r="H15" s="16" t="s">
        <v>22</v>
      </c>
    </row>
    <row r="16" spans="1:15" ht="12.75">
      <c r="A16" s="16" t="s">
        <v>39</v>
      </c>
      <c r="B16" s="17">
        <v>50000</v>
      </c>
      <c r="C16" s="17">
        <f>0.0175*B16</f>
        <v>875.00000000000011</v>
      </c>
      <c r="D16" s="18">
        <v>45660</v>
      </c>
      <c r="E16" s="16" t="s">
        <v>40</v>
      </c>
      <c r="F16" s="16" t="s">
        <v>41</v>
      </c>
    </row>
    <row r="17" spans="1:11" ht="12.75">
      <c r="A17" s="16" t="s">
        <v>42</v>
      </c>
      <c r="B17" s="17">
        <v>285000</v>
      </c>
      <c r="C17" s="17">
        <f>0.0125*B17</f>
        <v>3562.5</v>
      </c>
      <c r="D17" s="18">
        <v>45660</v>
      </c>
      <c r="E17" s="16" t="s">
        <v>11</v>
      </c>
      <c r="F17" s="16" t="s">
        <v>12</v>
      </c>
    </row>
    <row r="18" spans="1:11" ht="12.75">
      <c r="A18" s="16" t="s">
        <v>43</v>
      </c>
      <c r="B18" s="17">
        <v>60000</v>
      </c>
      <c r="C18" s="17">
        <f t="shared" ref="C18:C19" si="4">0.0175*B18</f>
        <v>1050</v>
      </c>
      <c r="D18" s="18">
        <v>45660</v>
      </c>
      <c r="E18" s="16" t="s">
        <v>11</v>
      </c>
      <c r="F18" s="16" t="s">
        <v>28</v>
      </c>
      <c r="I18" s="21" t="s">
        <v>30</v>
      </c>
    </row>
    <row r="19" spans="1:11" ht="12.75">
      <c r="A19" s="16" t="s">
        <v>44</v>
      </c>
      <c r="B19" s="17">
        <v>150000</v>
      </c>
      <c r="C19" s="17">
        <f t="shared" si="4"/>
        <v>2625.0000000000005</v>
      </c>
      <c r="D19" s="18">
        <v>45660</v>
      </c>
      <c r="E19" s="16" t="s">
        <v>24</v>
      </c>
      <c r="F19" s="16" t="s">
        <v>28</v>
      </c>
      <c r="H19" s="16" t="s">
        <v>45</v>
      </c>
      <c r="I19" s="21" t="s">
        <v>30</v>
      </c>
    </row>
    <row r="20" spans="1:11" ht="12.75">
      <c r="A20" s="16" t="s">
        <v>46</v>
      </c>
      <c r="B20" s="17">
        <v>100000</v>
      </c>
      <c r="C20" s="17">
        <f t="shared" ref="C20:C22" si="5">0.0125*B20</f>
        <v>1250</v>
      </c>
      <c r="D20" s="18">
        <v>45663</v>
      </c>
      <c r="E20" s="16" t="s">
        <v>11</v>
      </c>
      <c r="F20" s="16" t="s">
        <v>12</v>
      </c>
    </row>
    <row r="21" spans="1:11" ht="12.75">
      <c r="A21" s="16" t="s">
        <v>47</v>
      </c>
      <c r="B21" s="17">
        <v>300000</v>
      </c>
      <c r="C21" s="17">
        <f t="shared" si="5"/>
        <v>3750</v>
      </c>
      <c r="D21" s="18">
        <v>45663</v>
      </c>
      <c r="E21" s="16" t="s">
        <v>24</v>
      </c>
      <c r="F21" s="16" t="s">
        <v>12</v>
      </c>
      <c r="H21" s="16" t="s">
        <v>48</v>
      </c>
    </row>
    <row r="22" spans="1:11" ht="12.75">
      <c r="A22" s="16" t="s">
        <v>49</v>
      </c>
      <c r="B22" s="17">
        <v>85000</v>
      </c>
      <c r="C22" s="17">
        <f t="shared" si="5"/>
        <v>1062.5</v>
      </c>
      <c r="D22" s="18">
        <v>45663</v>
      </c>
      <c r="E22" s="16" t="s">
        <v>11</v>
      </c>
      <c r="F22" s="16" t="s">
        <v>12</v>
      </c>
    </row>
    <row r="23" spans="1:11" ht="12.75">
      <c r="A23" s="16" t="s">
        <v>50</v>
      </c>
      <c r="B23" s="17">
        <v>40000</v>
      </c>
      <c r="C23" s="17">
        <f>0.0175*B23</f>
        <v>700.00000000000011</v>
      </c>
      <c r="D23" s="18">
        <v>45664</v>
      </c>
      <c r="E23" s="16" t="s">
        <v>15</v>
      </c>
      <c r="F23" s="16" t="s">
        <v>28</v>
      </c>
      <c r="H23" s="16" t="s">
        <v>51</v>
      </c>
      <c r="I23" s="21" t="s">
        <v>30</v>
      </c>
      <c r="K23" s="16">
        <v>200</v>
      </c>
    </row>
    <row r="24" spans="1:11" ht="12.75">
      <c r="A24" s="16" t="s">
        <v>52</v>
      </c>
      <c r="B24" s="17">
        <v>1400000</v>
      </c>
      <c r="C24" s="17">
        <f>0.0125*B24</f>
        <v>17500</v>
      </c>
      <c r="D24" s="18">
        <v>45664</v>
      </c>
      <c r="E24" s="16" t="s">
        <v>11</v>
      </c>
      <c r="F24" s="16" t="s">
        <v>12</v>
      </c>
    </row>
    <row r="25" spans="1:11" ht="12.75">
      <c r="A25" s="16" t="s">
        <v>53</v>
      </c>
      <c r="B25" s="17">
        <v>125000</v>
      </c>
      <c r="C25" s="17">
        <f>0.0175*B25</f>
        <v>2187.5</v>
      </c>
      <c r="D25" s="18">
        <v>45664</v>
      </c>
      <c r="E25" s="16" t="s">
        <v>15</v>
      </c>
      <c r="F25" s="16" t="s">
        <v>28</v>
      </c>
      <c r="H25" s="16" t="s">
        <v>54</v>
      </c>
      <c r="K25" s="16">
        <v>750</v>
      </c>
    </row>
    <row r="26" spans="1:11" ht="12.75">
      <c r="A26" s="16" t="s">
        <v>55</v>
      </c>
      <c r="B26" s="17">
        <v>57000</v>
      </c>
      <c r="C26" s="17">
        <f t="shared" ref="C26:C27" si="6">0.0125*B26</f>
        <v>712.5</v>
      </c>
      <c r="D26" s="18">
        <v>45665</v>
      </c>
      <c r="E26" s="16" t="s">
        <v>15</v>
      </c>
      <c r="F26" s="16" t="s">
        <v>12</v>
      </c>
      <c r="H26" s="16" t="s">
        <v>54</v>
      </c>
      <c r="K26" s="16">
        <v>342</v>
      </c>
    </row>
    <row r="27" spans="1:11" ht="12.75">
      <c r="A27" s="16" t="s">
        <v>56</v>
      </c>
      <c r="B27" s="17">
        <v>50000</v>
      </c>
      <c r="C27" s="17">
        <f t="shared" si="6"/>
        <v>625</v>
      </c>
      <c r="D27" s="18">
        <v>45665</v>
      </c>
      <c r="E27" s="16" t="s">
        <v>15</v>
      </c>
      <c r="F27" s="16" t="s">
        <v>12</v>
      </c>
      <c r="H27" s="16" t="s">
        <v>54</v>
      </c>
      <c r="K27" s="16">
        <v>300</v>
      </c>
    </row>
    <row r="28" spans="1:11" ht="12.75">
      <c r="A28" s="16" t="s">
        <v>57</v>
      </c>
      <c r="B28" s="17">
        <v>300000</v>
      </c>
      <c r="C28" s="17">
        <f t="shared" ref="C28:C29" si="7">0.0175*B28</f>
        <v>5250.0000000000009</v>
      </c>
      <c r="D28" s="18">
        <v>45665</v>
      </c>
      <c r="E28" s="16" t="s">
        <v>24</v>
      </c>
      <c r="F28" s="16" t="s">
        <v>28</v>
      </c>
      <c r="H28" s="16" t="s">
        <v>58</v>
      </c>
      <c r="I28" s="21" t="s">
        <v>30</v>
      </c>
    </row>
    <row r="29" spans="1:11" ht="12.75">
      <c r="A29" s="16" t="s">
        <v>59</v>
      </c>
      <c r="B29" s="17">
        <v>140000</v>
      </c>
      <c r="C29" s="17">
        <f t="shared" si="7"/>
        <v>2450.0000000000005</v>
      </c>
      <c r="D29" s="18">
        <v>45665</v>
      </c>
      <c r="E29" s="22" t="s">
        <v>60</v>
      </c>
      <c r="F29" s="16" t="s">
        <v>28</v>
      </c>
      <c r="I29" s="21" t="s">
        <v>30</v>
      </c>
    </row>
    <row r="30" spans="1:11" ht="12.75">
      <c r="A30" s="16" t="s">
        <v>61</v>
      </c>
      <c r="B30" s="17">
        <v>5000</v>
      </c>
      <c r="C30" s="17">
        <f>0.0125*B30</f>
        <v>62.5</v>
      </c>
      <c r="D30" s="18">
        <v>45665</v>
      </c>
      <c r="E30" s="16" t="s">
        <v>11</v>
      </c>
      <c r="F30" s="16" t="s">
        <v>12</v>
      </c>
    </row>
    <row r="31" spans="1:11" ht="12.75">
      <c r="A31" s="16" t="s">
        <v>62</v>
      </c>
      <c r="B31" s="17">
        <v>150000</v>
      </c>
      <c r="C31" s="17">
        <f>0.0175*B31</f>
        <v>2625.0000000000005</v>
      </c>
      <c r="D31" s="18">
        <v>45665</v>
      </c>
      <c r="E31" s="16" t="s">
        <v>11</v>
      </c>
      <c r="F31" s="16" t="s">
        <v>41</v>
      </c>
    </row>
    <row r="32" spans="1:11" ht="12.75">
      <c r="A32" s="16" t="s">
        <v>63</v>
      </c>
      <c r="B32" s="17">
        <v>300000</v>
      </c>
      <c r="C32" s="17">
        <f>0.0125*B32</f>
        <v>3750</v>
      </c>
      <c r="D32" s="18">
        <v>45665</v>
      </c>
      <c r="E32" s="16" t="s">
        <v>11</v>
      </c>
      <c r="F32" s="16" t="s">
        <v>12</v>
      </c>
    </row>
    <row r="33" spans="1:11" ht="12.75">
      <c r="A33" s="16" t="s">
        <v>64</v>
      </c>
      <c r="B33" s="17">
        <v>200000</v>
      </c>
      <c r="C33" s="17">
        <f t="shared" ref="C33:C35" si="8">0.0175*B33</f>
        <v>3500.0000000000005</v>
      </c>
      <c r="D33" s="18">
        <v>45665</v>
      </c>
      <c r="E33" s="16" t="s">
        <v>24</v>
      </c>
      <c r="F33" s="16" t="s">
        <v>28</v>
      </c>
      <c r="H33" s="16" t="s">
        <v>58</v>
      </c>
      <c r="I33" s="21" t="s">
        <v>30</v>
      </c>
    </row>
    <row r="34" spans="1:11" ht="12.75">
      <c r="A34" s="16" t="s">
        <v>65</v>
      </c>
      <c r="B34" s="17">
        <v>250000</v>
      </c>
      <c r="C34" s="17">
        <f t="shared" si="8"/>
        <v>4375</v>
      </c>
      <c r="D34" s="18">
        <v>45665</v>
      </c>
      <c r="E34" s="16" t="s">
        <v>11</v>
      </c>
      <c r="F34" s="16" t="s">
        <v>28</v>
      </c>
      <c r="I34" s="21" t="s">
        <v>30</v>
      </c>
    </row>
    <row r="35" spans="1:11" ht="12.75">
      <c r="A35" s="16" t="s">
        <v>66</v>
      </c>
      <c r="B35" s="17">
        <v>80000</v>
      </c>
      <c r="C35" s="17">
        <f t="shared" si="8"/>
        <v>1400.0000000000002</v>
      </c>
      <c r="D35" s="18">
        <v>45665</v>
      </c>
      <c r="E35" s="16" t="s">
        <v>11</v>
      </c>
      <c r="F35" s="16" t="s">
        <v>67</v>
      </c>
      <c r="I35" s="21" t="s">
        <v>30</v>
      </c>
    </row>
    <row r="36" spans="1:11" ht="12.75">
      <c r="A36" s="16" t="s">
        <v>68</v>
      </c>
      <c r="B36" s="17">
        <v>150000</v>
      </c>
      <c r="C36" s="17">
        <f>0.0125*B36</f>
        <v>1875</v>
      </c>
      <c r="D36" s="18">
        <v>45666</v>
      </c>
      <c r="E36" s="16" t="s">
        <v>69</v>
      </c>
      <c r="F36" s="16" t="s">
        <v>12</v>
      </c>
      <c r="H36" s="16" t="s">
        <v>22</v>
      </c>
    </row>
    <row r="37" spans="1:11" ht="12.75">
      <c r="A37" s="16" t="s">
        <v>70</v>
      </c>
      <c r="B37" s="17">
        <v>25000</v>
      </c>
      <c r="C37" s="17">
        <f t="shared" ref="C37:C43" si="9">0.0175*B37</f>
        <v>437.50000000000006</v>
      </c>
      <c r="D37" s="18">
        <v>45666</v>
      </c>
      <c r="E37" s="16" t="s">
        <v>11</v>
      </c>
      <c r="F37" s="16" t="s">
        <v>41</v>
      </c>
    </row>
    <row r="38" spans="1:11" ht="12.75">
      <c r="A38" s="16" t="s">
        <v>71</v>
      </c>
      <c r="B38" s="17">
        <v>20000</v>
      </c>
      <c r="C38" s="17">
        <f t="shared" si="9"/>
        <v>350.00000000000006</v>
      </c>
      <c r="D38" s="18">
        <v>45666</v>
      </c>
      <c r="E38" s="16" t="s">
        <v>11</v>
      </c>
      <c r="F38" s="16" t="s">
        <v>28</v>
      </c>
    </row>
    <row r="39" spans="1:11" ht="12.75">
      <c r="A39" s="16" t="s">
        <v>72</v>
      </c>
      <c r="B39" s="17">
        <v>100000</v>
      </c>
      <c r="C39" s="17">
        <f t="shared" si="9"/>
        <v>1750.0000000000002</v>
      </c>
      <c r="D39" s="18">
        <v>45666</v>
      </c>
      <c r="E39" s="16" t="s">
        <v>73</v>
      </c>
      <c r="F39" s="16" t="s">
        <v>67</v>
      </c>
    </row>
    <row r="40" spans="1:11" ht="12.75">
      <c r="A40" s="16" t="s">
        <v>74</v>
      </c>
      <c r="B40" s="17">
        <v>400000</v>
      </c>
      <c r="C40" s="17">
        <f t="shared" si="9"/>
        <v>7000.0000000000009</v>
      </c>
      <c r="D40" s="18">
        <v>45666</v>
      </c>
      <c r="E40" s="16" t="s">
        <v>75</v>
      </c>
      <c r="F40" s="16" t="s">
        <v>28</v>
      </c>
      <c r="I40" s="21" t="s">
        <v>30</v>
      </c>
    </row>
    <row r="41" spans="1:11" ht="12.75">
      <c r="A41" s="16" t="s">
        <v>76</v>
      </c>
      <c r="B41" s="17">
        <v>100000</v>
      </c>
      <c r="C41" s="17">
        <f t="shared" si="9"/>
        <v>1750.0000000000002</v>
      </c>
      <c r="D41" s="18">
        <v>45666</v>
      </c>
      <c r="E41" s="16" t="s">
        <v>15</v>
      </c>
      <c r="F41" s="16" t="s">
        <v>67</v>
      </c>
      <c r="H41" s="16" t="s">
        <v>51</v>
      </c>
      <c r="I41" s="21" t="s">
        <v>30</v>
      </c>
      <c r="K41" s="16">
        <v>500</v>
      </c>
    </row>
    <row r="42" spans="1:11" ht="12.75">
      <c r="A42" s="16" t="s">
        <v>77</v>
      </c>
      <c r="B42" s="17">
        <v>50000</v>
      </c>
      <c r="C42" s="17">
        <f t="shared" si="9"/>
        <v>875.00000000000011</v>
      </c>
      <c r="D42" s="18">
        <v>45666</v>
      </c>
      <c r="E42" s="16" t="s">
        <v>60</v>
      </c>
      <c r="F42" s="16" t="s">
        <v>28</v>
      </c>
      <c r="I42" s="21" t="s">
        <v>30</v>
      </c>
    </row>
    <row r="43" spans="1:11" ht="12.75">
      <c r="A43" s="16" t="s">
        <v>78</v>
      </c>
      <c r="B43" s="17">
        <v>100000</v>
      </c>
      <c r="C43" s="17">
        <f t="shared" si="9"/>
        <v>1750.0000000000002</v>
      </c>
      <c r="D43" s="18">
        <v>45666</v>
      </c>
      <c r="E43" s="16" t="s">
        <v>15</v>
      </c>
      <c r="F43" s="16" t="s">
        <v>28</v>
      </c>
      <c r="H43" s="16" t="s">
        <v>35</v>
      </c>
      <c r="I43" s="21" t="s">
        <v>30</v>
      </c>
      <c r="K43" s="16">
        <v>200</v>
      </c>
    </row>
    <row r="44" spans="1:11" ht="12.75">
      <c r="A44" s="16" t="s">
        <v>79</v>
      </c>
      <c r="B44" s="17">
        <v>1600000</v>
      </c>
      <c r="C44" s="17">
        <f>0.0125*B44</f>
        <v>20000</v>
      </c>
      <c r="D44" s="18">
        <v>45666</v>
      </c>
      <c r="E44" s="16" t="s">
        <v>11</v>
      </c>
      <c r="F44" s="16" t="s">
        <v>12</v>
      </c>
    </row>
    <row r="45" spans="1:11" ht="12.75">
      <c r="A45" s="16" t="s">
        <v>80</v>
      </c>
      <c r="B45" s="17">
        <v>125000</v>
      </c>
      <c r="C45" s="17">
        <f>0.0175*B45</f>
        <v>2187.5</v>
      </c>
      <c r="D45" s="18">
        <v>45666</v>
      </c>
      <c r="E45" s="16" t="s">
        <v>15</v>
      </c>
      <c r="F45" s="16" t="s">
        <v>28</v>
      </c>
      <c r="H45" s="16" t="s">
        <v>35</v>
      </c>
      <c r="I45" s="21" t="s">
        <v>30</v>
      </c>
      <c r="K45" s="16">
        <v>250</v>
      </c>
    </row>
    <row r="46" spans="1:11" ht="12.75">
      <c r="A46" s="16" t="s">
        <v>81</v>
      </c>
      <c r="B46" s="17">
        <v>75000</v>
      </c>
      <c r="C46" s="17">
        <f t="shared" ref="C46:C47" si="10">0.0125*B46</f>
        <v>937.5</v>
      </c>
      <c r="D46" s="18">
        <v>45666</v>
      </c>
      <c r="E46" s="16" t="s">
        <v>11</v>
      </c>
      <c r="F46" s="16" t="s">
        <v>12</v>
      </c>
    </row>
    <row r="47" spans="1:11" ht="12.75">
      <c r="A47" s="23" t="s">
        <v>82</v>
      </c>
      <c r="B47" s="17">
        <v>45000</v>
      </c>
      <c r="C47" s="17">
        <f t="shared" si="10"/>
        <v>562.5</v>
      </c>
      <c r="D47" s="18">
        <v>45666</v>
      </c>
      <c r="E47" s="16" t="s">
        <v>11</v>
      </c>
      <c r="F47" s="16" t="s">
        <v>12</v>
      </c>
    </row>
    <row r="48" spans="1:11" ht="12.75">
      <c r="A48" s="23" t="s">
        <v>83</v>
      </c>
      <c r="B48" s="17">
        <v>30000</v>
      </c>
      <c r="C48" s="17">
        <f>0.0175*B48</f>
        <v>525</v>
      </c>
      <c r="D48" s="18">
        <v>45667</v>
      </c>
      <c r="E48" s="16" t="s">
        <v>60</v>
      </c>
      <c r="F48" s="16" t="s">
        <v>28</v>
      </c>
    </row>
    <row r="49" spans="1:11" ht="12.75">
      <c r="A49" s="16" t="s">
        <v>84</v>
      </c>
      <c r="B49" s="17">
        <v>1350000</v>
      </c>
      <c r="C49" s="17">
        <f t="shared" ref="C49:C52" si="11">0.0125*B49</f>
        <v>16875</v>
      </c>
      <c r="D49" s="18">
        <v>45667</v>
      </c>
      <c r="E49" s="16" t="s">
        <v>24</v>
      </c>
      <c r="F49" s="16" t="s">
        <v>12</v>
      </c>
      <c r="H49" s="16" t="s">
        <v>48</v>
      </c>
    </row>
    <row r="50" spans="1:11" ht="12.75">
      <c r="A50" s="16" t="s">
        <v>85</v>
      </c>
      <c r="B50" s="17">
        <v>152000</v>
      </c>
      <c r="C50" s="17">
        <f t="shared" si="11"/>
        <v>1900</v>
      </c>
      <c r="D50" s="18">
        <v>45667</v>
      </c>
      <c r="E50" s="16" t="s">
        <v>73</v>
      </c>
      <c r="F50" s="16" t="s">
        <v>12</v>
      </c>
    </row>
    <row r="51" spans="1:11" ht="12.75">
      <c r="A51" s="16" t="s">
        <v>86</v>
      </c>
      <c r="B51" s="17">
        <v>350000</v>
      </c>
      <c r="C51" s="17">
        <f t="shared" si="11"/>
        <v>4375</v>
      </c>
      <c r="D51" s="18">
        <v>45667</v>
      </c>
      <c r="E51" s="16" t="s">
        <v>11</v>
      </c>
      <c r="F51" s="16" t="s">
        <v>12</v>
      </c>
    </row>
    <row r="52" spans="1:11" ht="12.75">
      <c r="A52" s="16" t="s">
        <v>87</v>
      </c>
      <c r="B52" s="17">
        <v>200000</v>
      </c>
      <c r="C52" s="17">
        <f t="shared" si="11"/>
        <v>2500</v>
      </c>
      <c r="D52" s="18">
        <v>45667</v>
      </c>
      <c r="E52" s="16" t="s">
        <v>11</v>
      </c>
      <c r="F52" s="16" t="s">
        <v>12</v>
      </c>
    </row>
    <row r="53" spans="1:11" ht="12.75">
      <c r="A53" s="16" t="s">
        <v>88</v>
      </c>
      <c r="B53" s="17">
        <v>170000</v>
      </c>
      <c r="C53" s="17">
        <f>0.0175*B53</f>
        <v>2975.0000000000005</v>
      </c>
      <c r="D53" s="18">
        <v>45667</v>
      </c>
      <c r="E53" s="16" t="s">
        <v>60</v>
      </c>
      <c r="F53" s="16" t="s">
        <v>28</v>
      </c>
      <c r="I53" s="21" t="s">
        <v>30</v>
      </c>
    </row>
    <row r="54" spans="1:11" ht="12.75">
      <c r="A54" s="16" t="s">
        <v>89</v>
      </c>
      <c r="B54" s="17">
        <v>75000</v>
      </c>
      <c r="C54" s="17">
        <f t="shared" ref="C54:C58" si="12">0.0125*B54</f>
        <v>937.5</v>
      </c>
      <c r="D54" s="18">
        <v>45667</v>
      </c>
      <c r="E54" s="16" t="s">
        <v>15</v>
      </c>
      <c r="F54" s="16" t="s">
        <v>12</v>
      </c>
      <c r="H54" s="16" t="s">
        <v>16</v>
      </c>
      <c r="K54" s="16">
        <v>300</v>
      </c>
    </row>
    <row r="55" spans="1:11" ht="12.75">
      <c r="A55" s="16" t="s">
        <v>90</v>
      </c>
      <c r="B55" s="17">
        <v>150000</v>
      </c>
      <c r="C55" s="17">
        <f t="shared" si="12"/>
        <v>1875</v>
      </c>
      <c r="D55" s="18">
        <v>45670</v>
      </c>
      <c r="E55" s="16" t="s">
        <v>73</v>
      </c>
      <c r="F55" s="16" t="s">
        <v>12</v>
      </c>
    </row>
    <row r="56" spans="1:11" ht="12.75">
      <c r="A56" s="16" t="s">
        <v>91</v>
      </c>
      <c r="B56" s="17">
        <v>750000</v>
      </c>
      <c r="C56" s="17">
        <f t="shared" si="12"/>
        <v>9375</v>
      </c>
      <c r="D56" s="18">
        <v>45670</v>
      </c>
      <c r="E56" s="16" t="s">
        <v>92</v>
      </c>
      <c r="F56" s="16" t="s">
        <v>12</v>
      </c>
    </row>
    <row r="57" spans="1:11" ht="12.75">
      <c r="A57" s="16" t="s">
        <v>93</v>
      </c>
      <c r="B57" s="17">
        <v>400000</v>
      </c>
      <c r="C57" s="17">
        <f t="shared" si="12"/>
        <v>5000</v>
      </c>
      <c r="D57" s="18">
        <v>45670</v>
      </c>
      <c r="E57" s="16" t="s">
        <v>11</v>
      </c>
      <c r="F57" s="16" t="s">
        <v>12</v>
      </c>
    </row>
    <row r="58" spans="1:11" ht="12.75">
      <c r="A58" s="16" t="s">
        <v>94</v>
      </c>
      <c r="B58" s="17">
        <v>95000</v>
      </c>
      <c r="C58" s="17">
        <f t="shared" si="12"/>
        <v>1187.5</v>
      </c>
      <c r="D58" s="18">
        <v>45670</v>
      </c>
      <c r="E58" s="16" t="s">
        <v>15</v>
      </c>
      <c r="F58" s="16" t="s">
        <v>12</v>
      </c>
      <c r="H58" s="16" t="s">
        <v>16</v>
      </c>
      <c r="K58" s="16">
        <v>380</v>
      </c>
    </row>
    <row r="59" spans="1:11" ht="12.75">
      <c r="A59" s="16" t="s">
        <v>95</v>
      </c>
      <c r="B59" s="17">
        <v>200000</v>
      </c>
      <c r="C59" s="17">
        <f t="shared" ref="C59:C65" si="13">0.0175*B59</f>
        <v>3500.0000000000005</v>
      </c>
      <c r="D59" s="18">
        <v>45670</v>
      </c>
      <c r="E59" s="16" t="s">
        <v>11</v>
      </c>
      <c r="F59" s="16" t="s">
        <v>28</v>
      </c>
      <c r="I59" s="21" t="s">
        <v>30</v>
      </c>
    </row>
    <row r="60" spans="1:11" ht="12.75">
      <c r="A60" s="16" t="s">
        <v>96</v>
      </c>
      <c r="B60" s="17">
        <v>200000</v>
      </c>
      <c r="C60" s="17">
        <f t="shared" si="13"/>
        <v>3500.0000000000005</v>
      </c>
      <c r="D60" s="18">
        <v>45670</v>
      </c>
      <c r="E60" s="16" t="s">
        <v>11</v>
      </c>
      <c r="F60" s="16" t="s">
        <v>28</v>
      </c>
      <c r="I60" s="21" t="s">
        <v>30</v>
      </c>
    </row>
    <row r="61" spans="1:11" ht="12.75">
      <c r="A61" s="16" t="s">
        <v>97</v>
      </c>
      <c r="B61" s="17">
        <v>300000</v>
      </c>
      <c r="C61" s="17">
        <f t="shared" si="13"/>
        <v>5250.0000000000009</v>
      </c>
      <c r="D61" s="18">
        <v>45670</v>
      </c>
      <c r="E61" s="16" t="s">
        <v>15</v>
      </c>
      <c r="F61" s="16" t="s">
        <v>28</v>
      </c>
      <c r="H61" s="16" t="s">
        <v>98</v>
      </c>
      <c r="I61" s="21" t="s">
        <v>30</v>
      </c>
      <c r="K61" s="16">
        <v>900</v>
      </c>
    </row>
    <row r="62" spans="1:11" ht="12.75">
      <c r="A62" s="16" t="s">
        <v>78</v>
      </c>
      <c r="B62" s="17">
        <v>60000</v>
      </c>
      <c r="C62" s="17">
        <f t="shared" si="13"/>
        <v>1050</v>
      </c>
      <c r="D62" s="18">
        <v>45671</v>
      </c>
      <c r="E62" s="16" t="s">
        <v>15</v>
      </c>
      <c r="F62" s="16" t="s">
        <v>67</v>
      </c>
      <c r="H62" s="16" t="s">
        <v>35</v>
      </c>
      <c r="I62" s="21" t="s">
        <v>30</v>
      </c>
      <c r="K62" s="16">
        <v>120</v>
      </c>
    </row>
    <row r="63" spans="1:11" ht="12.75">
      <c r="A63" s="16" t="s">
        <v>99</v>
      </c>
      <c r="B63" s="17">
        <v>200000</v>
      </c>
      <c r="C63" s="17">
        <f t="shared" si="13"/>
        <v>3500.0000000000005</v>
      </c>
      <c r="D63" s="18">
        <v>45671</v>
      </c>
      <c r="E63" s="16" t="s">
        <v>11</v>
      </c>
      <c r="F63" s="16" t="s">
        <v>28</v>
      </c>
      <c r="I63" s="21" t="s">
        <v>30</v>
      </c>
    </row>
    <row r="64" spans="1:11" ht="12.75">
      <c r="A64" s="16" t="s">
        <v>100</v>
      </c>
      <c r="B64" s="17">
        <v>75000</v>
      </c>
      <c r="C64" s="17">
        <f t="shared" si="13"/>
        <v>1312.5000000000002</v>
      </c>
      <c r="D64" s="18">
        <v>45671</v>
      </c>
      <c r="E64" s="16" t="s">
        <v>60</v>
      </c>
      <c r="F64" s="16" t="s">
        <v>28</v>
      </c>
      <c r="I64" s="21" t="s">
        <v>30</v>
      </c>
    </row>
    <row r="65" spans="1:11" ht="12.75">
      <c r="A65" s="16" t="s">
        <v>101</v>
      </c>
      <c r="B65" s="17">
        <v>35000</v>
      </c>
      <c r="C65" s="17">
        <f t="shared" si="13"/>
        <v>612.50000000000011</v>
      </c>
      <c r="D65" s="18">
        <v>45671</v>
      </c>
      <c r="E65" s="16" t="s">
        <v>15</v>
      </c>
      <c r="F65" s="16" t="s">
        <v>28</v>
      </c>
      <c r="H65" s="16" t="s">
        <v>54</v>
      </c>
      <c r="K65" s="16">
        <v>210</v>
      </c>
    </row>
    <row r="66" spans="1:11" ht="12.75">
      <c r="A66" s="16" t="s">
        <v>102</v>
      </c>
      <c r="B66" s="17">
        <v>100000</v>
      </c>
      <c r="C66" s="17">
        <f t="shared" ref="C66:C71" si="14">0.0125*B66</f>
        <v>1250</v>
      </c>
      <c r="D66" s="18">
        <v>45671</v>
      </c>
      <c r="E66" s="16" t="s">
        <v>11</v>
      </c>
      <c r="F66" s="16" t="s">
        <v>12</v>
      </c>
    </row>
    <row r="67" spans="1:11" ht="12.75">
      <c r="A67" s="16" t="s">
        <v>103</v>
      </c>
      <c r="B67" s="17">
        <v>110000</v>
      </c>
      <c r="C67" s="17">
        <f t="shared" si="14"/>
        <v>1375</v>
      </c>
      <c r="D67" s="18">
        <v>45671</v>
      </c>
      <c r="E67" s="16" t="s">
        <v>11</v>
      </c>
      <c r="F67" s="16" t="s">
        <v>12</v>
      </c>
    </row>
    <row r="68" spans="1:11" ht="12.75">
      <c r="A68" s="16" t="s">
        <v>104</v>
      </c>
      <c r="B68" s="17">
        <v>90000</v>
      </c>
      <c r="C68" s="17">
        <f t="shared" si="14"/>
        <v>1125</v>
      </c>
      <c r="D68" s="18">
        <v>45671</v>
      </c>
      <c r="E68" s="16" t="s">
        <v>69</v>
      </c>
      <c r="F68" s="16" t="s">
        <v>12</v>
      </c>
      <c r="H68" s="16" t="s">
        <v>22</v>
      </c>
    </row>
    <row r="69" spans="1:11" ht="12.75">
      <c r="A69" s="16" t="s">
        <v>105</v>
      </c>
      <c r="B69" s="17">
        <v>112000</v>
      </c>
      <c r="C69" s="17">
        <f t="shared" si="14"/>
        <v>1400</v>
      </c>
      <c r="D69" s="18">
        <v>45671</v>
      </c>
      <c r="E69" s="16" t="s">
        <v>73</v>
      </c>
      <c r="F69" s="16" t="s">
        <v>12</v>
      </c>
    </row>
    <row r="70" spans="1:11" ht="12.75">
      <c r="A70" s="16" t="s">
        <v>106</v>
      </c>
      <c r="B70" s="17">
        <v>50000</v>
      </c>
      <c r="C70" s="17">
        <f t="shared" si="14"/>
        <v>625</v>
      </c>
      <c r="D70" s="18">
        <v>45671</v>
      </c>
      <c r="E70" s="16" t="s">
        <v>60</v>
      </c>
      <c r="F70" s="16" t="s">
        <v>12</v>
      </c>
    </row>
    <row r="71" spans="1:11" ht="12.75">
      <c r="A71" s="16" t="s">
        <v>107</v>
      </c>
      <c r="B71" s="17">
        <v>100000</v>
      </c>
      <c r="C71" s="17">
        <f t="shared" si="14"/>
        <v>1250</v>
      </c>
      <c r="D71" s="18">
        <v>45671</v>
      </c>
      <c r="E71" s="16" t="s">
        <v>24</v>
      </c>
      <c r="F71" s="16" t="s">
        <v>12</v>
      </c>
      <c r="H71" s="16" t="s">
        <v>25</v>
      </c>
    </row>
    <row r="72" spans="1:11" ht="12.75">
      <c r="A72" s="16" t="s">
        <v>108</v>
      </c>
      <c r="B72" s="17">
        <v>75000</v>
      </c>
      <c r="C72" s="17">
        <f>0.0175*B72</f>
        <v>1312.5000000000002</v>
      </c>
      <c r="D72" s="18">
        <v>45671</v>
      </c>
      <c r="E72" s="16" t="s">
        <v>15</v>
      </c>
      <c r="F72" s="16" t="s">
        <v>28</v>
      </c>
      <c r="H72" s="16" t="s">
        <v>54</v>
      </c>
      <c r="I72" s="21" t="s">
        <v>30</v>
      </c>
      <c r="K72" s="16">
        <v>450</v>
      </c>
    </row>
    <row r="73" spans="1:11" ht="12.75">
      <c r="A73" s="16" t="s">
        <v>109</v>
      </c>
      <c r="B73" s="17">
        <v>750000</v>
      </c>
      <c r="C73" s="17">
        <f>0.0125*B73</f>
        <v>9375</v>
      </c>
      <c r="D73" s="18">
        <v>45672</v>
      </c>
      <c r="E73" s="16" t="s">
        <v>11</v>
      </c>
      <c r="F73" s="16" t="s">
        <v>12</v>
      </c>
    </row>
    <row r="74" spans="1:11" ht="12.75">
      <c r="A74" s="16" t="s">
        <v>110</v>
      </c>
      <c r="B74" s="17">
        <v>75000</v>
      </c>
      <c r="C74" s="17">
        <f t="shared" ref="C74:C75" si="15">0.0175*B74</f>
        <v>1312.5000000000002</v>
      </c>
      <c r="D74" s="18">
        <v>45672</v>
      </c>
      <c r="E74" s="16" t="s">
        <v>24</v>
      </c>
      <c r="F74" s="16" t="s">
        <v>28</v>
      </c>
      <c r="H74" s="16" t="s">
        <v>58</v>
      </c>
      <c r="I74" s="21" t="s">
        <v>30</v>
      </c>
    </row>
    <row r="75" spans="1:11" ht="12.75">
      <c r="A75" s="16" t="s">
        <v>111</v>
      </c>
      <c r="B75" s="17">
        <v>195000</v>
      </c>
      <c r="C75" s="17">
        <f t="shared" si="15"/>
        <v>3412.5000000000005</v>
      </c>
      <c r="D75" s="18">
        <v>45672</v>
      </c>
      <c r="E75" s="16" t="s">
        <v>60</v>
      </c>
      <c r="F75" s="16" t="s">
        <v>28</v>
      </c>
      <c r="I75" s="21" t="s">
        <v>30</v>
      </c>
    </row>
    <row r="76" spans="1:11" ht="12.75">
      <c r="A76" s="16" t="s">
        <v>112</v>
      </c>
      <c r="B76" s="17">
        <v>100000</v>
      </c>
      <c r="C76" s="17">
        <f>0.0125*B76</f>
        <v>1250</v>
      </c>
      <c r="D76" s="18">
        <v>45672</v>
      </c>
      <c r="E76" s="16" t="s">
        <v>11</v>
      </c>
      <c r="F76" s="16" t="s">
        <v>12</v>
      </c>
    </row>
    <row r="77" spans="1:11" ht="12.75">
      <c r="A77" s="16" t="s">
        <v>113</v>
      </c>
      <c r="B77" s="17">
        <v>225000</v>
      </c>
      <c r="C77" s="17">
        <f>0.0175*B77</f>
        <v>3937.5000000000005</v>
      </c>
      <c r="D77" s="18">
        <v>45672</v>
      </c>
      <c r="E77" s="16" t="s">
        <v>15</v>
      </c>
      <c r="F77" s="16" t="s">
        <v>28</v>
      </c>
      <c r="H77" s="16" t="s">
        <v>35</v>
      </c>
      <c r="I77" s="21" t="s">
        <v>30</v>
      </c>
      <c r="K77" s="16">
        <v>450</v>
      </c>
    </row>
    <row r="78" spans="1:11" ht="12.75">
      <c r="A78" s="16" t="s">
        <v>114</v>
      </c>
      <c r="B78" s="17">
        <v>100000</v>
      </c>
      <c r="C78" s="17">
        <f>0.0125*B78</f>
        <v>1250</v>
      </c>
      <c r="D78" s="18">
        <v>45672</v>
      </c>
      <c r="E78" s="16" t="s">
        <v>11</v>
      </c>
      <c r="F78" s="16" t="s">
        <v>12</v>
      </c>
    </row>
    <row r="79" spans="1:11" ht="12.75">
      <c r="A79" s="16" t="s">
        <v>115</v>
      </c>
      <c r="B79" s="17">
        <v>400000</v>
      </c>
      <c r="C79" s="17">
        <f t="shared" ref="C79:C81" si="16">0.0175*B79</f>
        <v>7000.0000000000009</v>
      </c>
      <c r="D79" s="18">
        <v>45672</v>
      </c>
      <c r="E79" s="16" t="s">
        <v>116</v>
      </c>
      <c r="F79" s="16" t="s">
        <v>28</v>
      </c>
      <c r="H79" s="16" t="s">
        <v>13</v>
      </c>
      <c r="I79" s="21" t="s">
        <v>30</v>
      </c>
    </row>
    <row r="80" spans="1:11" ht="12.75">
      <c r="A80" s="16" t="s">
        <v>117</v>
      </c>
      <c r="B80" s="17">
        <v>250000</v>
      </c>
      <c r="C80" s="17">
        <f t="shared" si="16"/>
        <v>4375</v>
      </c>
      <c r="D80" s="18">
        <v>45672</v>
      </c>
      <c r="E80" s="16" t="s">
        <v>118</v>
      </c>
      <c r="F80" s="16" t="s">
        <v>28</v>
      </c>
      <c r="H80" s="16" t="s">
        <v>13</v>
      </c>
      <c r="I80" s="21" t="s">
        <v>30</v>
      </c>
    </row>
    <row r="81" spans="1:11" ht="12.75">
      <c r="A81" s="16" t="s">
        <v>119</v>
      </c>
      <c r="B81" s="17">
        <v>100000</v>
      </c>
      <c r="C81" s="17">
        <f t="shared" si="16"/>
        <v>1750.0000000000002</v>
      </c>
      <c r="D81" s="18">
        <v>45672</v>
      </c>
      <c r="E81" s="16" t="s">
        <v>15</v>
      </c>
      <c r="F81" s="16" t="s">
        <v>28</v>
      </c>
      <c r="H81" s="16" t="s">
        <v>98</v>
      </c>
      <c r="I81" s="21" t="s">
        <v>30</v>
      </c>
      <c r="K81" s="16">
        <v>300</v>
      </c>
    </row>
    <row r="82" spans="1:11" ht="12.75">
      <c r="A82" s="16" t="s">
        <v>120</v>
      </c>
      <c r="B82" s="17">
        <v>10000</v>
      </c>
      <c r="C82" s="17">
        <f>0.0125*B82</f>
        <v>125</v>
      </c>
      <c r="D82" s="18">
        <v>45673</v>
      </c>
      <c r="E82" s="16" t="s">
        <v>15</v>
      </c>
      <c r="F82" s="16" t="s">
        <v>12</v>
      </c>
      <c r="H82" s="16" t="s">
        <v>54</v>
      </c>
      <c r="K82" s="16">
        <v>60</v>
      </c>
    </row>
    <row r="83" spans="1:11" ht="12.75">
      <c r="A83" s="16" t="s">
        <v>121</v>
      </c>
      <c r="B83" s="17">
        <v>30000</v>
      </c>
      <c r="C83" s="17">
        <f>0.0175*B83</f>
        <v>525</v>
      </c>
      <c r="D83" s="18">
        <v>45673</v>
      </c>
      <c r="E83" s="16" t="s">
        <v>11</v>
      </c>
      <c r="F83" s="16" t="s">
        <v>28</v>
      </c>
    </row>
    <row r="84" spans="1:11" ht="12.75">
      <c r="A84" s="16" t="s">
        <v>122</v>
      </c>
      <c r="B84" s="17">
        <v>30000</v>
      </c>
      <c r="C84" s="17">
        <f>0.0125*B84</f>
        <v>375</v>
      </c>
      <c r="D84" s="18">
        <v>45673</v>
      </c>
      <c r="E84" s="16" t="s">
        <v>11</v>
      </c>
      <c r="F84" s="16" t="s">
        <v>12</v>
      </c>
    </row>
    <row r="85" spans="1:11" ht="12.75">
      <c r="A85" s="16" t="s">
        <v>123</v>
      </c>
      <c r="B85" s="17">
        <v>50000</v>
      </c>
      <c r="C85" s="17">
        <f t="shared" ref="C85:C87" si="17">0.0175*B85</f>
        <v>875.00000000000011</v>
      </c>
      <c r="D85" s="18">
        <v>45673</v>
      </c>
      <c r="E85" s="16" t="s">
        <v>11</v>
      </c>
      <c r="F85" s="16" t="s">
        <v>67</v>
      </c>
      <c r="I85" s="21" t="s">
        <v>30</v>
      </c>
    </row>
    <row r="86" spans="1:11" ht="12.75">
      <c r="A86" s="16" t="s">
        <v>124</v>
      </c>
      <c r="B86" s="17">
        <v>50000</v>
      </c>
      <c r="C86" s="17">
        <f t="shared" si="17"/>
        <v>875.00000000000011</v>
      </c>
      <c r="D86" s="18">
        <v>45673</v>
      </c>
      <c r="E86" s="16" t="s">
        <v>11</v>
      </c>
      <c r="F86" s="16" t="s">
        <v>28</v>
      </c>
    </row>
    <row r="87" spans="1:11" ht="12.75">
      <c r="A87" s="16" t="s">
        <v>125</v>
      </c>
      <c r="B87" s="17">
        <v>80000</v>
      </c>
      <c r="C87" s="17">
        <f t="shared" si="17"/>
        <v>1400.0000000000002</v>
      </c>
      <c r="D87" s="18">
        <v>45673</v>
      </c>
      <c r="E87" s="16" t="s">
        <v>24</v>
      </c>
      <c r="F87" s="16" t="s">
        <v>28</v>
      </c>
      <c r="H87" s="16" t="s">
        <v>58</v>
      </c>
      <c r="I87" s="21" t="s">
        <v>30</v>
      </c>
    </row>
    <row r="88" spans="1:11" ht="12.75">
      <c r="A88" s="16" t="s">
        <v>126</v>
      </c>
      <c r="B88" s="17">
        <v>35000</v>
      </c>
      <c r="C88" s="17">
        <f>0.0125*B88</f>
        <v>437.5</v>
      </c>
      <c r="D88" s="18">
        <v>45673</v>
      </c>
      <c r="E88" s="16" t="s">
        <v>15</v>
      </c>
      <c r="F88" s="16" t="s">
        <v>12</v>
      </c>
      <c r="H88" s="16" t="s">
        <v>54</v>
      </c>
      <c r="K88" s="16">
        <v>210</v>
      </c>
    </row>
    <row r="89" spans="1:11" ht="12.75">
      <c r="A89" s="16" t="s">
        <v>127</v>
      </c>
      <c r="B89" s="17">
        <v>250000</v>
      </c>
      <c r="C89" s="17">
        <f>0.0175*B89</f>
        <v>4375</v>
      </c>
      <c r="D89" s="18">
        <v>45674</v>
      </c>
      <c r="E89" s="16" t="s">
        <v>24</v>
      </c>
      <c r="F89" s="16" t="s">
        <v>28</v>
      </c>
      <c r="H89" s="16" t="s">
        <v>58</v>
      </c>
      <c r="I89" s="21" t="s">
        <v>30</v>
      </c>
    </row>
    <row r="90" spans="1:11" ht="12.75">
      <c r="A90" s="16" t="s">
        <v>107</v>
      </c>
      <c r="B90" s="17">
        <v>50000</v>
      </c>
      <c r="C90" s="17">
        <f>0.0125*B90</f>
        <v>625</v>
      </c>
      <c r="D90" s="18">
        <v>45674</v>
      </c>
      <c r="E90" s="16" t="s">
        <v>24</v>
      </c>
      <c r="F90" s="16" t="s">
        <v>12</v>
      </c>
      <c r="H90" s="16" t="s">
        <v>25</v>
      </c>
    </row>
    <row r="91" spans="1:11" ht="12.75">
      <c r="A91" s="19" t="s">
        <v>128</v>
      </c>
      <c r="B91" s="17">
        <v>50000</v>
      </c>
      <c r="C91" s="17">
        <f>0.0175*B91</f>
        <v>875.00000000000011</v>
      </c>
      <c r="D91" s="18">
        <v>45674</v>
      </c>
      <c r="E91" s="16" t="s">
        <v>11</v>
      </c>
      <c r="F91" s="16" t="s">
        <v>28</v>
      </c>
      <c r="I91" s="21" t="s">
        <v>30</v>
      </c>
    </row>
    <row r="92" spans="1:11" ht="12.75">
      <c r="A92" s="16" t="s">
        <v>129</v>
      </c>
      <c r="B92" s="17">
        <v>700000</v>
      </c>
      <c r="C92" s="17">
        <f>0.0125*B92</f>
        <v>8750</v>
      </c>
      <c r="D92" s="18">
        <v>45674</v>
      </c>
      <c r="E92" s="16" t="s">
        <v>24</v>
      </c>
      <c r="F92" s="16" t="s">
        <v>12</v>
      </c>
      <c r="H92" s="16" t="s">
        <v>48</v>
      </c>
    </row>
    <row r="93" spans="1:11" ht="12.75">
      <c r="A93" s="16" t="s">
        <v>130</v>
      </c>
      <c r="B93" s="17">
        <v>100000</v>
      </c>
      <c r="C93" s="17">
        <f t="shared" ref="C93:C95" si="18">0.0175*B93</f>
        <v>1750.0000000000002</v>
      </c>
      <c r="D93" s="18">
        <v>45674</v>
      </c>
      <c r="E93" s="16" t="s">
        <v>11</v>
      </c>
      <c r="F93" s="16" t="s">
        <v>28</v>
      </c>
      <c r="I93" s="21" t="s">
        <v>30</v>
      </c>
    </row>
    <row r="94" spans="1:11" ht="12.75">
      <c r="A94" s="16" t="s">
        <v>131</v>
      </c>
      <c r="B94" s="17">
        <v>25000</v>
      </c>
      <c r="C94" s="17">
        <f t="shared" si="18"/>
        <v>437.50000000000006</v>
      </c>
      <c r="D94" s="18">
        <v>45674</v>
      </c>
      <c r="E94" s="16" t="s">
        <v>11</v>
      </c>
      <c r="F94" s="16" t="s">
        <v>28</v>
      </c>
    </row>
    <row r="95" spans="1:11" ht="12.75">
      <c r="A95" s="16" t="s">
        <v>132</v>
      </c>
      <c r="B95" s="17">
        <v>20000</v>
      </c>
      <c r="C95" s="17">
        <f t="shared" si="18"/>
        <v>350.00000000000006</v>
      </c>
      <c r="D95" s="18">
        <v>45674</v>
      </c>
      <c r="E95" s="16" t="s">
        <v>11</v>
      </c>
      <c r="F95" s="16" t="s">
        <v>28</v>
      </c>
    </row>
    <row r="96" spans="1:11" ht="12.75">
      <c r="A96" s="16" t="s">
        <v>133</v>
      </c>
      <c r="B96" s="17">
        <v>60000</v>
      </c>
      <c r="C96" s="17">
        <f t="shared" ref="C96:C97" si="19">0.0125*B96</f>
        <v>750</v>
      </c>
      <c r="D96" s="18">
        <v>45674</v>
      </c>
      <c r="E96" s="16" t="s">
        <v>11</v>
      </c>
      <c r="F96" s="16" t="s">
        <v>12</v>
      </c>
    </row>
    <row r="97" spans="1:11" ht="12.75">
      <c r="A97" s="16" t="s">
        <v>134</v>
      </c>
      <c r="B97" s="17">
        <v>275000</v>
      </c>
      <c r="C97" s="17">
        <f t="shared" si="19"/>
        <v>3437.5</v>
      </c>
      <c r="D97" s="18">
        <v>45674</v>
      </c>
      <c r="E97" s="16" t="s">
        <v>135</v>
      </c>
      <c r="F97" s="16" t="s">
        <v>12</v>
      </c>
      <c r="H97" s="16" t="s">
        <v>22</v>
      </c>
    </row>
    <row r="98" spans="1:11" ht="12.75">
      <c r="A98" s="16" t="s">
        <v>136</v>
      </c>
      <c r="B98" s="17">
        <v>75000</v>
      </c>
      <c r="C98" s="17">
        <f>0.0175*B98</f>
        <v>1312.5000000000002</v>
      </c>
      <c r="D98" s="18">
        <v>45674</v>
      </c>
      <c r="E98" s="16" t="s">
        <v>60</v>
      </c>
      <c r="F98" s="16" t="s">
        <v>28</v>
      </c>
      <c r="I98" s="21" t="s">
        <v>30</v>
      </c>
    </row>
    <row r="99" spans="1:11" ht="12.75">
      <c r="A99" s="16" t="s">
        <v>137</v>
      </c>
      <c r="B99" s="17">
        <v>150000</v>
      </c>
      <c r="C99" s="17">
        <f>0.0125*B99</f>
        <v>1875</v>
      </c>
      <c r="D99" s="18">
        <v>45674</v>
      </c>
      <c r="E99" s="16" t="s">
        <v>15</v>
      </c>
      <c r="F99" s="16" t="s">
        <v>12</v>
      </c>
      <c r="H99" s="16" t="s">
        <v>51</v>
      </c>
      <c r="K99" s="16">
        <v>750</v>
      </c>
    </row>
    <row r="100" spans="1:11" ht="12.75">
      <c r="A100" s="16" t="s">
        <v>138</v>
      </c>
      <c r="B100" s="17">
        <v>150000</v>
      </c>
      <c r="C100" s="17">
        <f t="shared" ref="C100:C101" si="20">0.0175*B100</f>
        <v>2625.0000000000005</v>
      </c>
      <c r="D100" s="18">
        <v>45674</v>
      </c>
      <c r="E100" s="16" t="s">
        <v>11</v>
      </c>
      <c r="F100" s="16" t="s">
        <v>28</v>
      </c>
      <c r="I100" s="21" t="s">
        <v>30</v>
      </c>
    </row>
    <row r="101" spans="1:11" ht="12.75">
      <c r="A101" s="16" t="s">
        <v>139</v>
      </c>
      <c r="B101" s="17">
        <v>225000</v>
      </c>
      <c r="C101" s="17">
        <f t="shared" si="20"/>
        <v>3937.5000000000005</v>
      </c>
      <c r="D101" s="18">
        <v>45678</v>
      </c>
      <c r="E101" s="16" t="s">
        <v>11</v>
      </c>
      <c r="F101" s="16" t="s">
        <v>28</v>
      </c>
      <c r="I101" s="21" t="s">
        <v>30</v>
      </c>
    </row>
    <row r="102" spans="1:11" ht="12.75">
      <c r="A102" s="16" t="s">
        <v>140</v>
      </c>
      <c r="B102" s="17">
        <v>65000</v>
      </c>
      <c r="C102" s="17">
        <f>0.0125*B102</f>
        <v>812.5</v>
      </c>
      <c r="D102" s="18">
        <v>45678</v>
      </c>
      <c r="E102" s="16" t="s">
        <v>11</v>
      </c>
      <c r="F102" s="16" t="s">
        <v>12</v>
      </c>
    </row>
    <row r="103" spans="1:11" ht="12.75">
      <c r="A103" s="16" t="s">
        <v>141</v>
      </c>
      <c r="B103" s="17">
        <v>20000</v>
      </c>
      <c r="C103" s="17">
        <f t="shared" ref="C103:C104" si="21">0.0175*B103</f>
        <v>350.00000000000006</v>
      </c>
      <c r="D103" s="18">
        <v>45678</v>
      </c>
      <c r="E103" s="16" t="s">
        <v>11</v>
      </c>
      <c r="F103" s="16" t="s">
        <v>28</v>
      </c>
      <c r="I103" s="21" t="s">
        <v>30</v>
      </c>
    </row>
    <row r="104" spans="1:11" ht="12.75">
      <c r="A104" s="16" t="s">
        <v>142</v>
      </c>
      <c r="B104" s="17">
        <v>200000</v>
      </c>
      <c r="C104" s="17">
        <f t="shared" si="21"/>
        <v>3500.0000000000005</v>
      </c>
      <c r="D104" s="18">
        <v>45678</v>
      </c>
      <c r="E104" s="16" t="s">
        <v>21</v>
      </c>
      <c r="F104" s="16" t="s">
        <v>41</v>
      </c>
      <c r="H104" s="16" t="s">
        <v>13</v>
      </c>
    </row>
    <row r="105" spans="1:11" ht="12.75">
      <c r="A105" s="16" t="s">
        <v>143</v>
      </c>
      <c r="B105" s="17">
        <v>75000</v>
      </c>
      <c r="C105" s="17">
        <f>0.0125*B105</f>
        <v>937.5</v>
      </c>
      <c r="D105" s="18">
        <v>45678</v>
      </c>
      <c r="E105" s="16" t="s">
        <v>24</v>
      </c>
      <c r="F105" s="16" t="s">
        <v>144</v>
      </c>
      <c r="H105" s="16" t="s">
        <v>25</v>
      </c>
    </row>
    <row r="106" spans="1:11" ht="12.75">
      <c r="A106" s="16" t="s">
        <v>145</v>
      </c>
      <c r="B106" s="17">
        <v>70000</v>
      </c>
      <c r="C106" s="17">
        <f t="shared" ref="C106:C108" si="22">0.0175*B106</f>
        <v>1225.0000000000002</v>
      </c>
      <c r="D106" s="18">
        <v>45678</v>
      </c>
      <c r="E106" s="16" t="s">
        <v>15</v>
      </c>
      <c r="F106" s="16" t="s">
        <v>28</v>
      </c>
      <c r="H106" s="16" t="s">
        <v>98</v>
      </c>
      <c r="I106" s="21" t="s">
        <v>30</v>
      </c>
      <c r="K106" s="16">
        <v>210</v>
      </c>
    </row>
    <row r="107" spans="1:11" ht="12.75">
      <c r="A107" s="16" t="s">
        <v>146</v>
      </c>
      <c r="B107" s="17">
        <v>30000</v>
      </c>
      <c r="C107" s="17">
        <f t="shared" si="22"/>
        <v>525</v>
      </c>
      <c r="D107" s="18">
        <v>45678</v>
      </c>
      <c r="E107" s="16" t="s">
        <v>147</v>
      </c>
      <c r="F107" s="16" t="s">
        <v>28</v>
      </c>
      <c r="H107" s="16" t="s">
        <v>13</v>
      </c>
      <c r="I107" s="21" t="s">
        <v>30</v>
      </c>
    </row>
    <row r="108" spans="1:11" ht="12.75">
      <c r="A108" s="16" t="s">
        <v>148</v>
      </c>
      <c r="B108" s="17">
        <v>20000</v>
      </c>
      <c r="C108" s="17">
        <f t="shared" si="22"/>
        <v>350.00000000000006</v>
      </c>
      <c r="D108" s="18">
        <v>45678</v>
      </c>
      <c r="E108" s="16" t="s">
        <v>15</v>
      </c>
      <c r="F108" s="16" t="s">
        <v>144</v>
      </c>
      <c r="H108" s="16" t="s">
        <v>149</v>
      </c>
      <c r="K108" s="16">
        <v>50</v>
      </c>
    </row>
    <row r="109" spans="1:11" ht="12.75">
      <c r="A109" s="16" t="s">
        <v>150</v>
      </c>
      <c r="B109" s="17">
        <v>15000</v>
      </c>
      <c r="C109" s="17">
        <f>0.0125*B109</f>
        <v>187.5</v>
      </c>
      <c r="D109" s="18">
        <v>45678</v>
      </c>
      <c r="E109" s="16" t="s">
        <v>11</v>
      </c>
      <c r="F109" s="16" t="s">
        <v>12</v>
      </c>
    </row>
    <row r="110" spans="1:11" ht="12.75">
      <c r="A110" s="16" t="s">
        <v>151</v>
      </c>
      <c r="B110" s="17">
        <v>110000</v>
      </c>
      <c r="C110" s="17">
        <f>0.0175*B110</f>
        <v>1925.0000000000002</v>
      </c>
      <c r="D110" s="18">
        <v>45678</v>
      </c>
      <c r="E110" s="16" t="s">
        <v>60</v>
      </c>
      <c r="F110" s="16" t="s">
        <v>41</v>
      </c>
    </row>
    <row r="111" spans="1:11" ht="12.75">
      <c r="A111" s="16" t="s">
        <v>152</v>
      </c>
      <c r="B111" s="17">
        <v>15000</v>
      </c>
      <c r="C111" s="17">
        <f t="shared" ref="C111:C112" si="23">0.0125*B111</f>
        <v>187.5</v>
      </c>
      <c r="D111" s="18">
        <v>45678</v>
      </c>
      <c r="E111" s="16" t="s">
        <v>11</v>
      </c>
      <c r="F111" s="16" t="s">
        <v>144</v>
      </c>
    </row>
    <row r="112" spans="1:11" ht="12.75">
      <c r="A112" s="16" t="s">
        <v>153</v>
      </c>
      <c r="B112" s="17">
        <v>50000</v>
      </c>
      <c r="C112" s="17">
        <f t="shared" si="23"/>
        <v>625</v>
      </c>
      <c r="D112" s="18">
        <v>45679</v>
      </c>
      <c r="E112" s="16" t="s">
        <v>15</v>
      </c>
      <c r="F112" s="16" t="s">
        <v>12</v>
      </c>
      <c r="H112" s="16" t="s">
        <v>51</v>
      </c>
      <c r="K112" s="16">
        <v>250</v>
      </c>
    </row>
    <row r="113" spans="1:11" ht="12.75">
      <c r="A113" s="16" t="s">
        <v>154</v>
      </c>
      <c r="B113" s="17">
        <v>125000</v>
      </c>
      <c r="C113" s="17">
        <f t="shared" ref="C113:C114" si="24">0.0175*B113</f>
        <v>2187.5</v>
      </c>
      <c r="D113" s="18">
        <v>45679</v>
      </c>
      <c r="E113" s="16" t="s">
        <v>11</v>
      </c>
      <c r="F113" s="16" t="s">
        <v>28</v>
      </c>
      <c r="I113" s="21" t="s">
        <v>30</v>
      </c>
    </row>
    <row r="114" spans="1:11" ht="12.75">
      <c r="A114" s="16" t="s">
        <v>155</v>
      </c>
      <c r="B114" s="17">
        <v>50000</v>
      </c>
      <c r="C114" s="17">
        <f t="shared" si="24"/>
        <v>875.00000000000011</v>
      </c>
      <c r="D114" s="18">
        <v>45679</v>
      </c>
      <c r="E114" s="16" t="s">
        <v>60</v>
      </c>
      <c r="F114" s="16" t="s">
        <v>28</v>
      </c>
      <c r="I114" s="21" t="s">
        <v>30</v>
      </c>
    </row>
    <row r="115" spans="1:11" ht="12.75">
      <c r="A115" s="16" t="s">
        <v>156</v>
      </c>
      <c r="B115" s="17">
        <v>114000</v>
      </c>
      <c r="C115" s="17">
        <f t="shared" ref="C115:C116" si="25">0.0125*B115</f>
        <v>1425</v>
      </c>
      <c r="D115" s="18">
        <v>45679</v>
      </c>
      <c r="E115" s="16" t="s">
        <v>15</v>
      </c>
      <c r="F115" s="16" t="s">
        <v>12</v>
      </c>
      <c r="H115" s="16" t="s">
        <v>35</v>
      </c>
      <c r="K115" s="16">
        <v>228</v>
      </c>
    </row>
    <row r="116" spans="1:11" ht="12.75">
      <c r="A116" s="16" t="s">
        <v>157</v>
      </c>
      <c r="B116" s="17">
        <v>2120000</v>
      </c>
      <c r="C116" s="17">
        <f t="shared" si="25"/>
        <v>26500</v>
      </c>
      <c r="D116" s="18">
        <v>45679</v>
      </c>
      <c r="E116" s="16" t="s">
        <v>40</v>
      </c>
      <c r="F116" s="16" t="s">
        <v>12</v>
      </c>
      <c r="H116" s="16" t="s">
        <v>22</v>
      </c>
    </row>
    <row r="117" spans="1:11" ht="12.75">
      <c r="A117" s="16" t="s">
        <v>158</v>
      </c>
      <c r="B117" s="17">
        <v>50000</v>
      </c>
      <c r="C117" s="17">
        <f t="shared" ref="C117:C118" si="26">0.0175*B117</f>
        <v>875.00000000000011</v>
      </c>
      <c r="D117" s="18">
        <v>45679</v>
      </c>
      <c r="E117" s="16" t="s">
        <v>15</v>
      </c>
      <c r="F117" s="16" t="s">
        <v>28</v>
      </c>
      <c r="H117" s="16" t="s">
        <v>54</v>
      </c>
      <c r="I117" s="21" t="s">
        <v>30</v>
      </c>
      <c r="K117" s="16">
        <v>300</v>
      </c>
    </row>
    <row r="118" spans="1:11" ht="12.75">
      <c r="A118" s="16" t="s">
        <v>159</v>
      </c>
      <c r="B118" s="17">
        <v>225000</v>
      </c>
      <c r="C118" s="17">
        <f t="shared" si="26"/>
        <v>3937.5000000000005</v>
      </c>
      <c r="D118" s="18">
        <v>45679</v>
      </c>
      <c r="E118" s="16" t="s">
        <v>11</v>
      </c>
      <c r="F118" s="16" t="s">
        <v>28</v>
      </c>
      <c r="I118" s="21" t="s">
        <v>30</v>
      </c>
    </row>
    <row r="119" spans="1:11" ht="12.75">
      <c r="A119" s="16" t="s">
        <v>160</v>
      </c>
      <c r="B119" s="17">
        <v>330000</v>
      </c>
      <c r="C119" s="17">
        <f t="shared" ref="C119:C120" si="27">0.0125*B119</f>
        <v>4125</v>
      </c>
      <c r="D119" s="18">
        <v>45680</v>
      </c>
      <c r="E119" s="16" t="s">
        <v>11</v>
      </c>
      <c r="F119" s="16" t="s">
        <v>12</v>
      </c>
      <c r="I119" s="23"/>
    </row>
    <row r="120" spans="1:11" ht="12.75">
      <c r="A120" s="16" t="s">
        <v>161</v>
      </c>
      <c r="B120" s="17">
        <v>30000</v>
      </c>
      <c r="C120" s="17">
        <f t="shared" si="27"/>
        <v>375</v>
      </c>
      <c r="D120" s="18">
        <v>45680</v>
      </c>
      <c r="E120" s="16" t="s">
        <v>24</v>
      </c>
      <c r="F120" s="16" t="s">
        <v>144</v>
      </c>
      <c r="H120" s="16" t="s">
        <v>25</v>
      </c>
    </row>
    <row r="121" spans="1:11" ht="12.75">
      <c r="A121" s="16" t="s">
        <v>162</v>
      </c>
      <c r="B121" s="17">
        <v>350000</v>
      </c>
      <c r="C121" s="17">
        <f t="shared" ref="C121:C134" si="28">0.0175*B121</f>
        <v>6125.0000000000009</v>
      </c>
      <c r="D121" s="18">
        <v>45680</v>
      </c>
      <c r="E121" s="16" t="s">
        <v>24</v>
      </c>
      <c r="F121" s="16" t="s">
        <v>28</v>
      </c>
      <c r="H121" s="16" t="s">
        <v>58</v>
      </c>
      <c r="I121" s="21" t="s">
        <v>30</v>
      </c>
    </row>
    <row r="122" spans="1:11" ht="12.75">
      <c r="A122" s="16" t="s">
        <v>163</v>
      </c>
      <c r="B122" s="17">
        <v>1000000</v>
      </c>
      <c r="C122" s="17">
        <f t="shared" si="28"/>
        <v>17500</v>
      </c>
      <c r="D122" s="18">
        <v>45680</v>
      </c>
      <c r="E122" s="16" t="s">
        <v>11</v>
      </c>
      <c r="F122" s="16" t="s">
        <v>28</v>
      </c>
      <c r="I122" s="21" t="s">
        <v>30</v>
      </c>
    </row>
    <row r="123" spans="1:11" ht="12.75">
      <c r="A123" s="16" t="s">
        <v>164</v>
      </c>
      <c r="B123" s="17">
        <v>500000</v>
      </c>
      <c r="C123" s="17">
        <f t="shared" si="28"/>
        <v>8750</v>
      </c>
      <c r="D123" s="18">
        <v>45680</v>
      </c>
      <c r="E123" s="16" t="s">
        <v>165</v>
      </c>
      <c r="F123" s="16" t="s">
        <v>28</v>
      </c>
      <c r="H123" s="16" t="s">
        <v>22</v>
      </c>
      <c r="I123" s="21" t="s">
        <v>30</v>
      </c>
    </row>
    <row r="124" spans="1:11" ht="12.75">
      <c r="A124" s="16" t="s">
        <v>166</v>
      </c>
      <c r="B124" s="17">
        <v>600800</v>
      </c>
      <c r="C124" s="17">
        <f t="shared" si="28"/>
        <v>10514.000000000002</v>
      </c>
      <c r="D124" s="18">
        <v>45680</v>
      </c>
      <c r="E124" s="16" t="s">
        <v>11</v>
      </c>
      <c r="F124" s="16" t="s">
        <v>28</v>
      </c>
      <c r="I124" s="21" t="s">
        <v>30</v>
      </c>
    </row>
    <row r="125" spans="1:11" ht="12.75">
      <c r="A125" s="16" t="s">
        <v>167</v>
      </c>
      <c r="B125" s="17">
        <v>210000</v>
      </c>
      <c r="C125" s="17">
        <f t="shared" si="28"/>
        <v>3675.0000000000005</v>
      </c>
      <c r="D125" s="18">
        <v>45680</v>
      </c>
      <c r="E125" s="16" t="s">
        <v>15</v>
      </c>
      <c r="F125" s="16" t="s">
        <v>28</v>
      </c>
      <c r="H125" s="16" t="s">
        <v>168</v>
      </c>
      <c r="K125" s="16">
        <v>577.5</v>
      </c>
    </row>
    <row r="126" spans="1:11" ht="12.75">
      <c r="A126" s="16" t="s">
        <v>169</v>
      </c>
      <c r="B126" s="17">
        <v>15000</v>
      </c>
      <c r="C126" s="17">
        <f t="shared" si="28"/>
        <v>262.5</v>
      </c>
      <c r="D126" s="18">
        <v>45680</v>
      </c>
      <c r="E126" s="16" t="s">
        <v>15</v>
      </c>
      <c r="F126" s="16" t="s">
        <v>28</v>
      </c>
      <c r="H126" s="16" t="s">
        <v>54</v>
      </c>
      <c r="I126" s="21" t="s">
        <v>30</v>
      </c>
      <c r="K126" s="16">
        <v>90</v>
      </c>
    </row>
    <row r="127" spans="1:11" ht="12.75">
      <c r="A127" s="16" t="s">
        <v>170</v>
      </c>
      <c r="B127" s="17">
        <v>75000</v>
      </c>
      <c r="C127" s="17">
        <f t="shared" si="28"/>
        <v>1312.5000000000002</v>
      </c>
      <c r="D127" s="18">
        <v>45680</v>
      </c>
      <c r="E127" s="16" t="s">
        <v>171</v>
      </c>
      <c r="F127" s="16" t="s">
        <v>28</v>
      </c>
      <c r="H127" s="16" t="s">
        <v>172</v>
      </c>
      <c r="K127" s="16">
        <v>112.5</v>
      </c>
    </row>
    <row r="128" spans="1:11" ht="12.75">
      <c r="A128" s="16" t="s">
        <v>173</v>
      </c>
      <c r="B128" s="17">
        <v>60000</v>
      </c>
      <c r="C128" s="17">
        <f t="shared" si="28"/>
        <v>1050</v>
      </c>
      <c r="D128" s="18">
        <v>45680</v>
      </c>
      <c r="E128" s="16" t="s">
        <v>15</v>
      </c>
      <c r="F128" s="16" t="s">
        <v>28</v>
      </c>
      <c r="H128" s="16" t="s">
        <v>98</v>
      </c>
      <c r="I128" s="21" t="s">
        <v>30</v>
      </c>
      <c r="K128" s="16">
        <v>180</v>
      </c>
    </row>
    <row r="129" spans="1:11" ht="12.75">
      <c r="A129" s="16" t="s">
        <v>174</v>
      </c>
      <c r="B129" s="17">
        <v>31500</v>
      </c>
      <c r="C129" s="17">
        <f t="shared" si="28"/>
        <v>551.25</v>
      </c>
      <c r="D129" s="18">
        <v>45680</v>
      </c>
      <c r="E129" s="16" t="s">
        <v>15</v>
      </c>
      <c r="F129" s="16" t="s">
        <v>28</v>
      </c>
      <c r="H129" s="16" t="s">
        <v>54</v>
      </c>
      <c r="I129" s="21" t="s">
        <v>30</v>
      </c>
      <c r="K129" s="16">
        <v>189</v>
      </c>
    </row>
    <row r="130" spans="1:11" ht="12.75">
      <c r="A130" s="16" t="s">
        <v>175</v>
      </c>
      <c r="B130" s="17">
        <v>70000</v>
      </c>
      <c r="C130" s="17">
        <f t="shared" si="28"/>
        <v>1225.0000000000002</v>
      </c>
      <c r="D130" s="18">
        <v>45680</v>
      </c>
      <c r="E130" s="16" t="s">
        <v>135</v>
      </c>
      <c r="F130" s="16" t="s">
        <v>28</v>
      </c>
      <c r="H130" s="16" t="s">
        <v>13</v>
      </c>
      <c r="I130" s="21" t="s">
        <v>30</v>
      </c>
    </row>
    <row r="131" spans="1:11" ht="12.75">
      <c r="A131" s="16" t="s">
        <v>176</v>
      </c>
      <c r="B131" s="17">
        <v>30000</v>
      </c>
      <c r="C131" s="17">
        <f t="shared" si="28"/>
        <v>525</v>
      </c>
      <c r="D131" s="18">
        <v>45680</v>
      </c>
      <c r="E131" s="16" t="s">
        <v>11</v>
      </c>
      <c r="F131" s="16" t="s">
        <v>28</v>
      </c>
      <c r="I131" s="21" t="s">
        <v>30</v>
      </c>
    </row>
    <row r="132" spans="1:11" ht="12.75">
      <c r="A132" s="16" t="s">
        <v>177</v>
      </c>
      <c r="B132" s="17">
        <v>500000</v>
      </c>
      <c r="C132" s="17">
        <f t="shared" si="28"/>
        <v>8750</v>
      </c>
      <c r="D132" s="18">
        <v>45681</v>
      </c>
      <c r="E132" s="16" t="s">
        <v>24</v>
      </c>
      <c r="F132" s="16" t="s">
        <v>28</v>
      </c>
      <c r="H132" s="16" t="s">
        <v>58</v>
      </c>
      <c r="I132" s="21" t="s">
        <v>30</v>
      </c>
    </row>
    <row r="133" spans="1:11" ht="12.75">
      <c r="A133" s="16" t="s">
        <v>178</v>
      </c>
      <c r="B133" s="17">
        <v>215000</v>
      </c>
      <c r="C133" s="17">
        <f t="shared" si="28"/>
        <v>3762.5000000000005</v>
      </c>
      <c r="D133" s="18">
        <v>45681</v>
      </c>
      <c r="E133" s="16" t="s">
        <v>11</v>
      </c>
      <c r="F133" s="16" t="s">
        <v>28</v>
      </c>
      <c r="I133" s="21" t="s">
        <v>30</v>
      </c>
    </row>
    <row r="134" spans="1:11" ht="12.75">
      <c r="A134" s="16" t="s">
        <v>179</v>
      </c>
      <c r="B134" s="17">
        <v>200000</v>
      </c>
      <c r="C134" s="17">
        <f t="shared" si="28"/>
        <v>3500.0000000000005</v>
      </c>
      <c r="D134" s="18">
        <v>45681</v>
      </c>
      <c r="E134" s="16" t="s">
        <v>180</v>
      </c>
      <c r="F134" s="16" t="s">
        <v>28</v>
      </c>
      <c r="H134" s="16" t="s">
        <v>13</v>
      </c>
      <c r="I134" s="21" t="s">
        <v>30</v>
      </c>
    </row>
    <row r="135" spans="1:11" ht="12.75">
      <c r="A135" s="16" t="s">
        <v>181</v>
      </c>
      <c r="B135" s="17">
        <v>20000</v>
      </c>
      <c r="C135" s="17">
        <f>0.0125*B135</f>
        <v>250</v>
      </c>
      <c r="D135" s="18">
        <v>45681</v>
      </c>
      <c r="E135" s="16" t="s">
        <v>15</v>
      </c>
      <c r="F135" s="16" t="s">
        <v>12</v>
      </c>
      <c r="H135" s="16" t="s">
        <v>54</v>
      </c>
      <c r="K135" s="16">
        <v>120</v>
      </c>
    </row>
    <row r="136" spans="1:11" ht="12.75">
      <c r="A136" s="16" t="s">
        <v>182</v>
      </c>
      <c r="B136" s="17">
        <v>35000</v>
      </c>
      <c r="C136" s="17">
        <f t="shared" ref="C136:C137" si="29">0.0175*B136</f>
        <v>612.50000000000011</v>
      </c>
      <c r="D136" s="18">
        <v>45684</v>
      </c>
      <c r="E136" s="16" t="s">
        <v>11</v>
      </c>
      <c r="F136" s="16" t="s">
        <v>28</v>
      </c>
      <c r="I136" s="21" t="s">
        <v>30</v>
      </c>
    </row>
    <row r="137" spans="1:11" ht="12.75">
      <c r="A137" s="16" t="s">
        <v>183</v>
      </c>
      <c r="B137" s="17">
        <v>100000</v>
      </c>
      <c r="C137" s="17">
        <f t="shared" si="29"/>
        <v>1750.0000000000002</v>
      </c>
      <c r="D137" s="18">
        <v>45684</v>
      </c>
      <c r="E137" s="16" t="s">
        <v>11</v>
      </c>
      <c r="F137" s="16" t="s">
        <v>67</v>
      </c>
      <c r="I137" s="21" t="s">
        <v>30</v>
      </c>
    </row>
    <row r="138" spans="1:11" ht="12.75">
      <c r="A138" s="16" t="s">
        <v>184</v>
      </c>
      <c r="B138" s="17">
        <v>225000</v>
      </c>
      <c r="C138" s="17">
        <f>0.0125*B138</f>
        <v>2812.5</v>
      </c>
      <c r="D138" s="18">
        <v>45684</v>
      </c>
      <c r="E138" s="16" t="s">
        <v>60</v>
      </c>
      <c r="F138" s="16" t="s">
        <v>12</v>
      </c>
    </row>
    <row r="139" spans="1:11" ht="12.75">
      <c r="A139" s="16" t="s">
        <v>185</v>
      </c>
      <c r="B139" s="17">
        <v>150000</v>
      </c>
      <c r="C139" s="17">
        <f t="shared" ref="C139:C141" si="30">0.0175*B139</f>
        <v>2625.0000000000005</v>
      </c>
      <c r="D139" s="18">
        <v>45684</v>
      </c>
      <c r="E139" s="16" t="s">
        <v>15</v>
      </c>
      <c r="F139" s="16" t="s">
        <v>28</v>
      </c>
      <c r="H139" s="16" t="s">
        <v>51</v>
      </c>
      <c r="I139" s="21" t="s">
        <v>30</v>
      </c>
      <c r="K139" s="16">
        <v>750</v>
      </c>
    </row>
    <row r="140" spans="1:11" ht="12.75">
      <c r="A140" s="16" t="s">
        <v>186</v>
      </c>
      <c r="B140" s="17">
        <v>100000</v>
      </c>
      <c r="C140" s="17">
        <f t="shared" si="30"/>
        <v>1750.0000000000002</v>
      </c>
      <c r="D140" s="18">
        <v>45684</v>
      </c>
      <c r="E140" s="16" t="s">
        <v>11</v>
      </c>
      <c r="F140" s="16" t="s">
        <v>28</v>
      </c>
      <c r="I140" s="21" t="s">
        <v>30</v>
      </c>
    </row>
    <row r="141" spans="1:11" ht="12.75">
      <c r="A141" s="16" t="s">
        <v>187</v>
      </c>
      <c r="B141" s="17">
        <v>550000</v>
      </c>
      <c r="C141" s="17">
        <f t="shared" si="30"/>
        <v>9625.0000000000018</v>
      </c>
      <c r="D141" s="18">
        <v>45685</v>
      </c>
      <c r="E141" s="16" t="s">
        <v>24</v>
      </c>
      <c r="F141" s="16" t="s">
        <v>28</v>
      </c>
      <c r="H141" s="16" t="s">
        <v>58</v>
      </c>
      <c r="I141" s="21" t="s">
        <v>30</v>
      </c>
    </row>
    <row r="142" spans="1:11" ht="12.75">
      <c r="A142" s="16" t="s">
        <v>188</v>
      </c>
      <c r="B142" s="17">
        <v>110000</v>
      </c>
      <c r="C142" s="17">
        <f t="shared" ref="C142:C143" si="31">0.0125*B142</f>
        <v>1375</v>
      </c>
      <c r="D142" s="18">
        <v>45685</v>
      </c>
      <c r="E142" s="16" t="s">
        <v>189</v>
      </c>
      <c r="F142" s="16" t="s">
        <v>12</v>
      </c>
      <c r="H142" s="16" t="s">
        <v>25</v>
      </c>
    </row>
    <row r="143" spans="1:11" ht="12.75">
      <c r="A143" s="16" t="s">
        <v>190</v>
      </c>
      <c r="B143" s="17">
        <v>50000</v>
      </c>
      <c r="C143" s="17">
        <f t="shared" si="31"/>
        <v>625</v>
      </c>
      <c r="D143" s="18">
        <v>45685</v>
      </c>
      <c r="E143" s="16" t="s">
        <v>21</v>
      </c>
      <c r="F143" s="16" t="s">
        <v>12</v>
      </c>
      <c r="H143" s="16" t="s">
        <v>22</v>
      </c>
    </row>
    <row r="144" spans="1:11" ht="12.75">
      <c r="A144" s="16" t="s">
        <v>191</v>
      </c>
      <c r="B144" s="17">
        <v>500000</v>
      </c>
      <c r="C144" s="17">
        <f t="shared" ref="C144:C148" si="32">0.0175*B144</f>
        <v>8750</v>
      </c>
      <c r="D144" s="18">
        <v>45685</v>
      </c>
      <c r="E144" s="16" t="s">
        <v>11</v>
      </c>
      <c r="F144" s="16" t="s">
        <v>28</v>
      </c>
      <c r="I144" s="21" t="s">
        <v>30</v>
      </c>
    </row>
    <row r="145" spans="1:11" ht="12.75">
      <c r="A145" s="16" t="s">
        <v>192</v>
      </c>
      <c r="B145" s="17">
        <v>350000</v>
      </c>
      <c r="C145" s="17">
        <f t="shared" si="32"/>
        <v>6125.0000000000009</v>
      </c>
      <c r="D145" s="18">
        <v>45685</v>
      </c>
      <c r="E145" s="16" t="s">
        <v>24</v>
      </c>
      <c r="F145" s="16" t="s">
        <v>28</v>
      </c>
      <c r="H145" s="16" t="s">
        <v>58</v>
      </c>
      <c r="I145" s="21" t="s">
        <v>30</v>
      </c>
    </row>
    <row r="146" spans="1:11" ht="12.75">
      <c r="A146" s="16" t="s">
        <v>193</v>
      </c>
      <c r="B146" s="17">
        <v>65000</v>
      </c>
      <c r="C146" s="17">
        <f t="shared" si="32"/>
        <v>1137.5</v>
      </c>
      <c r="D146" s="18">
        <v>45685</v>
      </c>
      <c r="E146" s="16" t="s">
        <v>11</v>
      </c>
      <c r="F146" s="16" t="s">
        <v>28</v>
      </c>
      <c r="I146" s="21" t="s">
        <v>30</v>
      </c>
    </row>
    <row r="147" spans="1:11" ht="12.75">
      <c r="A147" s="16" t="s">
        <v>194</v>
      </c>
      <c r="B147" s="17">
        <v>80000</v>
      </c>
      <c r="C147" s="17">
        <f t="shared" si="32"/>
        <v>1400.0000000000002</v>
      </c>
      <c r="D147" s="18">
        <v>45685</v>
      </c>
      <c r="E147" s="16" t="s">
        <v>15</v>
      </c>
      <c r="F147" s="16" t="s">
        <v>28</v>
      </c>
      <c r="H147" s="16" t="s">
        <v>16</v>
      </c>
      <c r="I147" s="21" t="s">
        <v>30</v>
      </c>
      <c r="K147" s="16">
        <v>320</v>
      </c>
    </row>
    <row r="148" spans="1:11" ht="12.75">
      <c r="A148" s="16" t="s">
        <v>195</v>
      </c>
      <c r="B148" s="17">
        <v>700000</v>
      </c>
      <c r="C148" s="17">
        <f t="shared" si="32"/>
        <v>12250.000000000002</v>
      </c>
      <c r="D148" s="18">
        <v>45685</v>
      </c>
      <c r="E148" s="16" t="s">
        <v>24</v>
      </c>
      <c r="F148" s="16" t="s">
        <v>28</v>
      </c>
      <c r="H148" s="16" t="s">
        <v>58</v>
      </c>
      <c r="I148" s="21" t="s">
        <v>30</v>
      </c>
    </row>
    <row r="149" spans="1:11" ht="12.75">
      <c r="A149" s="16" t="s">
        <v>196</v>
      </c>
      <c r="B149" s="17">
        <v>245000</v>
      </c>
      <c r="C149" s="17">
        <f>0.0125*B149</f>
        <v>3062.5</v>
      </c>
      <c r="D149" s="18">
        <v>45685</v>
      </c>
      <c r="E149" s="16" t="s">
        <v>197</v>
      </c>
      <c r="F149" s="16" t="s">
        <v>12</v>
      </c>
      <c r="H149" s="16" t="s">
        <v>22</v>
      </c>
    </row>
    <row r="150" spans="1:11" ht="12.75">
      <c r="A150" s="16" t="s">
        <v>198</v>
      </c>
      <c r="B150" s="17">
        <v>200000</v>
      </c>
      <c r="C150" s="17">
        <f>0.0175*B150</f>
        <v>3500.0000000000005</v>
      </c>
      <c r="D150" s="18">
        <v>45685</v>
      </c>
      <c r="E150" s="16" t="s">
        <v>24</v>
      </c>
      <c r="F150" s="16" t="s">
        <v>28</v>
      </c>
      <c r="H150" s="16" t="s">
        <v>58</v>
      </c>
      <c r="I150" s="21" t="s">
        <v>30</v>
      </c>
    </row>
    <row r="151" spans="1:11" ht="12.75">
      <c r="A151" s="16" t="s">
        <v>199</v>
      </c>
      <c r="B151" s="17">
        <v>240000</v>
      </c>
      <c r="C151" s="17">
        <f t="shared" ref="C151:C153" si="33">0.0125*B151</f>
        <v>3000</v>
      </c>
      <c r="D151" s="18">
        <v>45685</v>
      </c>
      <c r="E151" s="16" t="s">
        <v>11</v>
      </c>
      <c r="F151" s="16" t="s">
        <v>12</v>
      </c>
    </row>
    <row r="152" spans="1:11" ht="12.75">
      <c r="A152" s="16" t="s">
        <v>200</v>
      </c>
      <c r="B152" s="17">
        <v>325000</v>
      </c>
      <c r="C152" s="17">
        <f t="shared" si="33"/>
        <v>4062.5</v>
      </c>
      <c r="D152" s="18">
        <v>45685</v>
      </c>
      <c r="E152" s="16" t="s">
        <v>60</v>
      </c>
      <c r="F152" s="16" t="s">
        <v>12</v>
      </c>
    </row>
    <row r="153" spans="1:11" ht="12.75">
      <c r="A153" s="16" t="s">
        <v>201</v>
      </c>
      <c r="B153" s="17">
        <v>40000</v>
      </c>
      <c r="C153" s="17">
        <f t="shared" si="33"/>
        <v>500</v>
      </c>
      <c r="D153" s="18">
        <v>45685</v>
      </c>
      <c r="E153" s="16" t="s">
        <v>11</v>
      </c>
      <c r="F153" s="16" t="s">
        <v>12</v>
      </c>
    </row>
    <row r="154" spans="1:11" ht="12.75">
      <c r="A154" s="24" t="s">
        <v>202</v>
      </c>
      <c r="B154" s="25">
        <v>500000</v>
      </c>
      <c r="C154" s="25">
        <f>0.0175*B154</f>
        <v>8750</v>
      </c>
      <c r="D154" s="26">
        <v>45685</v>
      </c>
      <c r="E154" s="24" t="s">
        <v>203</v>
      </c>
      <c r="F154" s="24" t="s">
        <v>28</v>
      </c>
      <c r="G154" s="24"/>
      <c r="H154" s="24" t="s">
        <v>204</v>
      </c>
      <c r="I154" s="21" t="s">
        <v>30</v>
      </c>
      <c r="K154" s="16">
        <v>625</v>
      </c>
    </row>
    <row r="155" spans="1:11" ht="12.75">
      <c r="A155" s="16" t="s">
        <v>205</v>
      </c>
      <c r="B155" s="17">
        <v>25000</v>
      </c>
      <c r="C155" s="17">
        <f>0.0125*B155</f>
        <v>312.5</v>
      </c>
      <c r="D155" s="18">
        <v>45686</v>
      </c>
      <c r="E155" s="16" t="s">
        <v>11</v>
      </c>
      <c r="F155" s="16" t="s">
        <v>12</v>
      </c>
    </row>
    <row r="156" spans="1:11" ht="12.75">
      <c r="A156" s="16" t="s">
        <v>206</v>
      </c>
      <c r="B156" s="17">
        <v>75000</v>
      </c>
      <c r="C156" s="17">
        <f t="shared" ref="C156:C162" si="34">0.0175*B156</f>
        <v>1312.5000000000002</v>
      </c>
      <c r="D156" s="18">
        <v>45686</v>
      </c>
      <c r="E156" s="16" t="s">
        <v>15</v>
      </c>
      <c r="F156" s="16" t="s">
        <v>67</v>
      </c>
      <c r="H156" s="16" t="s">
        <v>51</v>
      </c>
      <c r="K156" s="16">
        <v>375</v>
      </c>
    </row>
    <row r="157" spans="1:11" ht="12.75">
      <c r="A157" s="16" t="s">
        <v>207</v>
      </c>
      <c r="B157" s="17">
        <v>15000</v>
      </c>
      <c r="C157" s="17">
        <f t="shared" si="34"/>
        <v>262.5</v>
      </c>
      <c r="D157" s="18">
        <v>45686</v>
      </c>
      <c r="E157" s="16" t="s">
        <v>15</v>
      </c>
      <c r="F157" s="16" t="s">
        <v>28</v>
      </c>
      <c r="H157" s="16" t="s">
        <v>54</v>
      </c>
      <c r="I157" s="21" t="s">
        <v>30</v>
      </c>
      <c r="K157" s="16">
        <v>90</v>
      </c>
    </row>
    <row r="158" spans="1:11" ht="12.75">
      <c r="A158" s="16" t="s">
        <v>208</v>
      </c>
      <c r="B158" s="17">
        <v>400000</v>
      </c>
      <c r="C158" s="17">
        <f t="shared" si="34"/>
        <v>7000.0000000000009</v>
      </c>
      <c r="D158" s="18">
        <v>45686</v>
      </c>
      <c r="E158" s="16" t="s">
        <v>15</v>
      </c>
      <c r="F158" s="16" t="s">
        <v>28</v>
      </c>
      <c r="H158" s="16" t="s">
        <v>172</v>
      </c>
      <c r="I158" s="21" t="s">
        <v>30</v>
      </c>
      <c r="K158" s="16">
        <v>600</v>
      </c>
    </row>
    <row r="159" spans="1:11" ht="12.75">
      <c r="A159" s="16" t="s">
        <v>154</v>
      </c>
      <c r="B159" s="17">
        <v>90000</v>
      </c>
      <c r="C159" s="17">
        <f t="shared" si="34"/>
        <v>1575.0000000000002</v>
      </c>
      <c r="D159" s="18">
        <v>45687</v>
      </c>
      <c r="E159" s="16" t="s">
        <v>11</v>
      </c>
      <c r="F159" s="16" t="s">
        <v>67</v>
      </c>
      <c r="I159" s="21" t="s">
        <v>30</v>
      </c>
    </row>
    <row r="160" spans="1:11" ht="12.75">
      <c r="A160" s="16" t="s">
        <v>209</v>
      </c>
      <c r="B160" s="17">
        <v>650000</v>
      </c>
      <c r="C160" s="17">
        <f t="shared" si="34"/>
        <v>11375.000000000002</v>
      </c>
      <c r="D160" s="18">
        <v>45687</v>
      </c>
      <c r="E160" s="16" t="s">
        <v>210</v>
      </c>
      <c r="F160" s="16" t="s">
        <v>28</v>
      </c>
      <c r="H160" s="16" t="s">
        <v>13</v>
      </c>
      <c r="I160" s="21" t="s">
        <v>30</v>
      </c>
    </row>
    <row r="161" spans="1:11" ht="12.75">
      <c r="A161" s="16" t="s">
        <v>211</v>
      </c>
      <c r="B161" s="17">
        <v>60000</v>
      </c>
      <c r="C161" s="17">
        <f t="shared" si="34"/>
        <v>1050</v>
      </c>
      <c r="D161" s="18">
        <v>45687</v>
      </c>
      <c r="E161" s="16" t="s">
        <v>15</v>
      </c>
      <c r="F161" s="16" t="s">
        <v>28</v>
      </c>
      <c r="H161" s="16" t="s">
        <v>54</v>
      </c>
      <c r="I161" s="21" t="s">
        <v>30</v>
      </c>
      <c r="K161" s="16">
        <v>360</v>
      </c>
    </row>
    <row r="162" spans="1:11" ht="12.75">
      <c r="A162" s="16" t="s">
        <v>212</v>
      </c>
      <c r="B162" s="17">
        <v>200000</v>
      </c>
      <c r="C162" s="17">
        <f t="shared" si="34"/>
        <v>3500.0000000000005</v>
      </c>
      <c r="D162" s="18">
        <v>45687</v>
      </c>
      <c r="E162" s="16" t="s">
        <v>11</v>
      </c>
      <c r="F162" s="16" t="s">
        <v>28</v>
      </c>
    </row>
    <row r="163" spans="1:11" ht="12.75">
      <c r="A163" s="16" t="s">
        <v>213</v>
      </c>
      <c r="B163" s="17">
        <v>20000</v>
      </c>
      <c r="C163" s="17">
        <f>0.0125*B163</f>
        <v>250</v>
      </c>
      <c r="D163" s="18">
        <v>45687</v>
      </c>
      <c r="E163" s="16" t="s">
        <v>11</v>
      </c>
      <c r="F163" s="16" t="s">
        <v>12</v>
      </c>
    </row>
    <row r="164" spans="1:11" ht="12.75">
      <c r="A164" s="16" t="s">
        <v>214</v>
      </c>
      <c r="B164" s="17">
        <v>30000</v>
      </c>
      <c r="C164" s="17">
        <f t="shared" ref="C164:C166" si="35">0.0175*B164</f>
        <v>525</v>
      </c>
      <c r="D164" s="18">
        <v>45687</v>
      </c>
      <c r="E164" s="16" t="s">
        <v>60</v>
      </c>
      <c r="F164" s="16" t="s">
        <v>28</v>
      </c>
    </row>
    <row r="165" spans="1:11" ht="12.75">
      <c r="A165" s="16" t="s">
        <v>215</v>
      </c>
      <c r="B165" s="17">
        <v>50000</v>
      </c>
      <c r="C165" s="17">
        <f t="shared" si="35"/>
        <v>875.00000000000011</v>
      </c>
      <c r="D165" s="18">
        <v>45687</v>
      </c>
      <c r="E165" s="16" t="s">
        <v>11</v>
      </c>
      <c r="F165" s="16" t="s">
        <v>28</v>
      </c>
      <c r="I165" s="21" t="s">
        <v>30</v>
      </c>
    </row>
    <row r="166" spans="1:11" ht="12.75">
      <c r="A166" s="16" t="s">
        <v>216</v>
      </c>
      <c r="B166" s="17">
        <v>35000</v>
      </c>
      <c r="C166" s="17">
        <f t="shared" si="35"/>
        <v>612.50000000000011</v>
      </c>
      <c r="D166" s="18">
        <v>45688</v>
      </c>
      <c r="E166" s="16" t="s">
        <v>15</v>
      </c>
      <c r="F166" s="16" t="s">
        <v>12</v>
      </c>
      <c r="H166" s="16" t="s">
        <v>54</v>
      </c>
      <c r="K166" s="16">
        <v>210</v>
      </c>
    </row>
    <row r="167" spans="1:11" ht="12.75">
      <c r="A167" s="16" t="s">
        <v>217</v>
      </c>
      <c r="B167" s="17">
        <v>250000</v>
      </c>
      <c r="C167" s="17">
        <f>0.0125*B167</f>
        <v>3125</v>
      </c>
      <c r="D167" s="18">
        <v>45688</v>
      </c>
      <c r="E167" s="16" t="s">
        <v>11</v>
      </c>
      <c r="F167" s="16" t="s">
        <v>12</v>
      </c>
    </row>
    <row r="168" spans="1:11" ht="12.75">
      <c r="A168" s="16" t="s">
        <v>218</v>
      </c>
      <c r="B168" s="17">
        <v>30000</v>
      </c>
      <c r="C168" s="17">
        <f>0.0175*B168</f>
        <v>525</v>
      </c>
      <c r="D168" s="18">
        <v>45688</v>
      </c>
      <c r="E168" s="16" t="s">
        <v>15</v>
      </c>
      <c r="F168" s="16" t="s">
        <v>28</v>
      </c>
      <c r="H168" s="16" t="s">
        <v>16</v>
      </c>
      <c r="I168" s="21" t="s">
        <v>30</v>
      </c>
      <c r="K168" s="16">
        <v>120</v>
      </c>
    </row>
    <row r="169" spans="1:11" ht="12.75">
      <c r="A169" s="16" t="s">
        <v>219</v>
      </c>
      <c r="B169" s="17">
        <v>110000</v>
      </c>
      <c r="C169" s="17">
        <f>0.0125*B169</f>
        <v>1375</v>
      </c>
      <c r="D169" s="18">
        <v>45688</v>
      </c>
      <c r="E169" s="16" t="s">
        <v>15</v>
      </c>
      <c r="F169" s="16" t="s">
        <v>12</v>
      </c>
      <c r="H169" s="16" t="s">
        <v>220</v>
      </c>
      <c r="K169" s="16">
        <v>385</v>
      </c>
    </row>
    <row r="170" spans="1:11" ht="12.75">
      <c r="A170" s="16" t="s">
        <v>221</v>
      </c>
      <c r="B170" s="17">
        <v>70000</v>
      </c>
      <c r="C170" s="17">
        <f>0.0175*B170</f>
        <v>1225.0000000000002</v>
      </c>
      <c r="D170" s="18">
        <v>45688</v>
      </c>
      <c r="E170" s="16" t="s">
        <v>11</v>
      </c>
      <c r="F170" s="16" t="s">
        <v>28</v>
      </c>
      <c r="I170" s="21" t="s">
        <v>30</v>
      </c>
    </row>
    <row r="171" spans="1:11" ht="12.75">
      <c r="A171" s="16" t="s">
        <v>222</v>
      </c>
      <c r="B171" s="17">
        <v>175000</v>
      </c>
      <c r="C171" s="17">
        <f>0.0125*B171</f>
        <v>2187.5</v>
      </c>
      <c r="D171" s="18">
        <v>45688</v>
      </c>
      <c r="E171" s="16" t="s">
        <v>11</v>
      </c>
      <c r="F171" s="16" t="s">
        <v>144</v>
      </c>
    </row>
    <row r="172" spans="1:11" ht="12.75">
      <c r="A172" s="16" t="s">
        <v>223</v>
      </c>
      <c r="B172" s="17">
        <v>100000</v>
      </c>
      <c r="C172" s="17">
        <f t="shared" ref="C172:C175" si="36">0.0175*B172</f>
        <v>1750.0000000000002</v>
      </c>
      <c r="D172" s="18">
        <v>45688</v>
      </c>
      <c r="E172" s="16" t="s">
        <v>60</v>
      </c>
      <c r="F172" s="16" t="s">
        <v>28</v>
      </c>
      <c r="I172" s="21" t="s">
        <v>30</v>
      </c>
    </row>
    <row r="173" spans="1:11" ht="12.75">
      <c r="A173" s="16" t="s">
        <v>224</v>
      </c>
      <c r="B173" s="17">
        <v>25000</v>
      </c>
      <c r="C173" s="17">
        <f t="shared" si="36"/>
        <v>437.50000000000006</v>
      </c>
      <c r="D173" s="18">
        <v>45688</v>
      </c>
      <c r="E173" s="16" t="s">
        <v>21</v>
      </c>
      <c r="F173" s="16" t="s">
        <v>28</v>
      </c>
      <c r="H173" s="16" t="s">
        <v>13</v>
      </c>
      <c r="I173" s="21" t="s">
        <v>30</v>
      </c>
    </row>
    <row r="174" spans="1:11" ht="12.75">
      <c r="A174" s="16" t="s">
        <v>225</v>
      </c>
      <c r="B174" s="17">
        <v>200000</v>
      </c>
      <c r="C174" s="17">
        <f t="shared" si="36"/>
        <v>3500.0000000000005</v>
      </c>
      <c r="D174" s="18">
        <v>45688</v>
      </c>
      <c r="E174" s="16" t="s">
        <v>15</v>
      </c>
      <c r="F174" s="16" t="s">
        <v>28</v>
      </c>
      <c r="H174" s="16" t="s">
        <v>16</v>
      </c>
      <c r="I174" s="21" t="s">
        <v>30</v>
      </c>
      <c r="K174" s="16">
        <v>800</v>
      </c>
    </row>
    <row r="175" spans="1:11" ht="12.75">
      <c r="A175" s="16" t="s">
        <v>226</v>
      </c>
      <c r="B175" s="17">
        <v>7500</v>
      </c>
      <c r="C175" s="17">
        <f t="shared" si="36"/>
        <v>131.25</v>
      </c>
      <c r="D175" s="18">
        <v>45688</v>
      </c>
      <c r="E175" s="16" t="s">
        <v>15</v>
      </c>
      <c r="F175" s="16" t="s">
        <v>28</v>
      </c>
      <c r="H175" s="16" t="s">
        <v>54</v>
      </c>
      <c r="I175" s="21" t="s">
        <v>30</v>
      </c>
      <c r="K175" s="16">
        <v>45</v>
      </c>
    </row>
    <row r="176" spans="1:11" ht="12.75">
      <c r="A176" s="16" t="s">
        <v>227</v>
      </c>
      <c r="B176" s="17">
        <v>100000</v>
      </c>
      <c r="C176" s="17">
        <f t="shared" ref="C176:C179" si="37">0.0125*B176</f>
        <v>1250</v>
      </c>
      <c r="D176" s="18">
        <v>45673</v>
      </c>
      <c r="E176" s="16" t="s">
        <v>75</v>
      </c>
      <c r="F176" s="16" t="s">
        <v>12</v>
      </c>
    </row>
    <row r="177" spans="1:17" ht="12.75">
      <c r="A177" s="16" t="s">
        <v>228</v>
      </c>
      <c r="B177" s="17">
        <v>125000</v>
      </c>
      <c r="C177" s="17">
        <f t="shared" si="37"/>
        <v>1562.5</v>
      </c>
      <c r="D177" s="18">
        <v>45575</v>
      </c>
      <c r="E177" s="16" t="s">
        <v>75</v>
      </c>
      <c r="F177" s="16" t="s">
        <v>12</v>
      </c>
      <c r="H177" s="24" t="s">
        <v>229</v>
      </c>
    </row>
    <row r="178" spans="1:17" ht="12.75">
      <c r="A178" s="16" t="s">
        <v>230</v>
      </c>
      <c r="B178" s="17">
        <v>185000</v>
      </c>
      <c r="C178" s="17">
        <f t="shared" si="37"/>
        <v>2312.5</v>
      </c>
      <c r="D178" s="18">
        <v>45680</v>
      </c>
      <c r="E178" s="16" t="s">
        <v>231</v>
      </c>
      <c r="F178" s="16" t="s">
        <v>12</v>
      </c>
      <c r="H178" s="16" t="s">
        <v>22</v>
      </c>
    </row>
    <row r="179" spans="1:17" ht="12.75">
      <c r="A179" s="16" t="s">
        <v>232</v>
      </c>
      <c r="B179" s="17">
        <v>110000</v>
      </c>
      <c r="C179" s="17">
        <f t="shared" si="37"/>
        <v>1375</v>
      </c>
      <c r="D179" s="18">
        <v>45686</v>
      </c>
      <c r="E179" s="16" t="s">
        <v>11</v>
      </c>
      <c r="F179" s="16" t="s">
        <v>12</v>
      </c>
    </row>
    <row r="180" spans="1:17" ht="12.75">
      <c r="A180" s="16" t="s">
        <v>233</v>
      </c>
      <c r="B180" s="17">
        <v>500000</v>
      </c>
      <c r="C180" s="17">
        <f>0.0175*B180</f>
        <v>8750</v>
      </c>
      <c r="D180" s="18">
        <v>45688</v>
      </c>
      <c r="E180" s="16" t="s">
        <v>24</v>
      </c>
      <c r="F180" s="16" t="s">
        <v>28</v>
      </c>
      <c r="H180" s="16" t="s">
        <v>58</v>
      </c>
      <c r="I180" s="21" t="s">
        <v>30</v>
      </c>
    </row>
    <row r="181" spans="1:17" ht="12.75">
      <c r="A181" s="11">
        <v>45689</v>
      </c>
      <c r="B181" s="12">
        <f t="shared" ref="B181:C181" si="38">SUM(B182:B320)</f>
        <v>30698000</v>
      </c>
      <c r="C181" s="12">
        <f t="shared" si="38"/>
        <v>468875</v>
      </c>
      <c r="D181" s="13"/>
      <c r="E181" s="14"/>
      <c r="F181" s="14"/>
      <c r="G181" s="14"/>
      <c r="H181" s="15"/>
      <c r="I181" s="15"/>
      <c r="J181" s="15"/>
      <c r="K181" s="15"/>
      <c r="L181" s="15"/>
    </row>
    <row r="182" spans="1:17" ht="12.75">
      <c r="A182" s="16" t="s">
        <v>234</v>
      </c>
      <c r="B182" s="17">
        <v>150000</v>
      </c>
      <c r="C182" s="17">
        <f t="shared" ref="C182:C183" si="39">0.0175*B182</f>
        <v>2625.0000000000005</v>
      </c>
      <c r="D182" s="18">
        <v>45691</v>
      </c>
      <c r="E182" s="16" t="s">
        <v>11</v>
      </c>
      <c r="F182" s="16" t="s">
        <v>28</v>
      </c>
      <c r="I182" s="21" t="s">
        <v>30</v>
      </c>
      <c r="N182" s="19" t="s">
        <v>13</v>
      </c>
    </row>
    <row r="183" spans="1:17" ht="12.75">
      <c r="A183" s="16" t="s">
        <v>235</v>
      </c>
      <c r="B183" s="17">
        <v>150000</v>
      </c>
      <c r="C183" s="17">
        <f t="shared" si="39"/>
        <v>2625.0000000000005</v>
      </c>
      <c r="D183" s="18">
        <v>45691</v>
      </c>
      <c r="E183" s="16" t="s">
        <v>60</v>
      </c>
      <c r="F183" s="16" t="s">
        <v>28</v>
      </c>
      <c r="I183" s="21" t="s">
        <v>30</v>
      </c>
      <c r="N183" s="16" t="s">
        <v>17</v>
      </c>
      <c r="O183" s="20">
        <v>11538.46</v>
      </c>
    </row>
    <row r="184" spans="1:17" ht="12.75">
      <c r="A184" s="16" t="s">
        <v>236</v>
      </c>
      <c r="B184" s="17">
        <v>95000</v>
      </c>
      <c r="C184" s="17">
        <f t="shared" ref="C184:C187" si="40">0.0125*B184</f>
        <v>1187.5</v>
      </c>
      <c r="D184" s="18">
        <v>45691</v>
      </c>
      <c r="E184" s="16" t="s">
        <v>15</v>
      </c>
      <c r="F184" s="16" t="s">
        <v>12</v>
      </c>
      <c r="H184" s="16" t="s">
        <v>54</v>
      </c>
      <c r="K184" s="16">
        <v>570</v>
      </c>
      <c r="N184" s="16" t="s">
        <v>19</v>
      </c>
      <c r="O184" s="20">
        <f>P184+Q184</f>
        <v>23312.5</v>
      </c>
      <c r="P184" s="16">
        <v>5337.5</v>
      </c>
      <c r="Q184" s="16">
        <v>17975</v>
      </c>
    </row>
    <row r="185" spans="1:17" ht="12.75">
      <c r="A185" s="16" t="s">
        <v>237</v>
      </c>
      <c r="B185" s="17">
        <v>600000</v>
      </c>
      <c r="C185" s="17">
        <f t="shared" si="40"/>
        <v>7500</v>
      </c>
      <c r="D185" s="18">
        <v>45692</v>
      </c>
      <c r="E185" s="16" t="s">
        <v>24</v>
      </c>
      <c r="F185" s="16" t="s">
        <v>12</v>
      </c>
      <c r="H185" s="16" t="s">
        <v>48</v>
      </c>
      <c r="N185" s="16" t="s">
        <v>15</v>
      </c>
      <c r="O185" s="20">
        <v>18206</v>
      </c>
    </row>
    <row r="186" spans="1:17" ht="12.75">
      <c r="A186" s="16" t="s">
        <v>238</v>
      </c>
      <c r="B186" s="17">
        <v>250000</v>
      </c>
      <c r="C186" s="17">
        <f t="shared" si="40"/>
        <v>3125</v>
      </c>
      <c r="D186" s="18">
        <v>45692</v>
      </c>
      <c r="E186" s="16" t="s">
        <v>11</v>
      </c>
      <c r="F186" s="16" t="s">
        <v>12</v>
      </c>
      <c r="N186" s="16" t="s">
        <v>26</v>
      </c>
      <c r="O186" s="20">
        <v>43150</v>
      </c>
    </row>
    <row r="187" spans="1:17" ht="12.75">
      <c r="A187" s="16" t="s">
        <v>239</v>
      </c>
      <c r="B187" s="17">
        <v>930000</v>
      </c>
      <c r="C187" s="17">
        <f t="shared" si="40"/>
        <v>11625</v>
      </c>
      <c r="D187" s="18">
        <v>45692</v>
      </c>
      <c r="E187" s="16" t="s">
        <v>240</v>
      </c>
      <c r="F187" s="16" t="s">
        <v>12</v>
      </c>
      <c r="N187" s="16" t="s">
        <v>31</v>
      </c>
      <c r="O187" s="20">
        <v>11405</v>
      </c>
    </row>
    <row r="188" spans="1:17" ht="12.75">
      <c r="A188" s="16" t="s">
        <v>241</v>
      </c>
      <c r="B188" s="17">
        <v>200000</v>
      </c>
      <c r="C188" s="17">
        <f t="shared" ref="C188:C190" si="41">0.0175*B188</f>
        <v>3500.0000000000005</v>
      </c>
      <c r="D188" s="18">
        <v>45692</v>
      </c>
      <c r="E188" s="16" t="s">
        <v>11</v>
      </c>
      <c r="F188" s="16" t="s">
        <v>12</v>
      </c>
      <c r="N188" s="16" t="s">
        <v>242</v>
      </c>
      <c r="O188" s="20">
        <v>845</v>
      </c>
    </row>
    <row r="189" spans="1:17" ht="12.75">
      <c r="A189" s="16" t="s">
        <v>27</v>
      </c>
      <c r="B189" s="17">
        <v>10000</v>
      </c>
      <c r="C189" s="17">
        <f t="shared" si="41"/>
        <v>175.00000000000003</v>
      </c>
      <c r="D189" s="18">
        <v>45692</v>
      </c>
      <c r="E189" s="16" t="s">
        <v>15</v>
      </c>
      <c r="F189" s="16" t="s">
        <v>67</v>
      </c>
      <c r="H189" s="16" t="s">
        <v>29</v>
      </c>
      <c r="K189" s="16">
        <v>45</v>
      </c>
    </row>
    <row r="190" spans="1:17" ht="12.75">
      <c r="A190" s="16" t="s">
        <v>243</v>
      </c>
      <c r="B190" s="17">
        <v>70000</v>
      </c>
      <c r="C190" s="17">
        <f t="shared" si="41"/>
        <v>1225.0000000000002</v>
      </c>
      <c r="D190" s="18">
        <v>45692</v>
      </c>
      <c r="E190" s="16" t="s">
        <v>15</v>
      </c>
      <c r="F190" s="16" t="s">
        <v>28</v>
      </c>
      <c r="H190" s="16" t="s">
        <v>244</v>
      </c>
      <c r="K190" s="16">
        <v>385</v>
      </c>
      <c r="N190" s="19" t="s">
        <v>245</v>
      </c>
    </row>
    <row r="191" spans="1:17" ht="12.75">
      <c r="A191" s="16" t="s">
        <v>246</v>
      </c>
      <c r="B191" s="17">
        <v>33500</v>
      </c>
      <c r="C191" s="17">
        <f t="shared" ref="C191:C194" si="42">0.0125*B191</f>
        <v>418.75</v>
      </c>
      <c r="D191" s="18">
        <v>45692</v>
      </c>
      <c r="E191" s="16" t="s">
        <v>15</v>
      </c>
      <c r="F191" s="16" t="s">
        <v>12</v>
      </c>
      <c r="H191" s="16" t="s">
        <v>54</v>
      </c>
      <c r="K191" s="16">
        <v>201</v>
      </c>
      <c r="N191" s="16" t="s">
        <v>17</v>
      </c>
      <c r="O191" s="16">
        <v>11538.46</v>
      </c>
    </row>
    <row r="192" spans="1:17" ht="12.75">
      <c r="A192" s="16" t="s">
        <v>247</v>
      </c>
      <c r="B192" s="17">
        <v>30000</v>
      </c>
      <c r="C192" s="17">
        <f t="shared" si="42"/>
        <v>375</v>
      </c>
      <c r="D192" s="18">
        <v>45692</v>
      </c>
      <c r="E192" s="16" t="s">
        <v>24</v>
      </c>
      <c r="F192" s="16" t="s">
        <v>12</v>
      </c>
      <c r="H192" s="16" t="s">
        <v>25</v>
      </c>
      <c r="N192" s="16" t="s">
        <v>15</v>
      </c>
      <c r="O192" s="16">
        <v>31588</v>
      </c>
    </row>
    <row r="193" spans="1:15" ht="12.75">
      <c r="A193" s="16" t="s">
        <v>248</v>
      </c>
      <c r="B193" s="17">
        <v>70000</v>
      </c>
      <c r="C193" s="17">
        <f t="shared" si="42"/>
        <v>875</v>
      </c>
      <c r="D193" s="18">
        <v>45692</v>
      </c>
      <c r="E193" s="16" t="s">
        <v>15</v>
      </c>
      <c r="F193" s="16" t="s">
        <v>12</v>
      </c>
      <c r="H193" s="16" t="s">
        <v>51</v>
      </c>
      <c r="K193" s="16">
        <v>350</v>
      </c>
      <c r="N193" s="16" t="s">
        <v>242</v>
      </c>
      <c r="O193" s="16">
        <v>1690</v>
      </c>
    </row>
    <row r="194" spans="1:15" ht="12.75">
      <c r="A194" s="16" t="s">
        <v>249</v>
      </c>
      <c r="B194" s="17">
        <v>13000</v>
      </c>
      <c r="C194" s="17">
        <f t="shared" si="42"/>
        <v>162.5</v>
      </c>
      <c r="D194" s="18">
        <v>45692</v>
      </c>
      <c r="E194" s="16" t="s">
        <v>15</v>
      </c>
      <c r="F194" s="16" t="s">
        <v>12</v>
      </c>
      <c r="H194" s="16" t="s">
        <v>54</v>
      </c>
      <c r="K194" s="16">
        <v>78</v>
      </c>
    </row>
    <row r="195" spans="1:15" ht="12.75">
      <c r="A195" s="16" t="s">
        <v>250</v>
      </c>
      <c r="B195" s="17">
        <v>25000</v>
      </c>
      <c r="C195" s="17">
        <f t="shared" ref="C195:C198" si="43">0.0175*B195</f>
        <v>437.50000000000006</v>
      </c>
      <c r="D195" s="18">
        <v>45692</v>
      </c>
      <c r="E195" s="16" t="s">
        <v>147</v>
      </c>
      <c r="F195" s="16" t="s">
        <v>67</v>
      </c>
      <c r="I195" s="21" t="s">
        <v>30</v>
      </c>
    </row>
    <row r="196" spans="1:15" ht="12.75">
      <c r="A196" s="16" t="s">
        <v>251</v>
      </c>
      <c r="B196" s="17">
        <v>400000</v>
      </c>
      <c r="C196" s="17">
        <f t="shared" si="43"/>
        <v>7000.0000000000009</v>
      </c>
      <c r="D196" s="18">
        <v>45692</v>
      </c>
      <c r="E196" s="16" t="s">
        <v>15</v>
      </c>
      <c r="F196" s="16" t="s">
        <v>28</v>
      </c>
      <c r="H196" s="16" t="s">
        <v>98</v>
      </c>
      <c r="I196" s="21" t="s">
        <v>30</v>
      </c>
      <c r="K196" s="16">
        <v>1200</v>
      </c>
    </row>
    <row r="197" spans="1:15" ht="12.75">
      <c r="A197" s="16" t="s">
        <v>252</v>
      </c>
      <c r="B197" s="17">
        <v>35000</v>
      </c>
      <c r="C197" s="17">
        <f t="shared" si="43"/>
        <v>612.50000000000011</v>
      </c>
      <c r="D197" s="18">
        <v>45692</v>
      </c>
      <c r="E197" s="16" t="s">
        <v>21</v>
      </c>
      <c r="F197" s="16" t="s">
        <v>28</v>
      </c>
      <c r="H197" s="16" t="s">
        <v>13</v>
      </c>
      <c r="I197" s="21" t="s">
        <v>30</v>
      </c>
    </row>
    <row r="198" spans="1:15" ht="12.75">
      <c r="A198" s="16" t="s">
        <v>253</v>
      </c>
      <c r="B198" s="17">
        <v>75000</v>
      </c>
      <c r="C198" s="17">
        <f t="shared" si="43"/>
        <v>1312.5000000000002</v>
      </c>
      <c r="D198" s="18">
        <v>45692</v>
      </c>
      <c r="E198" s="16" t="s">
        <v>60</v>
      </c>
      <c r="F198" s="16" t="s">
        <v>28</v>
      </c>
      <c r="I198" s="21" t="s">
        <v>30</v>
      </c>
    </row>
    <row r="199" spans="1:15" ht="12.75">
      <c r="A199" s="16" t="s">
        <v>254</v>
      </c>
      <c r="B199" s="17">
        <v>27500</v>
      </c>
      <c r="C199" s="17">
        <f>0.0125*B199</f>
        <v>343.75</v>
      </c>
      <c r="D199" s="18">
        <v>45693</v>
      </c>
      <c r="E199" s="16" t="s">
        <v>40</v>
      </c>
      <c r="F199" s="16" t="s">
        <v>12</v>
      </c>
    </row>
    <row r="200" spans="1:15" ht="12.75">
      <c r="A200" s="16" t="s">
        <v>255</v>
      </c>
      <c r="B200" s="17">
        <v>250000</v>
      </c>
      <c r="C200" s="17">
        <f>0.0175*B200</f>
        <v>4375</v>
      </c>
      <c r="D200" s="18">
        <v>45693</v>
      </c>
      <c r="E200" s="16" t="s">
        <v>60</v>
      </c>
      <c r="F200" s="16" t="s">
        <v>28</v>
      </c>
      <c r="I200" s="21" t="s">
        <v>30</v>
      </c>
    </row>
    <row r="201" spans="1:15" ht="12.75">
      <c r="A201" s="16" t="s">
        <v>256</v>
      </c>
      <c r="B201" s="17">
        <v>195000</v>
      </c>
      <c r="C201" s="17">
        <f>0.0125*B201</f>
        <v>2437.5</v>
      </c>
      <c r="D201" s="18">
        <v>45693</v>
      </c>
      <c r="E201" s="16" t="s">
        <v>15</v>
      </c>
      <c r="F201" s="16" t="s">
        <v>12</v>
      </c>
      <c r="H201" s="16" t="s">
        <v>51</v>
      </c>
      <c r="K201" s="16">
        <v>975</v>
      </c>
    </row>
    <row r="202" spans="1:15" ht="12.75">
      <c r="A202" s="16" t="s">
        <v>257</v>
      </c>
      <c r="B202" s="17">
        <v>350000</v>
      </c>
      <c r="C202" s="17">
        <f>0.0175*B202</f>
        <v>6125.0000000000009</v>
      </c>
      <c r="D202" s="18">
        <v>45693</v>
      </c>
      <c r="E202" s="16" t="s">
        <v>15</v>
      </c>
      <c r="F202" s="16" t="s">
        <v>28</v>
      </c>
      <c r="H202" s="16" t="s">
        <v>35</v>
      </c>
      <c r="I202" s="21" t="s">
        <v>30</v>
      </c>
      <c r="K202" s="16">
        <v>700</v>
      </c>
    </row>
    <row r="203" spans="1:15" ht="12.75">
      <c r="A203" s="16" t="s">
        <v>258</v>
      </c>
      <c r="B203" s="17">
        <v>350000</v>
      </c>
      <c r="C203" s="17">
        <f t="shared" ref="C203:C204" si="44">0.0125*B203</f>
        <v>4375</v>
      </c>
      <c r="D203" s="18">
        <v>45693</v>
      </c>
      <c r="E203" s="16" t="s">
        <v>11</v>
      </c>
      <c r="F203" s="16" t="s">
        <v>12</v>
      </c>
    </row>
    <row r="204" spans="1:15" ht="12.75">
      <c r="A204" s="16" t="s">
        <v>259</v>
      </c>
      <c r="B204" s="17">
        <v>265000</v>
      </c>
      <c r="C204" s="17">
        <f t="shared" si="44"/>
        <v>3312.5</v>
      </c>
      <c r="D204" s="18">
        <v>45693</v>
      </c>
      <c r="E204" s="16" t="s">
        <v>11</v>
      </c>
      <c r="F204" s="16" t="s">
        <v>12</v>
      </c>
    </row>
    <row r="205" spans="1:15" ht="12.75">
      <c r="A205" s="16" t="s">
        <v>260</v>
      </c>
      <c r="B205" s="17">
        <v>75000</v>
      </c>
      <c r="C205" s="17">
        <f t="shared" ref="C205:C207" si="45">0.0175*B205</f>
        <v>1312.5000000000002</v>
      </c>
      <c r="D205" s="18">
        <v>45693</v>
      </c>
      <c r="E205" s="16" t="s">
        <v>15</v>
      </c>
      <c r="F205" s="16" t="s">
        <v>28</v>
      </c>
      <c r="H205" s="16" t="s">
        <v>54</v>
      </c>
      <c r="I205" s="21" t="s">
        <v>30</v>
      </c>
      <c r="K205" s="16">
        <v>450</v>
      </c>
    </row>
    <row r="206" spans="1:15" ht="12.75">
      <c r="A206" s="16" t="s">
        <v>261</v>
      </c>
      <c r="B206" s="17">
        <v>150000</v>
      </c>
      <c r="C206" s="17">
        <f t="shared" si="45"/>
        <v>2625.0000000000005</v>
      </c>
      <c r="D206" s="18">
        <v>45693</v>
      </c>
      <c r="E206" s="16" t="s">
        <v>11</v>
      </c>
      <c r="F206" s="16" t="s">
        <v>28</v>
      </c>
      <c r="I206" s="21" t="s">
        <v>30</v>
      </c>
    </row>
    <row r="207" spans="1:15" ht="12.75">
      <c r="A207" s="16" t="s">
        <v>262</v>
      </c>
      <c r="B207" s="17">
        <v>100000</v>
      </c>
      <c r="C207" s="17">
        <f t="shared" si="45"/>
        <v>1750.0000000000002</v>
      </c>
      <c r="D207" s="18">
        <v>45693</v>
      </c>
      <c r="E207" s="16" t="s">
        <v>11</v>
      </c>
      <c r="F207" s="16" t="s">
        <v>28</v>
      </c>
      <c r="I207" s="21" t="s">
        <v>30</v>
      </c>
    </row>
    <row r="208" spans="1:15" ht="12.75">
      <c r="A208" s="16" t="s">
        <v>55</v>
      </c>
      <c r="B208" s="17">
        <v>85000</v>
      </c>
      <c r="C208" s="17">
        <f>0.0125*B208</f>
        <v>1062.5</v>
      </c>
      <c r="D208" s="18">
        <v>45693</v>
      </c>
      <c r="E208" s="16" t="s">
        <v>40</v>
      </c>
      <c r="F208" s="16" t="s">
        <v>12</v>
      </c>
      <c r="H208" s="16" t="s">
        <v>54</v>
      </c>
      <c r="K208" s="16">
        <v>510</v>
      </c>
    </row>
    <row r="209" spans="1:11" ht="12.75">
      <c r="A209" s="16" t="s">
        <v>263</v>
      </c>
      <c r="B209" s="17">
        <v>15000</v>
      </c>
      <c r="C209" s="17">
        <f>0.0175*B209</f>
        <v>262.5</v>
      </c>
      <c r="D209" s="18">
        <v>45693</v>
      </c>
      <c r="E209" s="16" t="s">
        <v>11</v>
      </c>
      <c r="F209" s="16" t="s">
        <v>28</v>
      </c>
    </row>
    <row r="210" spans="1:11" ht="12.75">
      <c r="A210" s="16" t="s">
        <v>264</v>
      </c>
      <c r="B210" s="17">
        <v>425000</v>
      </c>
      <c r="C210" s="17">
        <f>0.0125*B210</f>
        <v>5312.5</v>
      </c>
      <c r="D210" s="18">
        <v>45694</v>
      </c>
      <c r="E210" s="16" t="s">
        <v>24</v>
      </c>
      <c r="F210" s="16" t="s">
        <v>12</v>
      </c>
      <c r="H210" s="16" t="s">
        <v>48</v>
      </c>
    </row>
    <row r="211" spans="1:11" ht="12.75">
      <c r="A211" s="16" t="s">
        <v>265</v>
      </c>
      <c r="B211" s="17">
        <v>250000</v>
      </c>
      <c r="C211" s="17">
        <f t="shared" ref="C211:C214" si="46">0.0175*B211</f>
        <v>4375</v>
      </c>
      <c r="D211" s="18">
        <v>45694</v>
      </c>
      <c r="E211" s="16" t="s">
        <v>15</v>
      </c>
      <c r="F211" s="16" t="s">
        <v>28</v>
      </c>
      <c r="H211" s="16" t="s">
        <v>172</v>
      </c>
      <c r="I211" s="21" t="s">
        <v>30</v>
      </c>
      <c r="K211" s="16">
        <v>375</v>
      </c>
    </row>
    <row r="212" spans="1:11" ht="12.75">
      <c r="A212" s="16" t="s">
        <v>266</v>
      </c>
      <c r="B212" s="17">
        <v>110000</v>
      </c>
      <c r="C212" s="17">
        <f t="shared" si="46"/>
        <v>1925.0000000000002</v>
      </c>
      <c r="D212" s="18">
        <v>45694</v>
      </c>
      <c r="E212" s="16" t="s">
        <v>118</v>
      </c>
      <c r="F212" s="16" t="s">
        <v>28</v>
      </c>
      <c r="H212" s="16" t="s">
        <v>13</v>
      </c>
      <c r="I212" s="21" t="s">
        <v>30</v>
      </c>
    </row>
    <row r="213" spans="1:11" ht="12.75">
      <c r="A213" s="16" t="s">
        <v>267</v>
      </c>
      <c r="B213" s="17">
        <v>400000</v>
      </c>
      <c r="C213" s="17">
        <f t="shared" si="46"/>
        <v>7000.0000000000009</v>
      </c>
      <c r="D213" s="18">
        <v>45694</v>
      </c>
      <c r="E213" s="16" t="s">
        <v>15</v>
      </c>
      <c r="F213" s="16" t="s">
        <v>28</v>
      </c>
      <c r="H213" s="16" t="s">
        <v>149</v>
      </c>
      <c r="I213" s="21" t="s">
        <v>30</v>
      </c>
      <c r="K213" s="16">
        <v>1000</v>
      </c>
    </row>
    <row r="214" spans="1:11" ht="12.75">
      <c r="A214" s="16" t="s">
        <v>268</v>
      </c>
      <c r="B214" s="17">
        <v>150000</v>
      </c>
      <c r="C214" s="17">
        <f t="shared" si="46"/>
        <v>2625.0000000000005</v>
      </c>
      <c r="D214" s="18">
        <v>45695</v>
      </c>
      <c r="E214" s="16" t="s">
        <v>60</v>
      </c>
      <c r="F214" s="16" t="s">
        <v>28</v>
      </c>
      <c r="I214" s="21" t="s">
        <v>30</v>
      </c>
    </row>
    <row r="215" spans="1:11" ht="12.75">
      <c r="A215" s="24" t="s">
        <v>269</v>
      </c>
      <c r="B215" s="25">
        <v>90000</v>
      </c>
      <c r="C215" s="25">
        <f t="shared" ref="C215:C216" si="47">0.0125*B215</f>
        <v>1125</v>
      </c>
      <c r="D215" s="18">
        <v>45695</v>
      </c>
      <c r="E215" s="24" t="s">
        <v>11</v>
      </c>
      <c r="F215" s="16" t="s">
        <v>12</v>
      </c>
    </row>
    <row r="216" spans="1:11" ht="12.75">
      <c r="A216" s="16" t="s">
        <v>270</v>
      </c>
      <c r="B216" s="17">
        <v>40000</v>
      </c>
      <c r="C216" s="17">
        <f t="shared" si="47"/>
        <v>500</v>
      </c>
      <c r="D216" s="18">
        <v>45695</v>
      </c>
      <c r="E216" s="16" t="s">
        <v>24</v>
      </c>
      <c r="F216" s="16" t="s">
        <v>12</v>
      </c>
      <c r="H216" s="16" t="s">
        <v>48</v>
      </c>
    </row>
    <row r="217" spans="1:11" ht="12.75">
      <c r="A217" s="16" t="s">
        <v>271</v>
      </c>
      <c r="B217" s="17">
        <v>250000</v>
      </c>
      <c r="C217" s="17">
        <f t="shared" ref="C217:C219" si="48">0.0175*B217</f>
        <v>4375</v>
      </c>
      <c r="D217" s="18">
        <v>45695</v>
      </c>
      <c r="E217" s="16" t="s">
        <v>15</v>
      </c>
      <c r="F217" s="16" t="s">
        <v>28</v>
      </c>
      <c r="H217" s="16" t="s">
        <v>54</v>
      </c>
      <c r="K217" s="16">
        <v>1500</v>
      </c>
    </row>
    <row r="218" spans="1:11" ht="12.75">
      <c r="A218" s="16" t="s">
        <v>272</v>
      </c>
      <c r="B218" s="17">
        <v>30000</v>
      </c>
      <c r="C218" s="17">
        <f t="shared" si="48"/>
        <v>525</v>
      </c>
      <c r="D218" s="18">
        <v>45695</v>
      </c>
      <c r="E218" s="24" t="s">
        <v>11</v>
      </c>
      <c r="F218" s="16" t="s">
        <v>28</v>
      </c>
      <c r="I218" s="21" t="s">
        <v>30</v>
      </c>
    </row>
    <row r="219" spans="1:11" ht="12.75">
      <c r="A219" s="16" t="s">
        <v>273</v>
      </c>
      <c r="B219" s="17">
        <v>300000</v>
      </c>
      <c r="C219" s="17">
        <f t="shared" si="48"/>
        <v>5250.0000000000009</v>
      </c>
      <c r="D219" s="18">
        <v>45695</v>
      </c>
      <c r="E219" s="24" t="s">
        <v>11</v>
      </c>
      <c r="F219" s="16" t="s">
        <v>67</v>
      </c>
      <c r="I219" s="21" t="s">
        <v>30</v>
      </c>
    </row>
    <row r="220" spans="1:11" ht="12.75">
      <c r="A220" s="16" t="s">
        <v>274</v>
      </c>
      <c r="B220" s="17">
        <v>60000</v>
      </c>
      <c r="C220" s="17">
        <f t="shared" ref="C220:C221" si="49">0.0125*B220</f>
        <v>750</v>
      </c>
      <c r="D220" s="18">
        <v>45695</v>
      </c>
      <c r="E220" s="24" t="s">
        <v>11</v>
      </c>
      <c r="F220" s="16" t="s">
        <v>144</v>
      </c>
    </row>
    <row r="221" spans="1:11" ht="12.75">
      <c r="A221" s="16" t="s">
        <v>275</v>
      </c>
      <c r="B221" s="17">
        <v>8000</v>
      </c>
      <c r="C221" s="17">
        <f t="shared" si="49"/>
        <v>100</v>
      </c>
      <c r="D221" s="18">
        <v>45698</v>
      </c>
      <c r="E221" s="16" t="s">
        <v>15</v>
      </c>
      <c r="F221" s="16" t="s">
        <v>144</v>
      </c>
      <c r="H221" s="16" t="s">
        <v>54</v>
      </c>
      <c r="K221" s="16">
        <v>48</v>
      </c>
    </row>
    <row r="222" spans="1:11" ht="12.75">
      <c r="A222" s="16" t="s">
        <v>276</v>
      </c>
      <c r="B222" s="17">
        <v>130000</v>
      </c>
      <c r="C222" s="17">
        <f>0.0175*B222</f>
        <v>2275</v>
      </c>
      <c r="D222" s="18">
        <v>45698</v>
      </c>
      <c r="E222" s="16" t="s">
        <v>118</v>
      </c>
      <c r="F222" s="16" t="s">
        <v>28</v>
      </c>
      <c r="H222" s="16" t="s">
        <v>13</v>
      </c>
      <c r="I222" s="21" t="s">
        <v>30</v>
      </c>
    </row>
    <row r="223" spans="1:11" ht="12.75">
      <c r="A223" s="16" t="s">
        <v>277</v>
      </c>
      <c r="B223" s="17">
        <v>700000</v>
      </c>
      <c r="C223" s="17">
        <f t="shared" ref="C223:C225" si="50">0.0125*B223</f>
        <v>8750</v>
      </c>
      <c r="D223" s="18">
        <v>45698</v>
      </c>
      <c r="E223" s="16" t="s">
        <v>15</v>
      </c>
      <c r="F223" s="16" t="s">
        <v>12</v>
      </c>
      <c r="H223" s="16" t="s">
        <v>98</v>
      </c>
      <c r="K223" s="16">
        <v>2100</v>
      </c>
    </row>
    <row r="224" spans="1:11" ht="12.75">
      <c r="A224" s="16" t="s">
        <v>86</v>
      </c>
      <c r="B224" s="17">
        <v>200000</v>
      </c>
      <c r="C224" s="17">
        <f t="shared" si="50"/>
        <v>2500</v>
      </c>
      <c r="D224" s="18">
        <v>45698</v>
      </c>
      <c r="E224" s="16" t="s">
        <v>11</v>
      </c>
      <c r="F224" s="16" t="s">
        <v>12</v>
      </c>
    </row>
    <row r="225" spans="1:11" ht="12.75">
      <c r="A225" s="16" t="s">
        <v>137</v>
      </c>
      <c r="B225" s="17">
        <v>60000</v>
      </c>
      <c r="C225" s="17">
        <f t="shared" si="50"/>
        <v>750</v>
      </c>
      <c r="D225" s="18">
        <v>45698</v>
      </c>
      <c r="E225" s="16" t="s">
        <v>15</v>
      </c>
      <c r="F225" s="16" t="s">
        <v>144</v>
      </c>
      <c r="H225" s="16" t="s">
        <v>54</v>
      </c>
      <c r="K225" s="16">
        <v>360</v>
      </c>
    </row>
    <row r="226" spans="1:11" ht="12.75">
      <c r="A226" s="16" t="s">
        <v>278</v>
      </c>
      <c r="B226" s="17">
        <v>1000000</v>
      </c>
      <c r="C226" s="17">
        <f>0.0175*B226</f>
        <v>17500</v>
      </c>
      <c r="D226" s="18">
        <v>45699</v>
      </c>
      <c r="E226" s="16" t="s">
        <v>279</v>
      </c>
      <c r="F226" s="16" t="s">
        <v>28</v>
      </c>
      <c r="H226" s="16" t="s">
        <v>13</v>
      </c>
      <c r="I226" s="21" t="s">
        <v>30</v>
      </c>
    </row>
    <row r="227" spans="1:11" ht="12.75">
      <c r="A227" s="16" t="s">
        <v>280</v>
      </c>
      <c r="B227" s="17">
        <v>105000</v>
      </c>
      <c r="C227" s="17">
        <f>0.0125*B227</f>
        <v>1312.5</v>
      </c>
      <c r="D227" s="18">
        <v>45699</v>
      </c>
      <c r="E227" s="16" t="s">
        <v>281</v>
      </c>
      <c r="F227" s="16" t="s">
        <v>12</v>
      </c>
      <c r="H227" s="16" t="s">
        <v>282</v>
      </c>
      <c r="K227" s="16">
        <v>105</v>
      </c>
    </row>
    <row r="228" spans="1:11" ht="12.75">
      <c r="A228" s="16" t="s">
        <v>283</v>
      </c>
      <c r="B228" s="17">
        <v>900000</v>
      </c>
      <c r="C228" s="17">
        <f t="shared" ref="C228:C231" si="51">0.0175*B228</f>
        <v>15750.000000000002</v>
      </c>
      <c r="D228" s="18">
        <v>45699</v>
      </c>
      <c r="E228" s="16" t="s">
        <v>15</v>
      </c>
      <c r="F228" s="16" t="s">
        <v>28</v>
      </c>
      <c r="H228" s="16" t="s">
        <v>35</v>
      </c>
      <c r="I228" s="21" t="s">
        <v>30</v>
      </c>
      <c r="K228" s="16">
        <v>1800</v>
      </c>
    </row>
    <row r="229" spans="1:11" ht="12.75">
      <c r="A229" s="16" t="s">
        <v>284</v>
      </c>
      <c r="B229" s="17">
        <v>400000</v>
      </c>
      <c r="C229" s="17">
        <f t="shared" si="51"/>
        <v>7000.0000000000009</v>
      </c>
      <c r="D229" s="18">
        <v>45699</v>
      </c>
      <c r="E229" s="16" t="s">
        <v>118</v>
      </c>
      <c r="F229" s="16" t="s">
        <v>28</v>
      </c>
      <c r="H229" s="16" t="s">
        <v>13</v>
      </c>
      <c r="I229" s="21" t="s">
        <v>30</v>
      </c>
    </row>
    <row r="230" spans="1:11" ht="12.75">
      <c r="A230" s="16" t="s">
        <v>285</v>
      </c>
      <c r="B230" s="17">
        <v>75000</v>
      </c>
      <c r="C230" s="17">
        <f t="shared" si="51"/>
        <v>1312.5000000000002</v>
      </c>
      <c r="D230" s="18">
        <v>45699</v>
      </c>
      <c r="E230" s="16" t="s">
        <v>118</v>
      </c>
      <c r="F230" s="16" t="s">
        <v>28</v>
      </c>
      <c r="H230" s="16" t="s">
        <v>13</v>
      </c>
      <c r="I230" s="21" t="s">
        <v>30</v>
      </c>
    </row>
    <row r="231" spans="1:11" ht="12.75">
      <c r="A231" s="16" t="s">
        <v>286</v>
      </c>
      <c r="B231" s="17">
        <v>30000</v>
      </c>
      <c r="C231" s="17">
        <f t="shared" si="51"/>
        <v>525</v>
      </c>
      <c r="D231" s="18">
        <v>45699</v>
      </c>
      <c r="E231" s="16" t="s">
        <v>11</v>
      </c>
      <c r="F231" s="16" t="s">
        <v>28</v>
      </c>
      <c r="I231" s="21" t="s">
        <v>30</v>
      </c>
    </row>
    <row r="232" spans="1:11" ht="12.75">
      <c r="A232" s="16" t="s">
        <v>287</v>
      </c>
      <c r="B232" s="17">
        <v>400000</v>
      </c>
      <c r="C232" s="17">
        <f>0.0125*B232</f>
        <v>5000</v>
      </c>
      <c r="D232" s="18">
        <v>45700</v>
      </c>
      <c r="E232" s="16" t="s">
        <v>11</v>
      </c>
      <c r="F232" s="16" t="s">
        <v>12</v>
      </c>
    </row>
    <row r="233" spans="1:11" ht="12.75">
      <c r="A233" s="16" t="s">
        <v>288</v>
      </c>
      <c r="B233" s="17">
        <v>1000000</v>
      </c>
      <c r="C233" s="17">
        <f t="shared" ref="C233:C240" si="52">0.0175*B233</f>
        <v>17500</v>
      </c>
      <c r="D233" s="18">
        <v>45700</v>
      </c>
      <c r="E233" s="16" t="s">
        <v>289</v>
      </c>
      <c r="F233" s="16" t="s">
        <v>28</v>
      </c>
      <c r="H233" s="16" t="s">
        <v>58</v>
      </c>
      <c r="I233" s="21" t="s">
        <v>30</v>
      </c>
    </row>
    <row r="234" spans="1:11" ht="12.75">
      <c r="A234" s="16" t="s">
        <v>290</v>
      </c>
      <c r="B234" s="17">
        <v>100000</v>
      </c>
      <c r="C234" s="17">
        <f t="shared" si="52"/>
        <v>1750.0000000000002</v>
      </c>
      <c r="D234" s="18">
        <v>45700</v>
      </c>
      <c r="E234" s="16" t="s">
        <v>15</v>
      </c>
      <c r="F234" s="16" t="s">
        <v>28</v>
      </c>
      <c r="H234" s="16" t="s">
        <v>16</v>
      </c>
      <c r="I234" s="21" t="s">
        <v>30</v>
      </c>
      <c r="K234" s="16">
        <v>400</v>
      </c>
    </row>
    <row r="235" spans="1:11" ht="12.75">
      <c r="A235" s="16" t="s">
        <v>291</v>
      </c>
      <c r="B235" s="17">
        <v>115000</v>
      </c>
      <c r="C235" s="17">
        <f t="shared" si="52"/>
        <v>2012.5000000000002</v>
      </c>
      <c r="D235" s="18">
        <v>45700</v>
      </c>
      <c r="E235" s="16" t="s">
        <v>24</v>
      </c>
      <c r="F235" s="16" t="s">
        <v>28</v>
      </c>
      <c r="H235" s="16" t="s">
        <v>58</v>
      </c>
      <c r="I235" s="21" t="s">
        <v>30</v>
      </c>
    </row>
    <row r="236" spans="1:11" ht="12.75">
      <c r="A236" s="16" t="s">
        <v>292</v>
      </c>
      <c r="B236" s="17">
        <v>360000</v>
      </c>
      <c r="C236" s="17">
        <f t="shared" si="52"/>
        <v>6300.0000000000009</v>
      </c>
      <c r="D236" s="18">
        <v>45700</v>
      </c>
      <c r="E236" s="16" t="s">
        <v>11</v>
      </c>
      <c r="F236" s="16" t="s">
        <v>28</v>
      </c>
      <c r="I236" s="21" t="s">
        <v>30</v>
      </c>
    </row>
    <row r="237" spans="1:11" ht="12.75">
      <c r="A237" s="16" t="s">
        <v>293</v>
      </c>
      <c r="B237" s="17">
        <v>35000</v>
      </c>
      <c r="C237" s="17">
        <f t="shared" si="52"/>
        <v>612.50000000000011</v>
      </c>
      <c r="D237" s="18">
        <v>45700</v>
      </c>
      <c r="E237" s="16" t="s">
        <v>11</v>
      </c>
      <c r="F237" s="16" t="s">
        <v>28</v>
      </c>
      <c r="I237" s="21" t="s">
        <v>30</v>
      </c>
    </row>
    <row r="238" spans="1:11" ht="12.75">
      <c r="A238" s="16" t="s">
        <v>294</v>
      </c>
      <c r="B238" s="17">
        <v>400000</v>
      </c>
      <c r="C238" s="17">
        <f t="shared" si="52"/>
        <v>7000.0000000000009</v>
      </c>
      <c r="D238" s="18">
        <v>45701</v>
      </c>
      <c r="E238" s="16" t="s">
        <v>295</v>
      </c>
      <c r="F238" s="16" t="s">
        <v>41</v>
      </c>
      <c r="H238" s="16" t="s">
        <v>296</v>
      </c>
    </row>
    <row r="239" spans="1:11" ht="12.75">
      <c r="A239" s="16" t="s">
        <v>297</v>
      </c>
      <c r="B239" s="17">
        <v>105000</v>
      </c>
      <c r="C239" s="17">
        <f t="shared" si="52"/>
        <v>1837.5000000000002</v>
      </c>
      <c r="D239" s="18">
        <v>45701</v>
      </c>
      <c r="E239" s="16" t="s">
        <v>60</v>
      </c>
      <c r="F239" s="16" t="s">
        <v>41</v>
      </c>
    </row>
    <row r="240" spans="1:11" ht="12.75">
      <c r="A240" s="16" t="s">
        <v>298</v>
      </c>
      <c r="B240" s="17">
        <v>40000</v>
      </c>
      <c r="C240" s="17">
        <f t="shared" si="52"/>
        <v>700.00000000000011</v>
      </c>
      <c r="D240" s="18">
        <v>45701</v>
      </c>
      <c r="E240" s="16" t="s">
        <v>15</v>
      </c>
      <c r="F240" s="16" t="s">
        <v>28</v>
      </c>
      <c r="H240" s="16" t="s">
        <v>51</v>
      </c>
      <c r="I240" s="21" t="s">
        <v>30</v>
      </c>
      <c r="K240" s="16">
        <v>200</v>
      </c>
    </row>
    <row r="241" spans="1:11" ht="12.75">
      <c r="A241" s="16" t="s">
        <v>299</v>
      </c>
      <c r="B241" s="17">
        <v>150000</v>
      </c>
      <c r="C241" s="17">
        <f t="shared" ref="C241:C242" si="53">0.0125*B241</f>
        <v>1875</v>
      </c>
      <c r="D241" s="18">
        <v>45701</v>
      </c>
      <c r="E241" s="16" t="s">
        <v>11</v>
      </c>
      <c r="F241" s="16" t="s">
        <v>12</v>
      </c>
    </row>
    <row r="242" spans="1:11" ht="12.75">
      <c r="A242" s="16" t="s">
        <v>300</v>
      </c>
      <c r="B242" s="17">
        <v>20000</v>
      </c>
      <c r="C242" s="17">
        <f t="shared" si="53"/>
        <v>250</v>
      </c>
      <c r="D242" s="18">
        <v>45701</v>
      </c>
      <c r="E242" s="16" t="s">
        <v>11</v>
      </c>
      <c r="F242" s="16" t="s">
        <v>12</v>
      </c>
    </row>
    <row r="243" spans="1:11" ht="12.75">
      <c r="A243" s="16" t="s">
        <v>301</v>
      </c>
      <c r="B243" s="17">
        <v>200000</v>
      </c>
      <c r="C243" s="17">
        <f t="shared" ref="C243:C244" si="54">0.0175*B243</f>
        <v>3500.0000000000005</v>
      </c>
      <c r="D243" s="18">
        <v>45701</v>
      </c>
      <c r="E243" s="16" t="s">
        <v>118</v>
      </c>
      <c r="F243" s="16" t="s">
        <v>28</v>
      </c>
      <c r="H243" s="16" t="s">
        <v>13</v>
      </c>
      <c r="I243" s="21" t="s">
        <v>30</v>
      </c>
    </row>
    <row r="244" spans="1:11" ht="12.75">
      <c r="A244" s="16" t="s">
        <v>302</v>
      </c>
      <c r="B244" s="17">
        <v>1000000</v>
      </c>
      <c r="C244" s="17">
        <f t="shared" si="54"/>
        <v>17500</v>
      </c>
      <c r="D244" s="18">
        <v>45701</v>
      </c>
      <c r="E244" s="16" t="s">
        <v>24</v>
      </c>
      <c r="F244" s="16" t="s">
        <v>28</v>
      </c>
      <c r="H244" s="16" t="s">
        <v>58</v>
      </c>
      <c r="I244" s="21" t="s">
        <v>30</v>
      </c>
    </row>
    <row r="245" spans="1:11" ht="12.75">
      <c r="A245" s="16" t="s">
        <v>303</v>
      </c>
      <c r="B245" s="17">
        <v>40000</v>
      </c>
      <c r="C245" s="17">
        <f t="shared" ref="C245:C246" si="55">0.0125*B245</f>
        <v>500</v>
      </c>
      <c r="D245" s="18">
        <v>45701</v>
      </c>
      <c r="E245" s="16" t="s">
        <v>15</v>
      </c>
      <c r="F245" s="16" t="s">
        <v>28</v>
      </c>
      <c r="H245" s="16" t="s">
        <v>51</v>
      </c>
      <c r="I245" s="21" t="s">
        <v>30</v>
      </c>
      <c r="K245" s="16">
        <v>200</v>
      </c>
    </row>
    <row r="246" spans="1:11" ht="12.75">
      <c r="A246" s="16" t="s">
        <v>304</v>
      </c>
      <c r="B246" s="17">
        <v>475000</v>
      </c>
      <c r="C246" s="17">
        <f t="shared" si="55"/>
        <v>5937.5</v>
      </c>
      <c r="D246" s="18">
        <v>45701</v>
      </c>
      <c r="E246" s="16" t="s">
        <v>15</v>
      </c>
      <c r="F246" s="16" t="s">
        <v>12</v>
      </c>
      <c r="H246" s="16" t="s">
        <v>98</v>
      </c>
      <c r="K246" s="16">
        <v>1425</v>
      </c>
    </row>
    <row r="247" spans="1:11" ht="12.75">
      <c r="A247" s="16" t="s">
        <v>305</v>
      </c>
      <c r="B247" s="17">
        <v>75000</v>
      </c>
      <c r="C247" s="17">
        <f t="shared" ref="C247:C248" si="56">0.0175*B247</f>
        <v>1312.5000000000002</v>
      </c>
      <c r="D247" s="18">
        <v>45701</v>
      </c>
      <c r="E247" s="16" t="s">
        <v>60</v>
      </c>
      <c r="F247" s="16" t="s">
        <v>28</v>
      </c>
      <c r="I247" s="21" t="s">
        <v>30</v>
      </c>
    </row>
    <row r="248" spans="1:11" ht="12.75">
      <c r="A248" s="16" t="s">
        <v>306</v>
      </c>
      <c r="B248" s="17">
        <v>50000</v>
      </c>
      <c r="C248" s="17">
        <f t="shared" si="56"/>
        <v>875.00000000000011</v>
      </c>
      <c r="D248" s="18">
        <v>45701</v>
      </c>
      <c r="E248" s="16" t="s">
        <v>92</v>
      </c>
      <c r="F248" s="16" t="s">
        <v>28</v>
      </c>
      <c r="I248" s="21" t="s">
        <v>30</v>
      </c>
    </row>
    <row r="249" spans="1:11" ht="12.75">
      <c r="A249" s="16" t="s">
        <v>307</v>
      </c>
      <c r="B249" s="17">
        <v>420000</v>
      </c>
      <c r="C249" s="17">
        <f>0.0125*B249</f>
        <v>5250</v>
      </c>
      <c r="D249" s="18">
        <v>45701</v>
      </c>
      <c r="E249" s="16" t="s">
        <v>60</v>
      </c>
      <c r="F249" s="16" t="s">
        <v>12</v>
      </c>
    </row>
    <row r="250" spans="1:11" ht="12.75">
      <c r="A250" s="16" t="s">
        <v>308</v>
      </c>
      <c r="B250" s="17">
        <v>400000</v>
      </c>
      <c r="C250" s="17">
        <f t="shared" ref="C250:C252" si="57">0.0175*B250</f>
        <v>7000.0000000000009</v>
      </c>
      <c r="D250" s="18">
        <v>45701</v>
      </c>
      <c r="E250" s="16" t="s">
        <v>15</v>
      </c>
      <c r="F250" s="16" t="s">
        <v>41</v>
      </c>
      <c r="H250" s="16" t="s">
        <v>172</v>
      </c>
      <c r="K250" s="16">
        <v>600</v>
      </c>
    </row>
    <row r="251" spans="1:11" ht="12.75">
      <c r="A251" s="16" t="s">
        <v>309</v>
      </c>
      <c r="B251" s="17">
        <v>20000</v>
      </c>
      <c r="C251" s="17">
        <f t="shared" si="57"/>
        <v>350.00000000000006</v>
      </c>
      <c r="D251" s="18">
        <v>45701</v>
      </c>
      <c r="E251" s="16" t="s">
        <v>60</v>
      </c>
      <c r="F251" s="16" t="s">
        <v>28</v>
      </c>
      <c r="I251" s="21" t="s">
        <v>30</v>
      </c>
    </row>
    <row r="252" spans="1:11" ht="12.75">
      <c r="A252" s="16" t="s">
        <v>310</v>
      </c>
      <c r="B252" s="17">
        <v>500000</v>
      </c>
      <c r="C252" s="17">
        <f t="shared" si="57"/>
        <v>8750</v>
      </c>
      <c r="D252" s="18">
        <v>45701</v>
      </c>
      <c r="E252" s="16" t="s">
        <v>11</v>
      </c>
      <c r="F252" s="16" t="s">
        <v>28</v>
      </c>
      <c r="I252" s="21" t="s">
        <v>30</v>
      </c>
    </row>
    <row r="253" spans="1:11" ht="12.75">
      <c r="A253" s="16" t="s">
        <v>227</v>
      </c>
      <c r="B253" s="17">
        <v>75000</v>
      </c>
      <c r="C253" s="17">
        <f t="shared" ref="C253:C254" si="58">0.0125*B253</f>
        <v>937.5</v>
      </c>
      <c r="D253" s="18">
        <v>45701</v>
      </c>
      <c r="E253" s="16" t="s">
        <v>75</v>
      </c>
      <c r="F253" s="16" t="s">
        <v>12</v>
      </c>
    </row>
    <row r="254" spans="1:11" ht="12.75">
      <c r="A254" s="16" t="s">
        <v>311</v>
      </c>
      <c r="B254" s="17">
        <v>200000</v>
      </c>
      <c r="C254" s="17">
        <f t="shared" si="58"/>
        <v>2500</v>
      </c>
      <c r="D254" s="18">
        <v>45701</v>
      </c>
      <c r="E254" s="16" t="s">
        <v>75</v>
      </c>
      <c r="F254" s="16" t="s">
        <v>12</v>
      </c>
    </row>
    <row r="255" spans="1:11" ht="12.75">
      <c r="A255" s="16" t="s">
        <v>312</v>
      </c>
      <c r="B255" s="17">
        <v>120000</v>
      </c>
      <c r="C255" s="17">
        <f>0.0175*B255</f>
        <v>2100</v>
      </c>
      <c r="D255" s="18">
        <v>45454</v>
      </c>
      <c r="E255" s="16" t="s">
        <v>75</v>
      </c>
      <c r="F255" s="16" t="s">
        <v>28</v>
      </c>
      <c r="H255" s="19" t="s">
        <v>313</v>
      </c>
      <c r="I255" s="21" t="s">
        <v>30</v>
      </c>
    </row>
    <row r="256" spans="1:11" ht="12.75">
      <c r="A256" s="16" t="s">
        <v>314</v>
      </c>
      <c r="B256" s="17">
        <v>42500</v>
      </c>
      <c r="C256" s="17">
        <f t="shared" ref="C256:C257" si="59">0.0125*B256</f>
        <v>531.25</v>
      </c>
      <c r="D256" s="18">
        <v>45414</v>
      </c>
      <c r="E256" s="16" t="s">
        <v>60</v>
      </c>
      <c r="F256" s="16" t="s">
        <v>12</v>
      </c>
      <c r="H256" s="19" t="s">
        <v>315</v>
      </c>
    </row>
    <row r="257" spans="1:11" ht="12.75">
      <c r="A257" s="16" t="s">
        <v>314</v>
      </c>
      <c r="B257" s="17">
        <v>50000</v>
      </c>
      <c r="C257" s="17">
        <f t="shared" si="59"/>
        <v>625</v>
      </c>
      <c r="D257" s="18">
        <v>45706</v>
      </c>
      <c r="E257" s="16" t="s">
        <v>60</v>
      </c>
      <c r="F257" s="16" t="s">
        <v>12</v>
      </c>
    </row>
    <row r="258" spans="1:11" ht="12.75">
      <c r="A258" s="16" t="s">
        <v>316</v>
      </c>
      <c r="B258" s="17">
        <v>200000</v>
      </c>
      <c r="C258" s="17">
        <f>0.0175*B258</f>
        <v>3500.0000000000005</v>
      </c>
      <c r="D258" s="18">
        <v>45706</v>
      </c>
      <c r="E258" s="16" t="s">
        <v>73</v>
      </c>
      <c r="F258" s="16" t="s">
        <v>28</v>
      </c>
      <c r="I258" s="21" t="s">
        <v>30</v>
      </c>
    </row>
    <row r="259" spans="1:11" ht="12.75">
      <c r="A259" s="16" t="s">
        <v>317</v>
      </c>
      <c r="B259" s="17">
        <v>75000</v>
      </c>
      <c r="C259" s="17">
        <f t="shared" ref="C259:C260" si="60">0.0125*B259</f>
        <v>937.5</v>
      </c>
      <c r="D259" s="18">
        <v>45706</v>
      </c>
      <c r="E259" s="16" t="s">
        <v>11</v>
      </c>
      <c r="F259" s="16" t="s">
        <v>12</v>
      </c>
    </row>
    <row r="260" spans="1:11" ht="12.75">
      <c r="A260" s="16" t="s">
        <v>318</v>
      </c>
      <c r="B260" s="17">
        <v>50000</v>
      </c>
      <c r="C260" s="17">
        <f t="shared" si="60"/>
        <v>625</v>
      </c>
      <c r="D260" s="18">
        <v>45706</v>
      </c>
      <c r="E260" s="16" t="s">
        <v>11</v>
      </c>
      <c r="F260" s="16" t="s">
        <v>12</v>
      </c>
    </row>
    <row r="261" spans="1:11" ht="12.75">
      <c r="A261" s="16" t="s">
        <v>319</v>
      </c>
      <c r="B261" s="17">
        <v>75000</v>
      </c>
      <c r="C261" s="17">
        <f t="shared" ref="C261:C269" si="61">0.0175*B261</f>
        <v>1312.5000000000002</v>
      </c>
      <c r="D261" s="18">
        <v>45706</v>
      </c>
      <c r="E261" s="16" t="s">
        <v>21</v>
      </c>
      <c r="F261" s="16" t="s">
        <v>67</v>
      </c>
      <c r="H261" s="16" t="s">
        <v>13</v>
      </c>
    </row>
    <row r="262" spans="1:11" ht="12.75">
      <c r="A262" s="16" t="s">
        <v>320</v>
      </c>
      <c r="B262" s="17">
        <v>200000</v>
      </c>
      <c r="C262" s="17">
        <f t="shared" si="61"/>
        <v>3500.0000000000005</v>
      </c>
      <c r="D262" s="18">
        <v>45706</v>
      </c>
      <c r="E262" s="16" t="s">
        <v>11</v>
      </c>
      <c r="F262" s="16" t="s">
        <v>28</v>
      </c>
    </row>
    <row r="263" spans="1:11" ht="12.75">
      <c r="A263" s="16" t="s">
        <v>321</v>
      </c>
      <c r="B263" s="17">
        <v>65000</v>
      </c>
      <c r="C263" s="17">
        <f t="shared" si="61"/>
        <v>1137.5</v>
      </c>
      <c r="D263" s="18">
        <v>45706</v>
      </c>
      <c r="E263" s="16" t="s">
        <v>11</v>
      </c>
      <c r="F263" s="16" t="s">
        <v>28</v>
      </c>
      <c r="I263" s="21" t="s">
        <v>30</v>
      </c>
    </row>
    <row r="264" spans="1:11" ht="12.75">
      <c r="A264" s="16" t="s">
        <v>322</v>
      </c>
      <c r="B264" s="17">
        <v>275000</v>
      </c>
      <c r="C264" s="17">
        <f t="shared" si="61"/>
        <v>4812.5000000000009</v>
      </c>
      <c r="D264" s="18">
        <v>45706</v>
      </c>
      <c r="E264" s="16" t="s">
        <v>60</v>
      </c>
      <c r="F264" s="16" t="s">
        <v>41</v>
      </c>
      <c r="I264" s="21" t="s">
        <v>30</v>
      </c>
    </row>
    <row r="265" spans="1:11" ht="12.75">
      <c r="A265" s="16" t="s">
        <v>323</v>
      </c>
      <c r="B265" s="17">
        <v>100000</v>
      </c>
      <c r="C265" s="17">
        <f t="shared" si="61"/>
        <v>1750.0000000000002</v>
      </c>
      <c r="D265" s="18">
        <v>45706</v>
      </c>
      <c r="E265" s="16" t="s">
        <v>60</v>
      </c>
      <c r="F265" s="16" t="s">
        <v>28</v>
      </c>
      <c r="I265" s="21" t="s">
        <v>30</v>
      </c>
    </row>
    <row r="266" spans="1:11" ht="12.75">
      <c r="A266" s="16" t="s">
        <v>324</v>
      </c>
      <c r="B266" s="17">
        <v>75000</v>
      </c>
      <c r="C266" s="17">
        <f t="shared" si="61"/>
        <v>1312.5000000000002</v>
      </c>
      <c r="D266" s="18">
        <v>45706</v>
      </c>
      <c r="E266" s="16" t="s">
        <v>15</v>
      </c>
      <c r="F266" s="16" t="s">
        <v>144</v>
      </c>
      <c r="H266" s="16" t="s">
        <v>35</v>
      </c>
      <c r="I266" s="21" t="s">
        <v>30</v>
      </c>
      <c r="K266" s="16">
        <v>150</v>
      </c>
    </row>
    <row r="267" spans="1:11" ht="12.75">
      <c r="A267" s="16" t="s">
        <v>325</v>
      </c>
      <c r="B267" s="17">
        <v>50000</v>
      </c>
      <c r="C267" s="17">
        <f t="shared" si="61"/>
        <v>875.00000000000011</v>
      </c>
      <c r="D267" s="18">
        <v>45706</v>
      </c>
      <c r="E267" s="16" t="s">
        <v>11</v>
      </c>
      <c r="F267" s="16" t="s">
        <v>41</v>
      </c>
    </row>
    <row r="268" spans="1:11" ht="12.75">
      <c r="A268" s="16" t="s">
        <v>326</v>
      </c>
      <c r="B268" s="17">
        <v>200000</v>
      </c>
      <c r="C268" s="17">
        <f t="shared" si="61"/>
        <v>3500.0000000000005</v>
      </c>
      <c r="D268" s="18">
        <v>45706</v>
      </c>
      <c r="E268" s="16" t="s">
        <v>60</v>
      </c>
      <c r="F268" s="16" t="s">
        <v>28</v>
      </c>
      <c r="I268" s="21" t="s">
        <v>30</v>
      </c>
    </row>
    <row r="269" spans="1:11" ht="12.75">
      <c r="A269" s="16" t="s">
        <v>327</v>
      </c>
      <c r="B269" s="17">
        <v>12000</v>
      </c>
      <c r="C269" s="17">
        <f t="shared" si="61"/>
        <v>210.00000000000003</v>
      </c>
      <c r="D269" s="18">
        <v>45706</v>
      </c>
      <c r="E269" s="16" t="s">
        <v>15</v>
      </c>
      <c r="F269" s="16" t="s">
        <v>28</v>
      </c>
      <c r="H269" s="16" t="s">
        <v>54</v>
      </c>
      <c r="K269" s="16">
        <v>72</v>
      </c>
    </row>
    <row r="270" spans="1:11" ht="12.75">
      <c r="A270" s="16" t="s">
        <v>86</v>
      </c>
      <c r="B270" s="17">
        <v>150000</v>
      </c>
      <c r="C270" s="17">
        <f>0.0125*B270</f>
        <v>1875</v>
      </c>
      <c r="D270" s="18">
        <v>45707</v>
      </c>
      <c r="E270" s="16" t="s">
        <v>11</v>
      </c>
      <c r="F270" s="16" t="s">
        <v>12</v>
      </c>
    </row>
    <row r="271" spans="1:11" ht="12.75">
      <c r="A271" s="16" t="s">
        <v>328</v>
      </c>
      <c r="B271" s="17">
        <v>90000</v>
      </c>
      <c r="C271" s="17">
        <f t="shared" ref="C271:C272" si="62">0.0175*B271</f>
        <v>1575.0000000000002</v>
      </c>
      <c r="D271" s="18">
        <v>45707</v>
      </c>
      <c r="E271" s="16" t="s">
        <v>24</v>
      </c>
      <c r="F271" s="16" t="s">
        <v>28</v>
      </c>
      <c r="H271" s="16" t="s">
        <v>58</v>
      </c>
      <c r="I271" s="21" t="s">
        <v>30</v>
      </c>
    </row>
    <row r="272" spans="1:11" ht="12.75">
      <c r="A272" s="16" t="s">
        <v>329</v>
      </c>
      <c r="B272" s="17">
        <v>15000</v>
      </c>
      <c r="C272" s="17">
        <f t="shared" si="62"/>
        <v>262.5</v>
      </c>
      <c r="D272" s="18">
        <v>45707</v>
      </c>
      <c r="E272" s="16" t="s">
        <v>15</v>
      </c>
      <c r="F272" s="16" t="s">
        <v>28</v>
      </c>
      <c r="H272" s="16" t="s">
        <v>51</v>
      </c>
      <c r="I272" s="21" t="s">
        <v>30</v>
      </c>
      <c r="K272" s="16">
        <v>75</v>
      </c>
    </row>
    <row r="273" spans="1:11" ht="12.75">
      <c r="A273" s="16" t="s">
        <v>330</v>
      </c>
      <c r="B273" s="17">
        <v>750000</v>
      </c>
      <c r="C273" s="17">
        <f>0.0125*B273</f>
        <v>9375</v>
      </c>
      <c r="D273" s="18">
        <v>45707</v>
      </c>
      <c r="E273" s="16" t="s">
        <v>21</v>
      </c>
      <c r="F273" s="16" t="s">
        <v>12</v>
      </c>
      <c r="H273" s="16" t="s">
        <v>22</v>
      </c>
    </row>
    <row r="274" spans="1:11" ht="12.75">
      <c r="A274" s="16" t="s">
        <v>331</v>
      </c>
      <c r="B274" s="17">
        <v>250000</v>
      </c>
      <c r="C274" s="17">
        <f>0.0175*B274</f>
        <v>4375</v>
      </c>
      <c r="D274" s="18">
        <v>45707</v>
      </c>
      <c r="E274" s="16" t="s">
        <v>180</v>
      </c>
      <c r="F274" s="16" t="s">
        <v>28</v>
      </c>
      <c r="H274" s="16" t="s">
        <v>13</v>
      </c>
      <c r="I274" s="21" t="s">
        <v>30</v>
      </c>
    </row>
    <row r="275" spans="1:11" ht="12.75">
      <c r="A275" s="16" t="s">
        <v>332</v>
      </c>
      <c r="B275" s="17">
        <v>80000</v>
      </c>
      <c r="C275" s="17">
        <f t="shared" ref="C275:C276" si="63">0.0125*B275</f>
        <v>1000</v>
      </c>
      <c r="D275" s="18">
        <v>45707</v>
      </c>
      <c r="E275" s="16" t="s">
        <v>15</v>
      </c>
      <c r="F275" s="16" t="s">
        <v>12</v>
      </c>
      <c r="H275" s="16" t="s">
        <v>16</v>
      </c>
      <c r="K275" s="16">
        <v>320</v>
      </c>
    </row>
    <row r="276" spans="1:11" ht="12.75">
      <c r="A276" s="16" t="s">
        <v>90</v>
      </c>
      <c r="B276" s="17">
        <v>100000</v>
      </c>
      <c r="C276" s="17">
        <f t="shared" si="63"/>
        <v>1250</v>
      </c>
      <c r="D276" s="18">
        <v>45707</v>
      </c>
      <c r="E276" s="16" t="s">
        <v>73</v>
      </c>
      <c r="F276" s="16" t="s">
        <v>144</v>
      </c>
    </row>
    <row r="277" spans="1:11" ht="12.75">
      <c r="A277" s="16" t="s">
        <v>333</v>
      </c>
      <c r="B277" s="17">
        <v>350000</v>
      </c>
      <c r="C277" s="17">
        <f t="shared" ref="C277:C280" si="64">0.0175*B277</f>
        <v>6125.0000000000009</v>
      </c>
      <c r="D277" s="18">
        <v>45707</v>
      </c>
      <c r="E277" s="16" t="s">
        <v>24</v>
      </c>
      <c r="F277" s="16" t="s">
        <v>28</v>
      </c>
      <c r="H277" s="16" t="s">
        <v>58</v>
      </c>
      <c r="I277" s="21" t="s">
        <v>30</v>
      </c>
    </row>
    <row r="278" spans="1:11" ht="12.75">
      <c r="A278" s="16" t="s">
        <v>334</v>
      </c>
      <c r="B278" s="17">
        <v>40000</v>
      </c>
      <c r="C278" s="17">
        <f t="shared" si="64"/>
        <v>700.00000000000011</v>
      </c>
      <c r="D278" s="18">
        <v>45708</v>
      </c>
      <c r="E278" s="16" t="s">
        <v>180</v>
      </c>
      <c r="F278" s="16" t="s">
        <v>28</v>
      </c>
      <c r="H278" s="16" t="s">
        <v>13</v>
      </c>
      <c r="I278" s="21" t="s">
        <v>30</v>
      </c>
    </row>
    <row r="279" spans="1:11" ht="12.75">
      <c r="A279" s="16" t="s">
        <v>335</v>
      </c>
      <c r="B279" s="17">
        <v>1000000</v>
      </c>
      <c r="C279" s="17">
        <f t="shared" si="64"/>
        <v>17500</v>
      </c>
      <c r="D279" s="18">
        <v>45708</v>
      </c>
      <c r="E279" s="16" t="s">
        <v>24</v>
      </c>
      <c r="F279" s="16" t="s">
        <v>28</v>
      </c>
      <c r="H279" s="16" t="s">
        <v>58</v>
      </c>
      <c r="I279" s="21" t="s">
        <v>30</v>
      </c>
    </row>
    <row r="280" spans="1:11" ht="12.75">
      <c r="A280" s="16" t="s">
        <v>336</v>
      </c>
      <c r="B280" s="17">
        <v>20000</v>
      </c>
      <c r="C280" s="17">
        <f t="shared" si="64"/>
        <v>350.00000000000006</v>
      </c>
      <c r="D280" s="18">
        <v>45709</v>
      </c>
      <c r="E280" s="16" t="s">
        <v>15</v>
      </c>
      <c r="F280" s="16" t="s">
        <v>28</v>
      </c>
      <c r="H280" s="16" t="s">
        <v>98</v>
      </c>
      <c r="I280" s="21" t="s">
        <v>30</v>
      </c>
      <c r="K280" s="16">
        <v>60</v>
      </c>
    </row>
    <row r="281" spans="1:11" ht="12.75">
      <c r="A281" s="16" t="s">
        <v>337</v>
      </c>
      <c r="B281" s="17">
        <v>250000</v>
      </c>
      <c r="C281" s="17">
        <f>0.0125*B281</f>
        <v>3125</v>
      </c>
      <c r="D281" s="18">
        <v>45709</v>
      </c>
      <c r="E281" s="16" t="s">
        <v>24</v>
      </c>
      <c r="F281" s="16" t="s">
        <v>12</v>
      </c>
      <c r="H281" s="16" t="s">
        <v>48</v>
      </c>
    </row>
    <row r="282" spans="1:11" ht="12.75">
      <c r="A282" s="16" t="s">
        <v>338</v>
      </c>
      <c r="B282" s="17">
        <v>40000</v>
      </c>
      <c r="C282" s="17">
        <f>0.0175*B282</f>
        <v>700.00000000000011</v>
      </c>
      <c r="D282" s="18">
        <v>45709</v>
      </c>
      <c r="E282" s="16" t="s">
        <v>24</v>
      </c>
      <c r="F282" s="16" t="s">
        <v>28</v>
      </c>
      <c r="I282" s="21" t="s">
        <v>30</v>
      </c>
    </row>
    <row r="283" spans="1:11" ht="12.75">
      <c r="A283" s="16" t="s">
        <v>339</v>
      </c>
      <c r="B283" s="17">
        <v>175000</v>
      </c>
      <c r="C283" s="17">
        <f>0.0125*B283</f>
        <v>2187.5</v>
      </c>
      <c r="D283" s="18">
        <v>45709</v>
      </c>
      <c r="E283" s="16" t="s">
        <v>69</v>
      </c>
      <c r="F283" s="16" t="s">
        <v>12</v>
      </c>
      <c r="H283" s="16" t="s">
        <v>22</v>
      </c>
    </row>
    <row r="284" spans="1:11" ht="12.75">
      <c r="A284" s="16" t="s">
        <v>340</v>
      </c>
      <c r="B284" s="17">
        <v>1000000</v>
      </c>
      <c r="C284" s="17">
        <f t="shared" ref="C284:C285" si="65">0.0175*B284</f>
        <v>17500</v>
      </c>
      <c r="D284" s="18">
        <v>45709</v>
      </c>
      <c r="E284" s="16" t="s">
        <v>118</v>
      </c>
      <c r="F284" s="16" t="s">
        <v>28</v>
      </c>
      <c r="H284" s="16" t="s">
        <v>13</v>
      </c>
      <c r="I284" s="21" t="s">
        <v>30</v>
      </c>
    </row>
    <row r="285" spans="1:11" ht="12.75">
      <c r="A285" s="16" t="s">
        <v>341</v>
      </c>
      <c r="B285" s="17">
        <v>25000</v>
      </c>
      <c r="C285" s="17">
        <f t="shared" si="65"/>
        <v>437.50000000000006</v>
      </c>
      <c r="D285" s="18">
        <v>45709</v>
      </c>
      <c r="E285" s="16" t="s">
        <v>15</v>
      </c>
      <c r="F285" s="16" t="s">
        <v>28</v>
      </c>
      <c r="H285" s="16" t="s">
        <v>51</v>
      </c>
      <c r="I285" s="21" t="s">
        <v>30</v>
      </c>
      <c r="K285" s="16">
        <v>125</v>
      </c>
    </row>
    <row r="286" spans="1:11" ht="12.75">
      <c r="A286" s="16" t="s">
        <v>342</v>
      </c>
      <c r="B286" s="17">
        <v>700000</v>
      </c>
      <c r="C286" s="17">
        <f>0.0125*B286</f>
        <v>8750</v>
      </c>
      <c r="D286" s="18">
        <v>45709</v>
      </c>
      <c r="E286" s="16" t="s">
        <v>24</v>
      </c>
      <c r="F286" s="16" t="s">
        <v>12</v>
      </c>
      <c r="H286" s="16" t="s">
        <v>48</v>
      </c>
    </row>
    <row r="287" spans="1:11" ht="12.75">
      <c r="A287" s="16" t="s">
        <v>343</v>
      </c>
      <c r="B287" s="17">
        <v>200000</v>
      </c>
      <c r="C287" s="17">
        <f>0.0175*B287</f>
        <v>3500.0000000000005</v>
      </c>
      <c r="D287" s="18">
        <v>45712</v>
      </c>
      <c r="E287" s="16" t="s">
        <v>118</v>
      </c>
      <c r="F287" s="16" t="s">
        <v>144</v>
      </c>
      <c r="H287" s="16" t="s">
        <v>22</v>
      </c>
    </row>
    <row r="288" spans="1:11" ht="12.75">
      <c r="A288" s="16" t="s">
        <v>344</v>
      </c>
      <c r="B288" s="17">
        <v>152000</v>
      </c>
      <c r="C288" s="17">
        <f t="shared" ref="C288:C289" si="66">0.0125*B288</f>
        <v>1900</v>
      </c>
      <c r="D288" s="18">
        <v>45712</v>
      </c>
      <c r="E288" s="16" t="s">
        <v>345</v>
      </c>
      <c r="F288" s="16" t="s">
        <v>12</v>
      </c>
      <c r="H288" s="16" t="s">
        <v>22</v>
      </c>
    </row>
    <row r="289" spans="1:11" ht="12.75">
      <c r="A289" s="16" t="s">
        <v>346</v>
      </c>
      <c r="B289" s="17">
        <v>208000</v>
      </c>
      <c r="C289" s="17">
        <f t="shared" si="66"/>
        <v>2600</v>
      </c>
      <c r="D289" s="18">
        <v>45712</v>
      </c>
      <c r="E289" s="16" t="s">
        <v>15</v>
      </c>
      <c r="F289" s="16" t="s">
        <v>12</v>
      </c>
      <c r="H289" s="16" t="s">
        <v>149</v>
      </c>
      <c r="K289" s="16">
        <v>520</v>
      </c>
    </row>
    <row r="290" spans="1:11" ht="12.75">
      <c r="A290" s="16" t="s">
        <v>273</v>
      </c>
      <c r="B290" s="17">
        <v>100000</v>
      </c>
      <c r="C290" s="17">
        <f>0.0175*B290</f>
        <v>1750.0000000000002</v>
      </c>
      <c r="D290" s="18">
        <v>45712</v>
      </c>
      <c r="E290" s="16" t="s">
        <v>11</v>
      </c>
      <c r="F290" s="16" t="s">
        <v>347</v>
      </c>
      <c r="I290" s="21" t="s">
        <v>30</v>
      </c>
    </row>
    <row r="291" spans="1:11" ht="12.75">
      <c r="A291" s="16" t="s">
        <v>348</v>
      </c>
      <c r="B291" s="17">
        <v>175000</v>
      </c>
      <c r="C291" s="17">
        <f>0.0125*B291</f>
        <v>2187.5</v>
      </c>
      <c r="D291" s="18">
        <v>45712</v>
      </c>
      <c r="E291" s="16" t="s">
        <v>60</v>
      </c>
      <c r="F291" s="16" t="s">
        <v>12</v>
      </c>
    </row>
    <row r="292" spans="1:11" ht="12.75">
      <c r="A292" s="16" t="s">
        <v>349</v>
      </c>
      <c r="B292" s="17">
        <v>200000</v>
      </c>
      <c r="C292" s="17">
        <f>0.0175*B292</f>
        <v>3500.0000000000005</v>
      </c>
      <c r="D292" s="18">
        <v>45712</v>
      </c>
      <c r="E292" s="16" t="s">
        <v>345</v>
      </c>
      <c r="F292" s="16" t="s">
        <v>28</v>
      </c>
      <c r="H292" s="16" t="s">
        <v>13</v>
      </c>
      <c r="I292" s="21" t="s">
        <v>30</v>
      </c>
    </row>
    <row r="293" spans="1:11" ht="12.75">
      <c r="A293" s="16" t="s">
        <v>350</v>
      </c>
      <c r="B293" s="17">
        <v>35000</v>
      </c>
      <c r="C293" s="17">
        <f>0.0125*B293</f>
        <v>437.5</v>
      </c>
      <c r="D293" s="18">
        <v>45712</v>
      </c>
      <c r="E293" s="16" t="s">
        <v>15</v>
      </c>
      <c r="F293" s="16" t="s">
        <v>12</v>
      </c>
      <c r="H293" s="16" t="s">
        <v>54</v>
      </c>
      <c r="K293" s="16">
        <v>210</v>
      </c>
    </row>
    <row r="294" spans="1:11" ht="12.75">
      <c r="A294" s="16" t="s">
        <v>351</v>
      </c>
      <c r="B294" s="17">
        <v>50000</v>
      </c>
      <c r="C294" s="17">
        <f>0.0175*B294</f>
        <v>875.00000000000011</v>
      </c>
      <c r="D294" s="18">
        <v>45712</v>
      </c>
      <c r="E294" s="16" t="s">
        <v>15</v>
      </c>
      <c r="F294" s="16" t="s">
        <v>41</v>
      </c>
      <c r="H294" s="16" t="s">
        <v>29</v>
      </c>
      <c r="K294" s="16">
        <v>225</v>
      </c>
    </row>
    <row r="295" spans="1:11" ht="12.75">
      <c r="A295" s="16" t="s">
        <v>352</v>
      </c>
      <c r="B295" s="17">
        <v>350000</v>
      </c>
      <c r="C295" s="17">
        <f t="shared" ref="C295:C296" si="67">0.0125*B295</f>
        <v>4375</v>
      </c>
      <c r="D295" s="18">
        <v>45712</v>
      </c>
      <c r="E295" s="16" t="s">
        <v>60</v>
      </c>
      <c r="F295" s="16" t="s">
        <v>12</v>
      </c>
    </row>
    <row r="296" spans="1:11" ht="12.75">
      <c r="A296" s="16" t="s">
        <v>353</v>
      </c>
      <c r="B296" s="17">
        <v>150000</v>
      </c>
      <c r="C296" s="17">
        <f t="shared" si="67"/>
        <v>1875</v>
      </c>
      <c r="D296" s="18">
        <v>45712</v>
      </c>
      <c r="E296" s="16" t="s">
        <v>11</v>
      </c>
      <c r="F296" s="16" t="s">
        <v>144</v>
      </c>
    </row>
    <row r="297" spans="1:11" ht="12.75">
      <c r="A297" s="16" t="s">
        <v>354</v>
      </c>
      <c r="B297" s="17">
        <v>75000</v>
      </c>
      <c r="C297" s="17">
        <f t="shared" ref="C297:C302" si="68">0.0175*B297</f>
        <v>1312.5000000000002</v>
      </c>
      <c r="D297" s="18">
        <v>45712</v>
      </c>
      <c r="E297" s="16" t="s">
        <v>15</v>
      </c>
      <c r="F297" s="16" t="s">
        <v>28</v>
      </c>
      <c r="H297" s="16" t="s">
        <v>54</v>
      </c>
      <c r="I297" s="21" t="s">
        <v>30</v>
      </c>
      <c r="K297" s="16">
        <v>450</v>
      </c>
    </row>
    <row r="298" spans="1:11" ht="12.75">
      <c r="A298" s="16" t="s">
        <v>355</v>
      </c>
      <c r="B298" s="17">
        <v>350000</v>
      </c>
      <c r="C298" s="17">
        <f t="shared" si="68"/>
        <v>6125.0000000000009</v>
      </c>
      <c r="D298" s="18">
        <v>45713</v>
      </c>
      <c r="E298" s="16" t="s">
        <v>75</v>
      </c>
      <c r="F298" s="16" t="s">
        <v>41</v>
      </c>
      <c r="I298" s="21" t="s">
        <v>30</v>
      </c>
    </row>
    <row r="299" spans="1:11" ht="12.75">
      <c r="A299" s="16" t="s">
        <v>356</v>
      </c>
      <c r="B299" s="17">
        <v>125000</v>
      </c>
      <c r="C299" s="17">
        <f t="shared" si="68"/>
        <v>2187.5</v>
      </c>
      <c r="D299" s="18">
        <v>45713</v>
      </c>
      <c r="E299" s="16" t="s">
        <v>11</v>
      </c>
      <c r="F299" s="16" t="s">
        <v>28</v>
      </c>
      <c r="I299" s="21" t="s">
        <v>30</v>
      </c>
    </row>
    <row r="300" spans="1:11" ht="12.75">
      <c r="A300" s="16" t="s">
        <v>357</v>
      </c>
      <c r="B300" s="17">
        <v>140000</v>
      </c>
      <c r="C300" s="17">
        <f t="shared" si="68"/>
        <v>2450.0000000000005</v>
      </c>
      <c r="D300" s="18">
        <v>45713</v>
      </c>
      <c r="E300" s="16" t="s">
        <v>60</v>
      </c>
      <c r="F300" s="16" t="s">
        <v>28</v>
      </c>
      <c r="I300" s="21" t="s">
        <v>30</v>
      </c>
    </row>
    <row r="301" spans="1:11" ht="12.75">
      <c r="A301" s="16" t="s">
        <v>358</v>
      </c>
      <c r="B301" s="17">
        <v>40000</v>
      </c>
      <c r="C301" s="17">
        <f t="shared" si="68"/>
        <v>700.00000000000011</v>
      </c>
      <c r="D301" s="18">
        <v>45713</v>
      </c>
      <c r="E301" s="16" t="s">
        <v>60</v>
      </c>
      <c r="F301" s="16" t="s">
        <v>28</v>
      </c>
      <c r="I301" s="21" t="s">
        <v>30</v>
      </c>
    </row>
    <row r="302" spans="1:11" ht="12.75">
      <c r="A302" s="16" t="s">
        <v>359</v>
      </c>
      <c r="B302" s="17">
        <v>115000</v>
      </c>
      <c r="C302" s="17">
        <f t="shared" si="68"/>
        <v>2012.5000000000002</v>
      </c>
      <c r="D302" s="18">
        <v>45713</v>
      </c>
      <c r="E302" s="16" t="s">
        <v>60</v>
      </c>
      <c r="F302" s="16" t="s">
        <v>28</v>
      </c>
      <c r="I302" s="21" t="s">
        <v>30</v>
      </c>
    </row>
    <row r="303" spans="1:11" ht="12.75">
      <c r="A303" s="16" t="s">
        <v>120</v>
      </c>
      <c r="B303" s="17">
        <v>18500</v>
      </c>
      <c r="C303" s="17">
        <f t="shared" ref="C303:C306" si="69">0.0125*B303</f>
        <v>231.25</v>
      </c>
      <c r="D303" s="18">
        <v>45714</v>
      </c>
      <c r="E303" s="16" t="s">
        <v>15</v>
      </c>
      <c r="F303" s="16" t="s">
        <v>12</v>
      </c>
      <c r="H303" s="16" t="s">
        <v>35</v>
      </c>
      <c r="K303" s="16">
        <v>37</v>
      </c>
    </row>
    <row r="304" spans="1:11" ht="12.75">
      <c r="A304" s="16" t="s">
        <v>360</v>
      </c>
      <c r="B304" s="17">
        <v>1275000</v>
      </c>
      <c r="C304" s="17">
        <f t="shared" si="69"/>
        <v>15937.5</v>
      </c>
      <c r="D304" s="18">
        <v>45714</v>
      </c>
      <c r="E304" s="16" t="s">
        <v>345</v>
      </c>
      <c r="F304" s="16" t="s">
        <v>12</v>
      </c>
      <c r="H304" s="16" t="s">
        <v>22</v>
      </c>
    </row>
    <row r="305" spans="1:11" ht="12.75">
      <c r="A305" s="16" t="s">
        <v>361</v>
      </c>
      <c r="B305" s="17">
        <v>525000</v>
      </c>
      <c r="C305" s="17">
        <f t="shared" si="69"/>
        <v>6562.5</v>
      </c>
      <c r="D305" s="18">
        <v>45714</v>
      </c>
      <c r="E305" s="16" t="s">
        <v>345</v>
      </c>
      <c r="F305" s="16" t="s">
        <v>12</v>
      </c>
      <c r="H305" s="16" t="s">
        <v>22</v>
      </c>
    </row>
    <row r="306" spans="1:11" ht="12.75">
      <c r="A306" s="16" t="s">
        <v>362</v>
      </c>
      <c r="B306" s="17">
        <v>125000</v>
      </c>
      <c r="C306" s="17">
        <f t="shared" si="69"/>
        <v>1562.5</v>
      </c>
      <c r="D306" s="18">
        <v>45714</v>
      </c>
      <c r="E306" s="16" t="s">
        <v>11</v>
      </c>
      <c r="F306" s="16" t="s">
        <v>12</v>
      </c>
    </row>
    <row r="307" spans="1:11" ht="12.75">
      <c r="A307" s="16" t="s">
        <v>363</v>
      </c>
      <c r="B307" s="17">
        <v>68000</v>
      </c>
      <c r="C307" s="17">
        <f>0.0175*B307</f>
        <v>1190</v>
      </c>
      <c r="D307" s="18">
        <v>45714</v>
      </c>
      <c r="E307" s="16" t="s">
        <v>11</v>
      </c>
      <c r="F307" s="16" t="s">
        <v>28</v>
      </c>
      <c r="I307" s="21" t="s">
        <v>30</v>
      </c>
    </row>
    <row r="308" spans="1:11" ht="12.75">
      <c r="A308" s="16" t="s">
        <v>364</v>
      </c>
      <c r="B308" s="17">
        <v>550000</v>
      </c>
      <c r="C308" s="17">
        <f t="shared" ref="C308:C309" si="70">0.0125*B308</f>
        <v>6875</v>
      </c>
      <c r="D308" s="18">
        <v>45715</v>
      </c>
      <c r="E308" s="16" t="s">
        <v>69</v>
      </c>
      <c r="F308" s="16" t="s">
        <v>12</v>
      </c>
      <c r="H308" s="16" t="s">
        <v>22</v>
      </c>
    </row>
    <row r="309" spans="1:11" ht="12.75">
      <c r="A309" s="16" t="s">
        <v>365</v>
      </c>
      <c r="B309" s="17">
        <v>185000</v>
      </c>
      <c r="C309" s="17">
        <f t="shared" si="70"/>
        <v>2312.5</v>
      </c>
      <c r="D309" s="18">
        <v>45715</v>
      </c>
      <c r="E309" s="16" t="s">
        <v>40</v>
      </c>
      <c r="F309" s="16" t="s">
        <v>12</v>
      </c>
      <c r="H309" s="16" t="s">
        <v>22</v>
      </c>
    </row>
    <row r="310" spans="1:11" ht="12.75">
      <c r="A310" s="16" t="s">
        <v>366</v>
      </c>
      <c r="B310" s="17">
        <v>350000</v>
      </c>
      <c r="C310" s="17">
        <f t="shared" ref="C310:C313" si="71">0.0175*B310</f>
        <v>6125.0000000000009</v>
      </c>
      <c r="D310" s="18">
        <v>45715</v>
      </c>
      <c r="E310" s="16" t="s">
        <v>11</v>
      </c>
      <c r="F310" s="16" t="s">
        <v>28</v>
      </c>
      <c r="I310" s="21" t="s">
        <v>30</v>
      </c>
    </row>
    <row r="311" spans="1:11" ht="12.75">
      <c r="A311" s="16" t="s">
        <v>367</v>
      </c>
      <c r="B311" s="17">
        <v>100000</v>
      </c>
      <c r="C311" s="17">
        <f t="shared" si="71"/>
        <v>1750.0000000000002</v>
      </c>
      <c r="D311" s="18">
        <v>45715</v>
      </c>
      <c r="E311" s="16" t="s">
        <v>11</v>
      </c>
      <c r="F311" s="16" t="s">
        <v>28</v>
      </c>
      <c r="I311" s="21" t="s">
        <v>30</v>
      </c>
    </row>
    <row r="312" spans="1:11" ht="12.75">
      <c r="A312" s="16" t="s">
        <v>368</v>
      </c>
      <c r="B312" s="17">
        <v>60000</v>
      </c>
      <c r="C312" s="17">
        <f t="shared" si="71"/>
        <v>1050</v>
      </c>
      <c r="D312" s="18">
        <v>45715</v>
      </c>
      <c r="E312" s="16" t="s">
        <v>11</v>
      </c>
      <c r="F312" s="16" t="s">
        <v>28</v>
      </c>
      <c r="I312" s="21" t="s">
        <v>30</v>
      </c>
    </row>
    <row r="313" spans="1:11" ht="12.75">
      <c r="A313" s="16" t="s">
        <v>319</v>
      </c>
      <c r="B313" s="17">
        <v>150000</v>
      </c>
      <c r="C313" s="17">
        <f t="shared" si="71"/>
        <v>2625.0000000000005</v>
      </c>
      <c r="D313" s="18">
        <v>45715</v>
      </c>
      <c r="E313" s="16" t="s">
        <v>21</v>
      </c>
      <c r="F313" s="16" t="s">
        <v>347</v>
      </c>
      <c r="H313" s="16" t="s">
        <v>13</v>
      </c>
    </row>
    <row r="314" spans="1:11" ht="12.75">
      <c r="A314" s="16" t="s">
        <v>14</v>
      </c>
      <c r="B314" s="17">
        <v>10000</v>
      </c>
      <c r="C314" s="17">
        <f t="shared" ref="C314:C315" si="72">0.0125*B314</f>
        <v>125</v>
      </c>
      <c r="D314" s="18">
        <v>45716</v>
      </c>
      <c r="E314" s="16" t="s">
        <v>15</v>
      </c>
      <c r="F314" s="16" t="s">
        <v>144</v>
      </c>
      <c r="H314" s="16" t="s">
        <v>54</v>
      </c>
      <c r="K314" s="16">
        <v>60</v>
      </c>
    </row>
    <row r="315" spans="1:11" ht="12.75">
      <c r="A315" s="16" t="s">
        <v>369</v>
      </c>
      <c r="B315" s="17">
        <v>90000</v>
      </c>
      <c r="C315" s="17">
        <f t="shared" si="72"/>
        <v>1125</v>
      </c>
      <c r="D315" s="18">
        <v>45716</v>
      </c>
      <c r="E315" s="16" t="s">
        <v>24</v>
      </c>
      <c r="F315" s="16" t="s">
        <v>12</v>
      </c>
    </row>
    <row r="316" spans="1:11" ht="12.75">
      <c r="A316" s="16" t="s">
        <v>370</v>
      </c>
      <c r="B316" s="17">
        <v>150000</v>
      </c>
      <c r="C316" s="17">
        <f t="shared" ref="C316:C317" si="73">0.0175*B316</f>
        <v>2625.0000000000005</v>
      </c>
      <c r="D316" s="18">
        <v>45716</v>
      </c>
      <c r="E316" s="16" t="s">
        <v>69</v>
      </c>
      <c r="F316" s="16" t="s">
        <v>28</v>
      </c>
      <c r="H316" s="16" t="s">
        <v>13</v>
      </c>
      <c r="I316" s="21" t="s">
        <v>30</v>
      </c>
    </row>
    <row r="317" spans="1:11" ht="12.75">
      <c r="A317" s="16" t="s">
        <v>371</v>
      </c>
      <c r="B317" s="17">
        <v>75000</v>
      </c>
      <c r="C317" s="17">
        <f t="shared" si="73"/>
        <v>1312.5000000000002</v>
      </c>
      <c r="D317" s="18">
        <v>45716</v>
      </c>
      <c r="E317" s="16" t="s">
        <v>345</v>
      </c>
      <c r="F317" s="16" t="s">
        <v>28</v>
      </c>
      <c r="H317" s="16" t="s">
        <v>13</v>
      </c>
      <c r="I317" s="21" t="s">
        <v>30</v>
      </c>
    </row>
    <row r="318" spans="1:11" ht="12.75">
      <c r="A318" s="16" t="s">
        <v>372</v>
      </c>
      <c r="B318" s="17">
        <v>170000</v>
      </c>
      <c r="C318" s="17">
        <f t="shared" ref="C318:C320" si="74">0.0125*B318</f>
        <v>2125</v>
      </c>
      <c r="D318" s="18">
        <v>45716</v>
      </c>
      <c r="E318" s="16" t="s">
        <v>11</v>
      </c>
      <c r="F318" s="16" t="s">
        <v>12</v>
      </c>
    </row>
    <row r="319" spans="1:11" ht="12.75">
      <c r="A319" s="16" t="s">
        <v>373</v>
      </c>
      <c r="B319" s="17">
        <v>750000</v>
      </c>
      <c r="C319" s="17">
        <f t="shared" si="74"/>
        <v>9375</v>
      </c>
      <c r="D319" s="18">
        <v>45716</v>
      </c>
      <c r="E319" s="16" t="s">
        <v>345</v>
      </c>
      <c r="F319" s="16" t="s">
        <v>12</v>
      </c>
      <c r="H319" s="16" t="s">
        <v>22</v>
      </c>
    </row>
    <row r="320" spans="1:11" ht="12.75">
      <c r="A320" s="16" t="s">
        <v>374</v>
      </c>
      <c r="B320" s="17">
        <v>65000</v>
      </c>
      <c r="C320" s="17">
        <f t="shared" si="74"/>
        <v>812.5</v>
      </c>
      <c r="D320" s="18">
        <v>45716</v>
      </c>
      <c r="E320" s="16" t="s">
        <v>15</v>
      </c>
      <c r="F320" s="16" t="s">
        <v>12</v>
      </c>
      <c r="H320" s="16" t="s">
        <v>51</v>
      </c>
      <c r="K320" s="16">
        <v>325</v>
      </c>
    </row>
    <row r="321" spans="1:16" ht="12.75">
      <c r="A321" s="11">
        <v>45717</v>
      </c>
      <c r="B321" s="12">
        <f t="shared" ref="B321:C321" si="75">SUM(B322:B456)</f>
        <v>28768500</v>
      </c>
      <c r="C321" s="12">
        <f t="shared" si="75"/>
        <v>444581.25</v>
      </c>
      <c r="D321" s="13"/>
      <c r="E321" s="14"/>
      <c r="F321" s="14"/>
      <c r="G321" s="14"/>
      <c r="H321" s="15"/>
      <c r="I321" s="15"/>
      <c r="J321" s="15"/>
      <c r="K321" s="15"/>
      <c r="L321" s="15"/>
    </row>
    <row r="322" spans="1:16" ht="12.75">
      <c r="A322" s="16" t="s">
        <v>375</v>
      </c>
      <c r="B322" s="17">
        <v>50000</v>
      </c>
      <c r="C322" s="17">
        <f t="shared" ref="C322:C326" si="76">0.0175*B322</f>
        <v>875.00000000000011</v>
      </c>
      <c r="D322" s="18">
        <v>45719</v>
      </c>
      <c r="E322" s="16" t="s">
        <v>376</v>
      </c>
      <c r="F322" s="16" t="s">
        <v>28</v>
      </c>
      <c r="H322" s="16" t="s">
        <v>13</v>
      </c>
      <c r="I322" s="21" t="s">
        <v>30</v>
      </c>
    </row>
    <row r="323" spans="1:16" ht="12.75">
      <c r="A323" s="16" t="s">
        <v>377</v>
      </c>
      <c r="B323" s="17">
        <v>150000</v>
      </c>
      <c r="C323" s="17">
        <f t="shared" si="76"/>
        <v>2625.0000000000005</v>
      </c>
      <c r="D323" s="18">
        <v>45719</v>
      </c>
      <c r="E323" s="16" t="s">
        <v>69</v>
      </c>
      <c r="F323" s="16" t="s">
        <v>28</v>
      </c>
      <c r="H323" s="16" t="s">
        <v>13</v>
      </c>
      <c r="I323" s="21" t="s">
        <v>30</v>
      </c>
      <c r="N323" s="19" t="s">
        <v>13</v>
      </c>
    </row>
    <row r="324" spans="1:16" ht="12.75">
      <c r="A324" s="16" t="s">
        <v>378</v>
      </c>
      <c r="B324" s="17">
        <v>75000</v>
      </c>
      <c r="C324" s="17">
        <f t="shared" si="76"/>
        <v>1312.5000000000002</v>
      </c>
      <c r="D324" s="18">
        <v>45719</v>
      </c>
      <c r="E324" s="16" t="s">
        <v>11</v>
      </c>
      <c r="F324" s="16" t="s">
        <v>28</v>
      </c>
      <c r="I324" s="21" t="s">
        <v>30</v>
      </c>
      <c r="N324" s="16" t="s">
        <v>17</v>
      </c>
      <c r="O324" s="20">
        <v>11538.46</v>
      </c>
    </row>
    <row r="325" spans="1:16" ht="12.75">
      <c r="A325" s="16" t="s">
        <v>379</v>
      </c>
      <c r="B325" s="17">
        <v>50000</v>
      </c>
      <c r="C325" s="17">
        <f t="shared" si="76"/>
        <v>875.00000000000011</v>
      </c>
      <c r="D325" s="18">
        <v>45719</v>
      </c>
      <c r="E325" s="16" t="s">
        <v>11</v>
      </c>
      <c r="F325" s="16" t="s">
        <v>28</v>
      </c>
      <c r="I325" s="21" t="s">
        <v>30</v>
      </c>
      <c r="N325" s="16" t="s">
        <v>19</v>
      </c>
      <c r="O325" s="20">
        <v>15112.5</v>
      </c>
    </row>
    <row r="326" spans="1:16" ht="12.75">
      <c r="A326" s="16" t="s">
        <v>380</v>
      </c>
      <c r="B326" s="17">
        <v>35000</v>
      </c>
      <c r="C326" s="17">
        <f t="shared" si="76"/>
        <v>612.50000000000011</v>
      </c>
      <c r="D326" s="18">
        <v>45720</v>
      </c>
      <c r="E326" s="16" t="s">
        <v>40</v>
      </c>
      <c r="F326" s="16" t="s">
        <v>28</v>
      </c>
      <c r="N326" s="16" t="s">
        <v>15</v>
      </c>
      <c r="O326" s="20">
        <v>13934.75</v>
      </c>
    </row>
    <row r="327" spans="1:16" ht="12.75">
      <c r="A327" s="16" t="s">
        <v>381</v>
      </c>
      <c r="B327" s="17">
        <v>75000</v>
      </c>
      <c r="C327" s="17">
        <f>0.0125*B327</f>
        <v>937.5</v>
      </c>
      <c r="D327" s="18">
        <v>45720</v>
      </c>
      <c r="E327" s="16" t="s">
        <v>15</v>
      </c>
      <c r="F327" s="16" t="s">
        <v>12</v>
      </c>
      <c r="H327" s="16" t="s">
        <v>51</v>
      </c>
      <c r="K327" s="16">
        <v>375</v>
      </c>
      <c r="N327" s="16" t="s">
        <v>26</v>
      </c>
      <c r="O327" s="20">
        <v>20950</v>
      </c>
      <c r="P327" s="16">
        <v>12</v>
      </c>
    </row>
    <row r="328" spans="1:16" ht="12.75">
      <c r="A328" s="16" t="s">
        <v>382</v>
      </c>
      <c r="B328" s="17">
        <v>40000</v>
      </c>
      <c r="C328" s="17">
        <f t="shared" ref="C328:C329" si="77">0.0175*B328</f>
        <v>700.00000000000011</v>
      </c>
      <c r="D328" s="18">
        <v>45720</v>
      </c>
      <c r="E328" s="16" t="s">
        <v>11</v>
      </c>
      <c r="F328" s="16" t="s">
        <v>67</v>
      </c>
      <c r="I328" s="21" t="s">
        <v>30</v>
      </c>
      <c r="N328" s="16" t="s">
        <v>31</v>
      </c>
      <c r="O328" s="20">
        <v>2937.5</v>
      </c>
      <c r="P328" s="16">
        <v>4</v>
      </c>
    </row>
    <row r="329" spans="1:16" ht="12.75">
      <c r="A329" s="16" t="s">
        <v>383</v>
      </c>
      <c r="B329" s="17">
        <v>60000</v>
      </c>
      <c r="C329" s="17">
        <f t="shared" si="77"/>
        <v>1050</v>
      </c>
      <c r="D329" s="18">
        <v>45720</v>
      </c>
      <c r="E329" s="16" t="s">
        <v>15</v>
      </c>
      <c r="F329" s="16" t="s">
        <v>28</v>
      </c>
      <c r="H329" s="16" t="s">
        <v>98</v>
      </c>
      <c r="K329" s="16">
        <v>180</v>
      </c>
      <c r="N329" s="16" t="s">
        <v>242</v>
      </c>
      <c r="O329" s="20">
        <v>1490.55</v>
      </c>
    </row>
    <row r="330" spans="1:16" ht="12.75">
      <c r="A330" s="16" t="s">
        <v>384</v>
      </c>
      <c r="B330" s="17">
        <v>600000</v>
      </c>
      <c r="C330" s="17">
        <f>0.0125*B330</f>
        <v>7500</v>
      </c>
      <c r="D330" s="18">
        <v>45720</v>
      </c>
      <c r="E330" s="16" t="s">
        <v>11</v>
      </c>
      <c r="F330" s="16" t="s">
        <v>12</v>
      </c>
    </row>
    <row r="331" spans="1:16" ht="12.75">
      <c r="A331" s="16" t="s">
        <v>385</v>
      </c>
      <c r="B331" s="17">
        <v>150000</v>
      </c>
      <c r="C331" s="17">
        <f t="shared" ref="C331:C334" si="78">0.0175*B331</f>
        <v>2625.0000000000005</v>
      </c>
      <c r="D331" s="18">
        <v>45720</v>
      </c>
      <c r="E331" s="16" t="s">
        <v>60</v>
      </c>
      <c r="F331" s="16" t="s">
        <v>28</v>
      </c>
      <c r="I331" s="21" t="s">
        <v>30</v>
      </c>
      <c r="N331" s="19" t="s">
        <v>245</v>
      </c>
    </row>
    <row r="332" spans="1:16" ht="12.75">
      <c r="A332" s="16" t="s">
        <v>386</v>
      </c>
      <c r="B332" s="17">
        <v>550000</v>
      </c>
      <c r="C332" s="17">
        <f t="shared" si="78"/>
        <v>9625.0000000000018</v>
      </c>
      <c r="D332" s="18">
        <v>45720</v>
      </c>
      <c r="E332" s="16" t="s">
        <v>24</v>
      </c>
      <c r="F332" s="16" t="s">
        <v>28</v>
      </c>
      <c r="H332" s="16" t="s">
        <v>58</v>
      </c>
      <c r="N332" s="16" t="s">
        <v>17</v>
      </c>
      <c r="O332" s="16">
        <v>11538.46</v>
      </c>
    </row>
    <row r="333" spans="1:16" ht="12.75">
      <c r="A333" s="16" t="s">
        <v>387</v>
      </c>
      <c r="B333" s="17">
        <v>100000</v>
      </c>
      <c r="C333" s="17">
        <f t="shared" si="78"/>
        <v>1750.0000000000002</v>
      </c>
      <c r="D333" s="18">
        <v>45720</v>
      </c>
      <c r="E333" s="16" t="s">
        <v>376</v>
      </c>
      <c r="F333" s="16" t="s">
        <v>28</v>
      </c>
      <c r="H333" s="16" t="s">
        <v>13</v>
      </c>
      <c r="I333" s="21" t="s">
        <v>30</v>
      </c>
      <c r="N333" s="16" t="s">
        <v>15</v>
      </c>
      <c r="O333" s="16">
        <v>21954.75</v>
      </c>
    </row>
    <row r="334" spans="1:16" ht="12.75">
      <c r="A334" s="16" t="s">
        <v>388</v>
      </c>
      <c r="B334" s="17">
        <v>150000</v>
      </c>
      <c r="C334" s="17">
        <f t="shared" si="78"/>
        <v>2625.0000000000005</v>
      </c>
      <c r="D334" s="18">
        <v>45720</v>
      </c>
      <c r="E334" s="16" t="s">
        <v>21</v>
      </c>
      <c r="F334" s="16" t="s">
        <v>28</v>
      </c>
      <c r="H334" s="16" t="s">
        <v>13</v>
      </c>
      <c r="N334" s="16" t="s">
        <v>242</v>
      </c>
      <c r="O334" s="16">
        <v>2171.1</v>
      </c>
    </row>
    <row r="335" spans="1:16" ht="12.75">
      <c r="A335" s="16" t="s">
        <v>389</v>
      </c>
      <c r="B335" s="17">
        <v>18500</v>
      </c>
      <c r="C335" s="17">
        <f t="shared" ref="C335:C336" si="79">0.0125*B335</f>
        <v>231.25</v>
      </c>
      <c r="D335" s="18">
        <v>45720</v>
      </c>
      <c r="E335" s="16" t="s">
        <v>15</v>
      </c>
      <c r="F335" s="16" t="s">
        <v>12</v>
      </c>
      <c r="H335" s="16" t="s">
        <v>390</v>
      </c>
      <c r="K335" s="16">
        <v>9.25</v>
      </c>
    </row>
    <row r="336" spans="1:16" ht="12.75">
      <c r="A336" s="16" t="s">
        <v>391</v>
      </c>
      <c r="B336" s="17">
        <v>175000</v>
      </c>
      <c r="C336" s="17">
        <f t="shared" si="79"/>
        <v>2187.5</v>
      </c>
      <c r="D336" s="18">
        <v>45720</v>
      </c>
      <c r="E336" s="16" t="s">
        <v>11</v>
      </c>
      <c r="F336" s="16" t="s">
        <v>12</v>
      </c>
    </row>
    <row r="337" spans="1:11" ht="12.75">
      <c r="A337" s="16" t="s">
        <v>392</v>
      </c>
      <c r="B337" s="17">
        <v>75000</v>
      </c>
      <c r="C337" s="17">
        <f t="shared" ref="C337:C338" si="80">0.0175*B337</f>
        <v>1312.5000000000002</v>
      </c>
      <c r="D337" s="18">
        <v>45721</v>
      </c>
      <c r="E337" s="16" t="s">
        <v>11</v>
      </c>
      <c r="F337" s="16" t="s">
        <v>28</v>
      </c>
      <c r="I337" s="21" t="s">
        <v>30</v>
      </c>
    </row>
    <row r="338" spans="1:11" ht="12.75">
      <c r="A338" s="16" t="s">
        <v>393</v>
      </c>
      <c r="B338" s="17">
        <v>50000</v>
      </c>
      <c r="C338" s="17">
        <f t="shared" si="80"/>
        <v>875.00000000000011</v>
      </c>
      <c r="D338" s="18">
        <v>45721</v>
      </c>
      <c r="E338" s="16" t="s">
        <v>394</v>
      </c>
      <c r="F338" s="16" t="s">
        <v>28</v>
      </c>
      <c r="H338" s="16" t="s">
        <v>35</v>
      </c>
      <c r="I338" s="21" t="s">
        <v>30</v>
      </c>
      <c r="K338" s="16">
        <v>100</v>
      </c>
    </row>
    <row r="339" spans="1:11" ht="12.75">
      <c r="A339" s="16" t="s">
        <v>85</v>
      </c>
      <c r="B339" s="17">
        <v>150000</v>
      </c>
      <c r="C339" s="17">
        <f>0.0125*B339</f>
        <v>1875</v>
      </c>
      <c r="D339" s="18">
        <v>45721</v>
      </c>
      <c r="E339" s="16" t="s">
        <v>73</v>
      </c>
      <c r="F339" s="16" t="s">
        <v>12</v>
      </c>
    </row>
    <row r="340" spans="1:11" ht="12.75">
      <c r="A340" s="16" t="s">
        <v>325</v>
      </c>
      <c r="B340" s="17">
        <v>25000</v>
      </c>
      <c r="C340" s="17">
        <f t="shared" ref="C340:C341" si="81">0.0175*B340</f>
        <v>437.50000000000006</v>
      </c>
      <c r="D340" s="18">
        <v>45721</v>
      </c>
      <c r="E340" s="16" t="s">
        <v>11</v>
      </c>
      <c r="F340" s="16" t="s">
        <v>67</v>
      </c>
    </row>
    <row r="341" spans="1:11" ht="12.75">
      <c r="A341" s="16" t="s">
        <v>395</v>
      </c>
      <c r="B341" s="17">
        <v>150000</v>
      </c>
      <c r="C341" s="17">
        <f t="shared" si="81"/>
        <v>2625.0000000000005</v>
      </c>
      <c r="D341" s="18">
        <v>45722</v>
      </c>
      <c r="E341" s="16" t="s">
        <v>180</v>
      </c>
      <c r="F341" s="16" t="s">
        <v>28</v>
      </c>
      <c r="H341" s="16" t="s">
        <v>13</v>
      </c>
      <c r="I341" s="21" t="s">
        <v>30</v>
      </c>
    </row>
    <row r="342" spans="1:11" ht="12.75">
      <c r="A342" s="16" t="s">
        <v>396</v>
      </c>
      <c r="B342" s="17">
        <v>112500</v>
      </c>
      <c r="C342" s="17">
        <f>0.0125*B342</f>
        <v>1406.25</v>
      </c>
      <c r="D342" s="18">
        <v>45722</v>
      </c>
      <c r="E342" s="16" t="s">
        <v>11</v>
      </c>
      <c r="F342" s="16" t="s">
        <v>12</v>
      </c>
    </row>
    <row r="343" spans="1:11" ht="12.75">
      <c r="A343" s="16" t="s">
        <v>397</v>
      </c>
      <c r="B343" s="17">
        <v>60000</v>
      </c>
      <c r="C343" s="17">
        <f>0.0175*B343</f>
        <v>1050</v>
      </c>
      <c r="D343" s="18">
        <v>45722</v>
      </c>
      <c r="E343" s="16" t="s">
        <v>11</v>
      </c>
      <c r="F343" s="16" t="s">
        <v>67</v>
      </c>
    </row>
    <row r="344" spans="1:11" ht="12.75">
      <c r="A344" s="16" t="s">
        <v>398</v>
      </c>
      <c r="B344" s="17">
        <v>125000</v>
      </c>
      <c r="C344" s="17">
        <f t="shared" ref="C344:C345" si="82">0.0125*B344</f>
        <v>1562.5</v>
      </c>
      <c r="D344" s="18">
        <v>45722</v>
      </c>
      <c r="E344" s="16" t="s">
        <v>11</v>
      </c>
      <c r="F344" s="16" t="s">
        <v>12</v>
      </c>
    </row>
    <row r="345" spans="1:11" ht="12.75">
      <c r="A345" s="16" t="s">
        <v>399</v>
      </c>
      <c r="B345" s="17">
        <v>130000</v>
      </c>
      <c r="C345" s="17">
        <f t="shared" si="82"/>
        <v>1625</v>
      </c>
      <c r="D345" s="18">
        <v>45722</v>
      </c>
      <c r="E345" s="16" t="s">
        <v>15</v>
      </c>
      <c r="F345" s="16" t="s">
        <v>12</v>
      </c>
      <c r="H345" s="16" t="s">
        <v>35</v>
      </c>
      <c r="K345" s="16">
        <v>260</v>
      </c>
    </row>
    <row r="346" spans="1:11" ht="12.75">
      <c r="A346" s="16" t="s">
        <v>400</v>
      </c>
      <c r="B346" s="17">
        <v>150000</v>
      </c>
      <c r="C346" s="17">
        <f>0.0175*B346</f>
        <v>2625.0000000000005</v>
      </c>
      <c r="D346" s="18">
        <v>45722</v>
      </c>
      <c r="E346" s="16" t="s">
        <v>15</v>
      </c>
      <c r="F346" s="16" t="s">
        <v>28</v>
      </c>
      <c r="H346" s="16" t="s">
        <v>51</v>
      </c>
      <c r="K346" s="16">
        <v>750</v>
      </c>
    </row>
    <row r="347" spans="1:11" ht="12.75">
      <c r="A347" s="16" t="s">
        <v>401</v>
      </c>
      <c r="B347" s="17">
        <v>245000</v>
      </c>
      <c r="C347" s="17">
        <f>0.0125*B347</f>
        <v>3062.5</v>
      </c>
      <c r="D347" s="18">
        <v>45722</v>
      </c>
      <c r="E347" s="16" t="s">
        <v>60</v>
      </c>
      <c r="F347" s="16" t="s">
        <v>12</v>
      </c>
    </row>
    <row r="348" spans="1:11" ht="12.75">
      <c r="A348" s="16" t="s">
        <v>402</v>
      </c>
      <c r="B348" s="17">
        <v>300000</v>
      </c>
      <c r="C348" s="17">
        <f t="shared" ref="C348:C349" si="83">0.0175*B348</f>
        <v>5250.0000000000009</v>
      </c>
      <c r="D348" s="18">
        <v>45722</v>
      </c>
      <c r="E348" s="16" t="s">
        <v>118</v>
      </c>
      <c r="F348" s="16" t="s">
        <v>28</v>
      </c>
      <c r="H348" s="16" t="s">
        <v>13</v>
      </c>
      <c r="I348" s="21" t="s">
        <v>30</v>
      </c>
    </row>
    <row r="349" spans="1:11" ht="12.75">
      <c r="A349" s="16" t="s">
        <v>403</v>
      </c>
      <c r="B349" s="17">
        <v>10000</v>
      </c>
      <c r="C349" s="17">
        <f t="shared" si="83"/>
        <v>175.00000000000003</v>
      </c>
      <c r="D349" s="18">
        <v>45722</v>
      </c>
      <c r="E349" s="16" t="s">
        <v>15</v>
      </c>
      <c r="F349" s="16" t="s">
        <v>28</v>
      </c>
      <c r="H349" s="16" t="s">
        <v>54</v>
      </c>
      <c r="K349" s="16">
        <v>60</v>
      </c>
    </row>
    <row r="350" spans="1:11" ht="12.75">
      <c r="A350" s="16" t="s">
        <v>404</v>
      </c>
      <c r="B350" s="17">
        <v>135000</v>
      </c>
      <c r="C350" s="17">
        <f t="shared" ref="C350:C352" si="84">0.0125*B350</f>
        <v>1687.5</v>
      </c>
      <c r="D350" s="18">
        <v>45722</v>
      </c>
      <c r="E350" s="16" t="s">
        <v>60</v>
      </c>
      <c r="F350" s="16" t="s">
        <v>12</v>
      </c>
    </row>
    <row r="351" spans="1:11" ht="12.75">
      <c r="A351" s="16" t="s">
        <v>405</v>
      </c>
      <c r="B351" s="17">
        <v>135000</v>
      </c>
      <c r="C351" s="17">
        <f t="shared" si="84"/>
        <v>1687.5</v>
      </c>
      <c r="D351" s="18">
        <v>45722</v>
      </c>
      <c r="E351" s="16" t="s">
        <v>60</v>
      </c>
      <c r="F351" s="16" t="s">
        <v>12</v>
      </c>
    </row>
    <row r="352" spans="1:11" ht="12.75">
      <c r="A352" s="16" t="s">
        <v>201</v>
      </c>
      <c r="B352" s="17">
        <v>10000</v>
      </c>
      <c r="C352" s="17">
        <f t="shared" si="84"/>
        <v>125</v>
      </c>
      <c r="D352" s="18">
        <v>45723</v>
      </c>
      <c r="E352" s="16" t="s">
        <v>11</v>
      </c>
      <c r="F352" s="16" t="s">
        <v>12</v>
      </c>
    </row>
    <row r="353" spans="1:11" ht="12.75">
      <c r="A353" s="16" t="s">
        <v>406</v>
      </c>
      <c r="B353" s="17">
        <v>10000</v>
      </c>
      <c r="C353" s="17">
        <f t="shared" ref="C353:C354" si="85">0.0175*B353</f>
        <v>175.00000000000003</v>
      </c>
      <c r="D353" s="18">
        <v>45723</v>
      </c>
      <c r="E353" s="16" t="s">
        <v>11</v>
      </c>
      <c r="F353" s="16" t="s">
        <v>67</v>
      </c>
    </row>
    <row r="354" spans="1:11" ht="12.75">
      <c r="A354" s="16" t="s">
        <v>407</v>
      </c>
      <c r="B354" s="17">
        <v>45000</v>
      </c>
      <c r="C354" s="17">
        <f t="shared" si="85"/>
        <v>787.50000000000011</v>
      </c>
      <c r="D354" s="18">
        <v>45723</v>
      </c>
      <c r="E354" s="16" t="s">
        <v>11</v>
      </c>
      <c r="F354" s="16" t="s">
        <v>67</v>
      </c>
    </row>
    <row r="355" spans="1:11" ht="12.75">
      <c r="A355" s="16" t="s">
        <v>408</v>
      </c>
      <c r="B355" s="17">
        <v>125000</v>
      </c>
      <c r="C355" s="17">
        <f>0.0125*B355</f>
        <v>1562.5</v>
      </c>
      <c r="D355" s="18">
        <v>45723</v>
      </c>
      <c r="E355" s="16" t="s">
        <v>15</v>
      </c>
      <c r="F355" s="16" t="s">
        <v>12</v>
      </c>
      <c r="H355" s="16" t="s">
        <v>54</v>
      </c>
      <c r="K355" s="16">
        <v>750</v>
      </c>
    </row>
    <row r="356" spans="1:11" ht="12.75">
      <c r="A356" s="16" t="s">
        <v>409</v>
      </c>
      <c r="B356" s="17">
        <v>38000</v>
      </c>
      <c r="C356" s="17">
        <f>0.0175*B356</f>
        <v>665.00000000000011</v>
      </c>
      <c r="D356" s="18">
        <v>45723</v>
      </c>
      <c r="E356" s="16" t="s">
        <v>410</v>
      </c>
      <c r="F356" s="16" t="s">
        <v>67</v>
      </c>
      <c r="H356" s="16" t="s">
        <v>13</v>
      </c>
      <c r="I356" s="21" t="s">
        <v>30</v>
      </c>
    </row>
    <row r="357" spans="1:11" ht="12.75">
      <c r="A357" s="16" t="s">
        <v>411</v>
      </c>
      <c r="B357" s="17">
        <v>155000</v>
      </c>
      <c r="C357" s="17">
        <f>0.0125*B357</f>
        <v>1937.5</v>
      </c>
      <c r="D357" s="18">
        <v>45723</v>
      </c>
      <c r="E357" s="16" t="s">
        <v>11</v>
      </c>
      <c r="F357" s="16" t="s">
        <v>12</v>
      </c>
    </row>
    <row r="358" spans="1:11" ht="12.75">
      <c r="A358" s="16" t="s">
        <v>412</v>
      </c>
      <c r="B358" s="17">
        <v>110000</v>
      </c>
      <c r="C358" s="17">
        <f t="shared" ref="C358:C362" si="86">0.0175*B358</f>
        <v>1925.0000000000002</v>
      </c>
      <c r="D358" s="18">
        <v>45723</v>
      </c>
      <c r="E358" s="16" t="s">
        <v>11</v>
      </c>
      <c r="F358" s="16" t="s">
        <v>28</v>
      </c>
      <c r="I358" s="21" t="s">
        <v>30</v>
      </c>
    </row>
    <row r="359" spans="1:11" ht="12.75">
      <c r="A359" s="16" t="s">
        <v>413</v>
      </c>
      <c r="B359" s="17">
        <v>1000000</v>
      </c>
      <c r="C359" s="17">
        <f t="shared" si="86"/>
        <v>17500</v>
      </c>
      <c r="D359" s="18">
        <v>45723</v>
      </c>
      <c r="E359" s="16" t="s">
        <v>11</v>
      </c>
      <c r="F359" s="16" t="s">
        <v>28</v>
      </c>
      <c r="I359" s="21" t="s">
        <v>30</v>
      </c>
    </row>
    <row r="360" spans="1:11" ht="12.75">
      <c r="A360" s="16" t="s">
        <v>414</v>
      </c>
      <c r="B360" s="17">
        <v>50000</v>
      </c>
      <c r="C360" s="17">
        <f t="shared" si="86"/>
        <v>875.00000000000011</v>
      </c>
      <c r="D360" s="18">
        <v>45723</v>
      </c>
      <c r="E360" s="16" t="s">
        <v>11</v>
      </c>
      <c r="F360" s="16" t="s">
        <v>28</v>
      </c>
      <c r="I360" s="21" t="s">
        <v>30</v>
      </c>
    </row>
    <row r="361" spans="1:11" ht="12.75">
      <c r="A361" s="16" t="s">
        <v>415</v>
      </c>
      <c r="B361" s="17">
        <v>500000</v>
      </c>
      <c r="C361" s="17">
        <f t="shared" si="86"/>
        <v>8750</v>
      </c>
      <c r="D361" s="18">
        <v>45723</v>
      </c>
      <c r="E361" s="16" t="s">
        <v>15</v>
      </c>
      <c r="F361" s="16" t="s">
        <v>28</v>
      </c>
      <c r="H361" s="16" t="s">
        <v>149</v>
      </c>
      <c r="K361" s="16">
        <v>1250</v>
      </c>
    </row>
    <row r="362" spans="1:11" ht="12.75">
      <c r="A362" s="16" t="s">
        <v>416</v>
      </c>
      <c r="B362" s="17">
        <v>60000</v>
      </c>
      <c r="C362" s="17">
        <f t="shared" si="86"/>
        <v>1050</v>
      </c>
      <c r="D362" s="18">
        <v>45726</v>
      </c>
      <c r="E362" s="16" t="s">
        <v>60</v>
      </c>
      <c r="F362" s="16" t="s">
        <v>28</v>
      </c>
      <c r="I362" s="21" t="s">
        <v>30</v>
      </c>
    </row>
    <row r="363" spans="1:11" ht="12.75">
      <c r="A363" s="16" t="s">
        <v>417</v>
      </c>
      <c r="B363" s="17">
        <v>100000</v>
      </c>
      <c r="C363" s="17">
        <f>0.0125*B363</f>
        <v>1250</v>
      </c>
      <c r="D363" s="18">
        <v>45726</v>
      </c>
      <c r="E363" s="16" t="s">
        <v>135</v>
      </c>
      <c r="F363" s="16" t="s">
        <v>12</v>
      </c>
      <c r="H363" s="16" t="s">
        <v>22</v>
      </c>
    </row>
    <row r="364" spans="1:11" ht="12.75">
      <c r="A364" s="16" t="s">
        <v>418</v>
      </c>
      <c r="B364" s="17">
        <v>100000</v>
      </c>
      <c r="C364" s="17">
        <f>0.0175*B364</f>
        <v>1750.0000000000002</v>
      </c>
      <c r="D364" s="18">
        <v>45726</v>
      </c>
      <c r="E364" s="16" t="s">
        <v>11</v>
      </c>
      <c r="F364" s="16" t="s">
        <v>28</v>
      </c>
      <c r="I364" s="21" t="s">
        <v>30</v>
      </c>
    </row>
    <row r="365" spans="1:11" ht="12.75">
      <c r="A365" s="16" t="s">
        <v>419</v>
      </c>
      <c r="B365" s="17">
        <v>275000</v>
      </c>
      <c r="C365" s="17">
        <f t="shared" ref="C365:C367" si="87">0.0125*B365</f>
        <v>3437.5</v>
      </c>
      <c r="D365" s="18">
        <v>45726</v>
      </c>
      <c r="E365" s="16" t="s">
        <v>11</v>
      </c>
      <c r="F365" s="16" t="s">
        <v>12</v>
      </c>
    </row>
    <row r="366" spans="1:11" ht="12.75">
      <c r="A366" s="16" t="s">
        <v>56</v>
      </c>
      <c r="B366" s="17">
        <v>63000</v>
      </c>
      <c r="C366" s="17">
        <f t="shared" si="87"/>
        <v>787.5</v>
      </c>
      <c r="D366" s="18">
        <v>45727</v>
      </c>
      <c r="E366" s="16" t="s">
        <v>15</v>
      </c>
      <c r="F366" s="16" t="s">
        <v>12</v>
      </c>
      <c r="H366" s="16" t="s">
        <v>54</v>
      </c>
      <c r="K366" s="16">
        <v>378</v>
      </c>
    </row>
    <row r="367" spans="1:11" ht="12.75">
      <c r="A367" s="16" t="s">
        <v>420</v>
      </c>
      <c r="B367" s="17">
        <v>100000</v>
      </c>
      <c r="C367" s="17">
        <f t="shared" si="87"/>
        <v>1250</v>
      </c>
      <c r="D367" s="18">
        <v>45727</v>
      </c>
      <c r="E367" s="16" t="s">
        <v>24</v>
      </c>
      <c r="F367" s="16" t="s">
        <v>12</v>
      </c>
      <c r="H367" s="16" t="s">
        <v>25</v>
      </c>
    </row>
    <row r="368" spans="1:11" ht="12.75">
      <c r="A368" s="16" t="s">
        <v>421</v>
      </c>
      <c r="B368" s="17">
        <v>60000</v>
      </c>
      <c r="C368" s="17">
        <f>0.0175*B368</f>
        <v>1050</v>
      </c>
      <c r="D368" s="18">
        <v>45727</v>
      </c>
      <c r="E368" s="16" t="s">
        <v>15</v>
      </c>
      <c r="F368" s="16" t="s">
        <v>28</v>
      </c>
      <c r="H368" s="16" t="s">
        <v>51</v>
      </c>
      <c r="I368" s="21" t="s">
        <v>30</v>
      </c>
      <c r="K368" s="16">
        <v>300</v>
      </c>
    </row>
    <row r="369" spans="1:11" ht="12.75">
      <c r="A369" s="16" t="s">
        <v>422</v>
      </c>
      <c r="B369" s="17">
        <v>250000</v>
      </c>
      <c r="C369" s="17">
        <f>0.0125*B369</f>
        <v>3125</v>
      </c>
      <c r="D369" s="18">
        <v>45727</v>
      </c>
      <c r="E369" s="16" t="s">
        <v>75</v>
      </c>
      <c r="F369" s="16" t="s">
        <v>12</v>
      </c>
    </row>
    <row r="370" spans="1:11" ht="12.75">
      <c r="A370" s="16" t="s">
        <v>423</v>
      </c>
      <c r="B370" s="17">
        <v>100000</v>
      </c>
      <c r="C370" s="17">
        <f t="shared" ref="C370:C371" si="88">0.0175*B370</f>
        <v>1750.0000000000002</v>
      </c>
      <c r="D370" s="18">
        <v>45727</v>
      </c>
      <c r="E370" s="16" t="s">
        <v>11</v>
      </c>
      <c r="F370" s="16" t="s">
        <v>28</v>
      </c>
      <c r="I370" s="21" t="s">
        <v>30</v>
      </c>
    </row>
    <row r="371" spans="1:11" ht="12.75">
      <c r="A371" s="16" t="s">
        <v>424</v>
      </c>
      <c r="B371" s="17">
        <v>40000</v>
      </c>
      <c r="C371" s="17">
        <f t="shared" si="88"/>
        <v>700.00000000000011</v>
      </c>
      <c r="D371" s="18">
        <v>45727</v>
      </c>
      <c r="E371" s="16" t="s">
        <v>11</v>
      </c>
      <c r="F371" s="16" t="s">
        <v>28</v>
      </c>
      <c r="I371" s="21" t="s">
        <v>30</v>
      </c>
    </row>
    <row r="372" spans="1:11" ht="12.75">
      <c r="A372" s="16" t="s">
        <v>425</v>
      </c>
      <c r="B372" s="17">
        <v>50000</v>
      </c>
      <c r="C372" s="17">
        <f>0.0125*B372</f>
        <v>625</v>
      </c>
      <c r="D372" s="18">
        <v>45727</v>
      </c>
      <c r="E372" s="16" t="s">
        <v>11</v>
      </c>
      <c r="F372" s="16" t="s">
        <v>12</v>
      </c>
    </row>
    <row r="373" spans="1:11" ht="12.75">
      <c r="A373" s="16" t="s">
        <v>426</v>
      </c>
      <c r="B373" s="17">
        <v>150000</v>
      </c>
      <c r="C373" s="17">
        <f t="shared" ref="C373:C376" si="89">0.0175*B373</f>
        <v>2625.0000000000005</v>
      </c>
      <c r="D373" s="18">
        <v>45727</v>
      </c>
      <c r="E373" s="16" t="s">
        <v>15</v>
      </c>
      <c r="F373" s="16" t="s">
        <v>28</v>
      </c>
      <c r="H373" s="16" t="s">
        <v>98</v>
      </c>
      <c r="K373" s="16">
        <v>450</v>
      </c>
    </row>
    <row r="374" spans="1:11" ht="12.75">
      <c r="A374" s="16" t="s">
        <v>427</v>
      </c>
      <c r="B374" s="17">
        <v>100000</v>
      </c>
      <c r="C374" s="17">
        <f t="shared" si="89"/>
        <v>1750.0000000000002</v>
      </c>
      <c r="D374" s="18">
        <v>45727</v>
      </c>
      <c r="E374" s="16" t="s">
        <v>11</v>
      </c>
      <c r="F374" s="16" t="s">
        <v>28</v>
      </c>
      <c r="I374" s="21" t="s">
        <v>30</v>
      </c>
    </row>
    <row r="375" spans="1:11" ht="12.75">
      <c r="A375" s="16" t="s">
        <v>428</v>
      </c>
      <c r="B375" s="17">
        <v>400000</v>
      </c>
      <c r="C375" s="17">
        <f t="shared" si="89"/>
        <v>7000.0000000000009</v>
      </c>
      <c r="D375" s="18">
        <v>45727</v>
      </c>
      <c r="E375" s="16" t="s">
        <v>24</v>
      </c>
      <c r="F375" s="16" t="s">
        <v>28</v>
      </c>
      <c r="H375" s="16" t="s">
        <v>58</v>
      </c>
    </row>
    <row r="376" spans="1:11" ht="12.75">
      <c r="A376" s="16" t="s">
        <v>283</v>
      </c>
      <c r="B376" s="17">
        <v>500000</v>
      </c>
      <c r="C376" s="17">
        <f t="shared" si="89"/>
        <v>8750</v>
      </c>
      <c r="D376" s="18">
        <v>45728</v>
      </c>
      <c r="E376" s="16" t="s">
        <v>15</v>
      </c>
      <c r="F376" s="16" t="s">
        <v>28</v>
      </c>
      <c r="H376" s="16" t="s">
        <v>149</v>
      </c>
      <c r="I376" s="21" t="s">
        <v>30</v>
      </c>
      <c r="K376" s="16">
        <v>1250</v>
      </c>
    </row>
    <row r="377" spans="1:11" ht="12.75">
      <c r="A377" s="16" t="s">
        <v>23</v>
      </c>
      <c r="B377" s="17">
        <v>215000</v>
      </c>
      <c r="C377" s="17">
        <f>0.0125*B377</f>
        <v>2687.5</v>
      </c>
      <c r="D377" s="18">
        <v>45728</v>
      </c>
      <c r="E377" s="16" t="s">
        <v>24</v>
      </c>
      <c r="F377" s="16" t="s">
        <v>12</v>
      </c>
      <c r="H377" s="16" t="s">
        <v>48</v>
      </c>
    </row>
    <row r="378" spans="1:11" ht="12.75">
      <c r="A378" s="16" t="s">
        <v>429</v>
      </c>
      <c r="B378" s="17">
        <v>50000</v>
      </c>
      <c r="C378" s="17">
        <f t="shared" ref="C378:C381" si="90">0.0175*B378</f>
        <v>875.00000000000011</v>
      </c>
      <c r="D378" s="18">
        <v>45728</v>
      </c>
      <c r="E378" s="16" t="s">
        <v>15</v>
      </c>
      <c r="F378" s="16" t="s">
        <v>28</v>
      </c>
      <c r="H378" s="16" t="s">
        <v>35</v>
      </c>
      <c r="I378" s="21" t="s">
        <v>30</v>
      </c>
      <c r="K378" s="16">
        <v>100</v>
      </c>
    </row>
    <row r="379" spans="1:11" ht="12.75">
      <c r="A379" s="16" t="s">
        <v>430</v>
      </c>
      <c r="B379" s="17">
        <v>75000</v>
      </c>
      <c r="C379" s="17">
        <f t="shared" si="90"/>
        <v>1312.5000000000002</v>
      </c>
      <c r="D379" s="18">
        <v>45728</v>
      </c>
      <c r="E379" s="16" t="s">
        <v>15</v>
      </c>
      <c r="F379" s="16" t="s">
        <v>28</v>
      </c>
      <c r="H379" s="16" t="s">
        <v>149</v>
      </c>
      <c r="I379" s="21" t="s">
        <v>30</v>
      </c>
      <c r="K379" s="16">
        <v>187.5</v>
      </c>
    </row>
    <row r="380" spans="1:11" ht="12.75">
      <c r="A380" s="16" t="s">
        <v>431</v>
      </c>
      <c r="B380" s="17">
        <v>75000</v>
      </c>
      <c r="C380" s="17">
        <f t="shared" si="90"/>
        <v>1312.5000000000002</v>
      </c>
      <c r="D380" s="18">
        <v>45729</v>
      </c>
      <c r="E380" s="16" t="s">
        <v>11</v>
      </c>
      <c r="F380" s="16" t="s">
        <v>28</v>
      </c>
      <c r="I380" s="21" t="s">
        <v>30</v>
      </c>
    </row>
    <row r="381" spans="1:11" ht="12.75">
      <c r="A381" s="16" t="s">
        <v>432</v>
      </c>
      <c r="B381" s="17">
        <v>350000</v>
      </c>
      <c r="C381" s="17">
        <f t="shared" si="90"/>
        <v>6125.0000000000009</v>
      </c>
      <c r="D381" s="18">
        <v>45729</v>
      </c>
      <c r="E381" s="16" t="s">
        <v>60</v>
      </c>
      <c r="F381" s="16" t="s">
        <v>28</v>
      </c>
      <c r="I381" s="21" t="s">
        <v>30</v>
      </c>
    </row>
    <row r="382" spans="1:11" ht="12.75">
      <c r="A382" s="16" t="s">
        <v>433</v>
      </c>
      <c r="B382" s="17">
        <v>2500000</v>
      </c>
      <c r="C382" s="17">
        <f>0.0125*B382</f>
        <v>31250</v>
      </c>
      <c r="D382" s="18">
        <v>45729</v>
      </c>
      <c r="E382" s="16" t="s">
        <v>11</v>
      </c>
      <c r="F382" s="16" t="s">
        <v>12</v>
      </c>
    </row>
    <row r="383" spans="1:11" ht="12.75">
      <c r="A383" s="16" t="s">
        <v>434</v>
      </c>
      <c r="B383" s="17">
        <v>150000</v>
      </c>
      <c r="C383" s="17">
        <f t="shared" ref="C383:C388" si="91">0.0175*B383</f>
        <v>2625.0000000000005</v>
      </c>
      <c r="D383" s="18">
        <v>45729</v>
      </c>
      <c r="E383" s="16" t="s">
        <v>60</v>
      </c>
      <c r="F383" s="16" t="s">
        <v>28</v>
      </c>
    </row>
    <row r="384" spans="1:11" ht="12.75">
      <c r="A384" s="16" t="s">
        <v>435</v>
      </c>
      <c r="B384" s="17">
        <v>100000</v>
      </c>
      <c r="C384" s="17">
        <f t="shared" si="91"/>
        <v>1750.0000000000002</v>
      </c>
      <c r="D384" s="18">
        <v>45729</v>
      </c>
      <c r="E384" s="16" t="s">
        <v>15</v>
      </c>
      <c r="F384" s="16" t="s">
        <v>28</v>
      </c>
      <c r="H384" s="16" t="s">
        <v>35</v>
      </c>
      <c r="I384" s="21" t="s">
        <v>30</v>
      </c>
      <c r="K384" s="16">
        <v>200</v>
      </c>
    </row>
    <row r="385" spans="1:11" ht="12.75">
      <c r="A385" s="16" t="s">
        <v>366</v>
      </c>
      <c r="B385" s="17">
        <v>150000</v>
      </c>
      <c r="C385" s="17">
        <f t="shared" si="91"/>
        <v>2625.0000000000005</v>
      </c>
      <c r="D385" s="18">
        <v>45729</v>
      </c>
      <c r="E385" s="16" t="s">
        <v>11</v>
      </c>
      <c r="F385" s="16" t="s">
        <v>67</v>
      </c>
      <c r="I385" s="21" t="s">
        <v>30</v>
      </c>
    </row>
    <row r="386" spans="1:11" ht="12.75">
      <c r="A386" s="16" t="s">
        <v>436</v>
      </c>
      <c r="B386" s="17">
        <v>250000</v>
      </c>
      <c r="C386" s="17">
        <f t="shared" si="91"/>
        <v>4375</v>
      </c>
      <c r="D386" s="18">
        <v>45729</v>
      </c>
      <c r="E386" s="16" t="s">
        <v>118</v>
      </c>
      <c r="F386" s="16" t="s">
        <v>28</v>
      </c>
      <c r="H386" s="16" t="s">
        <v>13</v>
      </c>
      <c r="I386" s="21" t="s">
        <v>30</v>
      </c>
    </row>
    <row r="387" spans="1:11" ht="12.75">
      <c r="A387" s="16" t="s">
        <v>437</v>
      </c>
      <c r="B387" s="17">
        <v>185000</v>
      </c>
      <c r="C387" s="17">
        <f t="shared" si="91"/>
        <v>3237.5000000000005</v>
      </c>
      <c r="D387" s="18">
        <v>45730</v>
      </c>
      <c r="E387" s="16" t="s">
        <v>60</v>
      </c>
      <c r="F387" s="16" t="s">
        <v>28</v>
      </c>
    </row>
    <row r="388" spans="1:11" ht="12.75">
      <c r="A388" s="16" t="s">
        <v>438</v>
      </c>
      <c r="B388" s="17">
        <v>50000</v>
      </c>
      <c r="C388" s="17">
        <f t="shared" si="91"/>
        <v>875.00000000000011</v>
      </c>
      <c r="D388" s="18">
        <v>45730</v>
      </c>
      <c r="E388" s="16" t="s">
        <v>11</v>
      </c>
      <c r="F388" s="16" t="s">
        <v>28</v>
      </c>
    </row>
    <row r="389" spans="1:11" ht="12.75">
      <c r="A389" s="16" t="s">
        <v>439</v>
      </c>
      <c r="B389" s="17">
        <v>170000</v>
      </c>
      <c r="C389" s="17">
        <f>0.0125*B389</f>
        <v>2125</v>
      </c>
      <c r="D389" s="18">
        <v>45730</v>
      </c>
      <c r="E389" s="16" t="s">
        <v>24</v>
      </c>
      <c r="F389" s="16" t="s">
        <v>12</v>
      </c>
      <c r="H389" s="16" t="s">
        <v>48</v>
      </c>
    </row>
    <row r="390" spans="1:11" ht="12.75">
      <c r="A390" s="16" t="s">
        <v>440</v>
      </c>
      <c r="B390" s="17">
        <v>700000</v>
      </c>
      <c r="C390" s="17">
        <f>0.0175*B390</f>
        <v>12250.000000000002</v>
      </c>
      <c r="D390" s="18">
        <v>45733</v>
      </c>
      <c r="E390" s="16" t="s">
        <v>24</v>
      </c>
      <c r="F390" s="16" t="s">
        <v>28</v>
      </c>
      <c r="H390" s="16" t="s">
        <v>58</v>
      </c>
      <c r="I390" s="21" t="s">
        <v>30</v>
      </c>
    </row>
    <row r="391" spans="1:11" ht="12.75">
      <c r="A391" s="16" t="s">
        <v>441</v>
      </c>
      <c r="B391" s="17">
        <v>77500</v>
      </c>
      <c r="C391" s="17">
        <f t="shared" ref="C391:C392" si="92">0.0125*B391</f>
        <v>968.75</v>
      </c>
      <c r="D391" s="18">
        <v>45733</v>
      </c>
      <c r="E391" s="16" t="s">
        <v>15</v>
      </c>
      <c r="F391" s="16" t="s">
        <v>12</v>
      </c>
      <c r="H391" s="16" t="s">
        <v>51</v>
      </c>
      <c r="K391" s="16">
        <v>387.5</v>
      </c>
    </row>
    <row r="392" spans="1:11" ht="12.75">
      <c r="A392" s="16" t="s">
        <v>442</v>
      </c>
      <c r="B392" s="17">
        <v>80000</v>
      </c>
      <c r="C392" s="17">
        <f t="shared" si="92"/>
        <v>1000</v>
      </c>
      <c r="D392" s="18">
        <v>45733</v>
      </c>
      <c r="E392" s="16" t="s">
        <v>24</v>
      </c>
      <c r="F392" s="16" t="s">
        <v>12</v>
      </c>
      <c r="H392" s="16" t="s">
        <v>48</v>
      </c>
    </row>
    <row r="393" spans="1:11" ht="12.75">
      <c r="A393" s="16" t="s">
        <v>443</v>
      </c>
      <c r="B393" s="17">
        <v>100000</v>
      </c>
      <c r="C393" s="17">
        <f t="shared" ref="C393:C394" si="93">0.0175*B393</f>
        <v>1750.0000000000002</v>
      </c>
      <c r="D393" s="18">
        <v>45733</v>
      </c>
      <c r="E393" s="16" t="s">
        <v>11</v>
      </c>
      <c r="F393" s="16" t="s">
        <v>28</v>
      </c>
      <c r="I393" s="21" t="s">
        <v>30</v>
      </c>
    </row>
    <row r="394" spans="1:11" ht="12.75">
      <c r="A394" s="16" t="s">
        <v>444</v>
      </c>
      <c r="B394" s="17">
        <v>500000</v>
      </c>
      <c r="C394" s="17">
        <f t="shared" si="93"/>
        <v>8750</v>
      </c>
      <c r="D394" s="18">
        <v>45733</v>
      </c>
      <c r="E394" s="16" t="s">
        <v>24</v>
      </c>
      <c r="F394" s="16" t="s">
        <v>28</v>
      </c>
      <c r="H394" s="16" t="s">
        <v>58</v>
      </c>
    </row>
    <row r="395" spans="1:11" ht="12.75">
      <c r="A395" s="16" t="s">
        <v>445</v>
      </c>
      <c r="B395" s="17">
        <v>20000</v>
      </c>
      <c r="C395" s="17">
        <f t="shared" ref="C395:C396" si="94">0.0125*B395</f>
        <v>250</v>
      </c>
      <c r="D395" s="18">
        <v>45733</v>
      </c>
      <c r="E395" s="16" t="s">
        <v>60</v>
      </c>
      <c r="F395" s="16" t="s">
        <v>12</v>
      </c>
      <c r="H395" s="16" t="s">
        <v>446</v>
      </c>
    </row>
    <row r="396" spans="1:11" ht="12.75">
      <c r="A396" s="16" t="s">
        <v>447</v>
      </c>
      <c r="B396" s="17">
        <v>350000</v>
      </c>
      <c r="C396" s="17">
        <f t="shared" si="94"/>
        <v>4375</v>
      </c>
      <c r="D396" s="18">
        <v>45734</v>
      </c>
      <c r="E396" s="16" t="s">
        <v>11</v>
      </c>
      <c r="F396" s="16" t="s">
        <v>12</v>
      </c>
    </row>
    <row r="397" spans="1:11" ht="12.75">
      <c r="A397" s="16" t="s">
        <v>448</v>
      </c>
      <c r="B397" s="17">
        <v>250000</v>
      </c>
      <c r="C397" s="17">
        <f t="shared" ref="C397:C398" si="95">0.0175*B397</f>
        <v>4375</v>
      </c>
      <c r="D397" s="18">
        <v>45734</v>
      </c>
      <c r="E397" s="16" t="s">
        <v>60</v>
      </c>
      <c r="F397" s="16" t="s">
        <v>28</v>
      </c>
      <c r="I397" s="21" t="s">
        <v>30</v>
      </c>
    </row>
    <row r="398" spans="1:11" ht="12.75">
      <c r="A398" s="16" t="s">
        <v>449</v>
      </c>
      <c r="B398" s="17">
        <v>85000</v>
      </c>
      <c r="C398" s="17">
        <f t="shared" si="95"/>
        <v>1487.5000000000002</v>
      </c>
      <c r="D398" s="18">
        <v>45734</v>
      </c>
      <c r="E398" s="16" t="s">
        <v>11</v>
      </c>
      <c r="F398" s="16" t="s">
        <v>28</v>
      </c>
      <c r="I398" s="21" t="s">
        <v>30</v>
      </c>
    </row>
    <row r="399" spans="1:11" ht="12.75">
      <c r="A399" s="16" t="s">
        <v>450</v>
      </c>
      <c r="B399" s="17">
        <v>725000</v>
      </c>
      <c r="C399" s="17">
        <f>0.0125*B399</f>
        <v>9062.5</v>
      </c>
      <c r="D399" s="18">
        <v>45734</v>
      </c>
      <c r="E399" s="16" t="s">
        <v>24</v>
      </c>
      <c r="F399" s="16" t="s">
        <v>12</v>
      </c>
      <c r="H399" s="16" t="s">
        <v>48</v>
      </c>
    </row>
    <row r="400" spans="1:11" ht="12.75">
      <c r="A400" s="16" t="s">
        <v>451</v>
      </c>
      <c r="B400" s="17">
        <v>45000</v>
      </c>
      <c r="C400" s="17">
        <f t="shared" ref="C400:C402" si="96">0.0175*B400</f>
        <v>787.50000000000011</v>
      </c>
      <c r="D400" s="18">
        <v>45734</v>
      </c>
      <c r="E400" s="16" t="s">
        <v>15</v>
      </c>
      <c r="F400" s="16" t="s">
        <v>28</v>
      </c>
      <c r="H400" s="16" t="s">
        <v>149</v>
      </c>
      <c r="I400" s="21" t="s">
        <v>30</v>
      </c>
      <c r="K400" s="16">
        <v>112.5</v>
      </c>
    </row>
    <row r="401" spans="1:11" ht="12.75">
      <c r="A401" s="16" t="s">
        <v>452</v>
      </c>
      <c r="B401" s="17">
        <v>150000</v>
      </c>
      <c r="C401" s="17">
        <f t="shared" si="96"/>
        <v>2625.0000000000005</v>
      </c>
      <c r="D401" s="18">
        <v>45734</v>
      </c>
      <c r="E401" s="16" t="s">
        <v>118</v>
      </c>
      <c r="F401" s="16" t="s">
        <v>28</v>
      </c>
      <c r="H401" s="16" t="s">
        <v>13</v>
      </c>
    </row>
    <row r="402" spans="1:11" ht="12.75">
      <c r="A402" s="16" t="s">
        <v>453</v>
      </c>
      <c r="B402" s="17">
        <v>250000</v>
      </c>
      <c r="C402" s="17">
        <f t="shared" si="96"/>
        <v>4375</v>
      </c>
      <c r="D402" s="18">
        <v>45734</v>
      </c>
      <c r="E402" s="16" t="s">
        <v>60</v>
      </c>
      <c r="F402" s="16" t="s">
        <v>28</v>
      </c>
      <c r="I402" s="21" t="s">
        <v>30</v>
      </c>
    </row>
    <row r="403" spans="1:11" ht="12.75">
      <c r="A403" s="16" t="s">
        <v>134</v>
      </c>
      <c r="B403" s="17">
        <v>560000</v>
      </c>
      <c r="C403" s="17">
        <f t="shared" ref="C403:C404" si="97">0.0125*B403</f>
        <v>7000</v>
      </c>
      <c r="D403" s="18">
        <v>45735</v>
      </c>
      <c r="E403" s="16" t="s">
        <v>135</v>
      </c>
      <c r="F403" s="16" t="s">
        <v>12</v>
      </c>
      <c r="H403" s="16" t="s">
        <v>22</v>
      </c>
    </row>
    <row r="404" spans="1:11" ht="12.75">
      <c r="A404" s="16" t="s">
        <v>454</v>
      </c>
      <c r="B404" s="17">
        <v>500000</v>
      </c>
      <c r="C404" s="17">
        <f t="shared" si="97"/>
        <v>6250</v>
      </c>
      <c r="D404" s="18">
        <v>45735</v>
      </c>
      <c r="E404" s="16" t="s">
        <v>11</v>
      </c>
      <c r="F404" s="16" t="s">
        <v>12</v>
      </c>
    </row>
    <row r="405" spans="1:11" ht="12.75">
      <c r="A405" s="16" t="s">
        <v>455</v>
      </c>
      <c r="B405" s="17">
        <v>40000</v>
      </c>
      <c r="C405" s="17">
        <f t="shared" ref="C405:C413" si="98">0.0175*B405</f>
        <v>700.00000000000011</v>
      </c>
      <c r="D405" s="18">
        <v>45735</v>
      </c>
      <c r="E405" s="16" t="s">
        <v>11</v>
      </c>
      <c r="F405" s="16" t="s">
        <v>28</v>
      </c>
      <c r="I405" s="21" t="s">
        <v>30</v>
      </c>
    </row>
    <row r="406" spans="1:11" ht="12.75">
      <c r="A406" s="16" t="s">
        <v>182</v>
      </c>
      <c r="B406" s="17">
        <v>40000</v>
      </c>
      <c r="C406" s="17">
        <f t="shared" si="98"/>
        <v>700.00000000000011</v>
      </c>
      <c r="D406" s="18">
        <v>45735</v>
      </c>
      <c r="E406" s="16" t="s">
        <v>11</v>
      </c>
      <c r="F406" s="16" t="s">
        <v>67</v>
      </c>
    </row>
    <row r="407" spans="1:11" ht="12.75">
      <c r="A407" s="16" t="s">
        <v>456</v>
      </c>
      <c r="B407" s="17">
        <v>200000</v>
      </c>
      <c r="C407" s="17">
        <f t="shared" si="98"/>
        <v>3500.0000000000005</v>
      </c>
      <c r="D407" s="18">
        <v>45735</v>
      </c>
      <c r="E407" s="16" t="s">
        <v>457</v>
      </c>
      <c r="F407" s="16" t="s">
        <v>67</v>
      </c>
      <c r="H407" s="16" t="s">
        <v>98</v>
      </c>
      <c r="I407" s="21" t="s">
        <v>30</v>
      </c>
      <c r="K407" s="16">
        <v>600</v>
      </c>
    </row>
    <row r="408" spans="1:11" ht="12.75">
      <c r="A408" s="16" t="s">
        <v>458</v>
      </c>
      <c r="B408" s="17">
        <v>35000</v>
      </c>
      <c r="C408" s="17">
        <f t="shared" si="98"/>
        <v>612.50000000000011</v>
      </c>
      <c r="D408" s="18">
        <v>45735</v>
      </c>
      <c r="E408" s="16" t="s">
        <v>15</v>
      </c>
      <c r="F408" s="16" t="s">
        <v>28</v>
      </c>
      <c r="H408" s="16" t="s">
        <v>35</v>
      </c>
      <c r="I408" s="21" t="s">
        <v>30</v>
      </c>
      <c r="K408" s="16">
        <v>70</v>
      </c>
    </row>
    <row r="409" spans="1:11" ht="12.75">
      <c r="A409" s="16" t="s">
        <v>459</v>
      </c>
      <c r="B409" s="17">
        <v>150000</v>
      </c>
      <c r="C409" s="17">
        <f t="shared" si="98"/>
        <v>2625.0000000000005</v>
      </c>
      <c r="D409" s="18">
        <v>45735</v>
      </c>
      <c r="E409" s="16" t="s">
        <v>60</v>
      </c>
      <c r="F409" s="16" t="s">
        <v>28</v>
      </c>
    </row>
    <row r="410" spans="1:11" ht="12.75">
      <c r="A410" s="16" t="s">
        <v>460</v>
      </c>
      <c r="B410" s="17">
        <v>500000</v>
      </c>
      <c r="C410" s="17">
        <f t="shared" si="98"/>
        <v>8750</v>
      </c>
      <c r="D410" s="18">
        <v>45735</v>
      </c>
      <c r="E410" s="16" t="s">
        <v>461</v>
      </c>
      <c r="F410" s="16" t="s">
        <v>28</v>
      </c>
      <c r="H410" s="16" t="s">
        <v>13</v>
      </c>
      <c r="I410" s="21" t="s">
        <v>30</v>
      </c>
    </row>
    <row r="411" spans="1:11" ht="12.75">
      <c r="A411" s="16" t="s">
        <v>462</v>
      </c>
      <c r="B411" s="17">
        <v>15000</v>
      </c>
      <c r="C411" s="17">
        <f t="shared" si="98"/>
        <v>262.5</v>
      </c>
      <c r="D411" s="18">
        <v>45736</v>
      </c>
      <c r="E411" s="16" t="s">
        <v>15</v>
      </c>
      <c r="F411" s="16" t="s">
        <v>28</v>
      </c>
      <c r="H411" s="16" t="s">
        <v>54</v>
      </c>
      <c r="K411" s="16">
        <v>90</v>
      </c>
    </row>
    <row r="412" spans="1:11" ht="12.75">
      <c r="A412" s="16" t="s">
        <v>463</v>
      </c>
      <c r="B412" s="17">
        <v>50000</v>
      </c>
      <c r="C412" s="17">
        <f t="shared" si="98"/>
        <v>875.00000000000011</v>
      </c>
      <c r="D412" s="18">
        <v>45736</v>
      </c>
      <c r="E412" s="16" t="s">
        <v>11</v>
      </c>
      <c r="F412" s="16" t="s">
        <v>28</v>
      </c>
      <c r="I412" s="21" t="s">
        <v>30</v>
      </c>
    </row>
    <row r="413" spans="1:11" ht="12.75">
      <c r="A413" s="16" t="s">
        <v>464</v>
      </c>
      <c r="B413" s="17">
        <v>100000</v>
      </c>
      <c r="C413" s="17">
        <f t="shared" si="98"/>
        <v>1750.0000000000002</v>
      </c>
      <c r="D413" s="18">
        <v>45736</v>
      </c>
      <c r="E413" s="16" t="s">
        <v>11</v>
      </c>
      <c r="F413" s="16" t="s">
        <v>67</v>
      </c>
    </row>
    <row r="414" spans="1:11" ht="12.75">
      <c r="A414" s="16" t="s">
        <v>465</v>
      </c>
      <c r="B414" s="17">
        <v>60000</v>
      </c>
      <c r="C414" s="17">
        <f>0.0125*B414</f>
        <v>750</v>
      </c>
      <c r="D414" s="18">
        <v>45736</v>
      </c>
      <c r="E414" s="16" t="s">
        <v>15</v>
      </c>
      <c r="F414" s="16" t="s">
        <v>12</v>
      </c>
      <c r="H414" s="16" t="s">
        <v>54</v>
      </c>
      <c r="K414" s="16">
        <v>360</v>
      </c>
    </row>
    <row r="415" spans="1:11" ht="12.75">
      <c r="A415" s="16" t="s">
        <v>233</v>
      </c>
      <c r="B415" s="17">
        <v>350000</v>
      </c>
      <c r="C415" s="17">
        <f t="shared" ref="C415:C416" si="99">0.0175*B415</f>
        <v>6125.0000000000009</v>
      </c>
      <c r="D415" s="18">
        <v>45736</v>
      </c>
      <c r="E415" s="16" t="s">
        <v>24</v>
      </c>
      <c r="F415" s="16" t="s">
        <v>144</v>
      </c>
      <c r="H415" s="16" t="s">
        <v>25</v>
      </c>
    </row>
    <row r="416" spans="1:11" ht="12.75">
      <c r="A416" s="16" t="s">
        <v>466</v>
      </c>
      <c r="B416" s="17">
        <v>40000</v>
      </c>
      <c r="C416" s="17">
        <f t="shared" si="99"/>
        <v>700.00000000000011</v>
      </c>
      <c r="D416" s="18">
        <v>45737</v>
      </c>
      <c r="E416" s="16" t="s">
        <v>15</v>
      </c>
      <c r="F416" s="16" t="s">
        <v>28</v>
      </c>
      <c r="H416" s="16" t="s">
        <v>98</v>
      </c>
      <c r="I416" s="21" t="s">
        <v>30</v>
      </c>
      <c r="K416" s="16">
        <v>120</v>
      </c>
    </row>
    <row r="417" spans="1:11" ht="12.75">
      <c r="A417" s="16" t="s">
        <v>467</v>
      </c>
      <c r="B417" s="17">
        <v>45000</v>
      </c>
      <c r="C417" s="17">
        <f>0.0125*B417</f>
        <v>562.5</v>
      </c>
      <c r="D417" s="18">
        <v>45737</v>
      </c>
      <c r="E417" s="16" t="s">
        <v>24</v>
      </c>
      <c r="F417" s="16" t="s">
        <v>12</v>
      </c>
      <c r="H417" s="16" t="s">
        <v>25</v>
      </c>
    </row>
    <row r="418" spans="1:11" ht="12.75">
      <c r="A418" s="16" t="s">
        <v>468</v>
      </c>
      <c r="B418" s="17">
        <v>800000</v>
      </c>
      <c r="C418" s="17">
        <f t="shared" ref="C418:C420" si="100">0.0175*B418</f>
        <v>14000.000000000002</v>
      </c>
      <c r="D418" s="18">
        <v>45740</v>
      </c>
      <c r="E418" s="16" t="s">
        <v>15</v>
      </c>
      <c r="F418" s="16" t="s">
        <v>28</v>
      </c>
      <c r="H418" s="16" t="s">
        <v>98</v>
      </c>
      <c r="I418" s="21" t="s">
        <v>30</v>
      </c>
      <c r="K418" s="16">
        <v>2400</v>
      </c>
    </row>
    <row r="419" spans="1:11" ht="12.75">
      <c r="A419" s="16" t="s">
        <v>469</v>
      </c>
      <c r="B419" s="17">
        <v>850000</v>
      </c>
      <c r="C419" s="17">
        <f t="shared" si="100"/>
        <v>14875.000000000002</v>
      </c>
      <c r="D419" s="18">
        <v>45740</v>
      </c>
      <c r="E419" s="16" t="s">
        <v>60</v>
      </c>
      <c r="F419" s="16" t="s">
        <v>28</v>
      </c>
      <c r="I419" s="21" t="s">
        <v>30</v>
      </c>
    </row>
    <row r="420" spans="1:11" ht="12.75">
      <c r="A420" s="16" t="s">
        <v>470</v>
      </c>
      <c r="B420" s="17">
        <v>50000</v>
      </c>
      <c r="C420" s="17">
        <f t="shared" si="100"/>
        <v>875.00000000000011</v>
      </c>
      <c r="D420" s="18">
        <v>45740</v>
      </c>
      <c r="E420" s="16" t="s">
        <v>11</v>
      </c>
      <c r="F420" s="16" t="s">
        <v>28</v>
      </c>
      <c r="I420" s="21" t="s">
        <v>30</v>
      </c>
    </row>
    <row r="421" spans="1:11" ht="12.75">
      <c r="A421" s="16" t="s">
        <v>471</v>
      </c>
      <c r="B421" s="17">
        <v>125000</v>
      </c>
      <c r="C421" s="17">
        <f>0.0125*B421</f>
        <v>1562.5</v>
      </c>
      <c r="D421" s="18">
        <v>45740</v>
      </c>
      <c r="E421" s="16" t="s">
        <v>11</v>
      </c>
      <c r="F421" s="16" t="s">
        <v>12</v>
      </c>
    </row>
    <row r="422" spans="1:11" ht="12.75">
      <c r="A422" s="16" t="s">
        <v>472</v>
      </c>
      <c r="B422" s="17">
        <v>500000</v>
      </c>
      <c r="C422" s="17">
        <f>0.0175*B422</f>
        <v>8750</v>
      </c>
      <c r="D422" s="18">
        <v>45740</v>
      </c>
      <c r="E422" s="16" t="s">
        <v>11</v>
      </c>
      <c r="F422" s="16" t="s">
        <v>28</v>
      </c>
      <c r="I422" s="21" t="s">
        <v>30</v>
      </c>
    </row>
    <row r="423" spans="1:11" ht="12.75">
      <c r="A423" s="16" t="s">
        <v>473</v>
      </c>
      <c r="B423" s="17">
        <v>115000</v>
      </c>
      <c r="C423" s="17">
        <f t="shared" ref="C423:C425" si="101">0.0125*B423</f>
        <v>1437.5</v>
      </c>
      <c r="D423" s="18">
        <v>45740</v>
      </c>
      <c r="E423" s="16" t="s">
        <v>40</v>
      </c>
      <c r="F423" s="16" t="s">
        <v>12</v>
      </c>
      <c r="H423" s="16" t="s">
        <v>35</v>
      </c>
      <c r="K423" s="16">
        <v>230</v>
      </c>
    </row>
    <row r="424" spans="1:11" ht="12.75">
      <c r="A424" s="16" t="s">
        <v>474</v>
      </c>
      <c r="B424" s="17">
        <v>70000</v>
      </c>
      <c r="C424" s="17">
        <f t="shared" si="101"/>
        <v>875</v>
      </c>
      <c r="D424" s="18">
        <v>45741</v>
      </c>
      <c r="E424" s="16" t="s">
        <v>11</v>
      </c>
      <c r="F424" s="16" t="s">
        <v>12</v>
      </c>
    </row>
    <row r="425" spans="1:11" ht="12.75">
      <c r="A425" s="16" t="s">
        <v>475</v>
      </c>
      <c r="B425" s="17">
        <v>500000</v>
      </c>
      <c r="C425" s="17">
        <f t="shared" si="101"/>
        <v>6250</v>
      </c>
      <c r="D425" s="18">
        <v>45741</v>
      </c>
      <c r="E425" s="16" t="s">
        <v>75</v>
      </c>
      <c r="F425" s="16" t="s">
        <v>12</v>
      </c>
    </row>
    <row r="426" spans="1:11" ht="12.75">
      <c r="A426" s="16" t="s">
        <v>476</v>
      </c>
      <c r="B426" s="17">
        <v>75000</v>
      </c>
      <c r="C426" s="17">
        <f t="shared" ref="C426:C429" si="102">0.0175*B426</f>
        <v>1312.5000000000002</v>
      </c>
      <c r="D426" s="18">
        <v>45741</v>
      </c>
      <c r="E426" s="16" t="s">
        <v>60</v>
      </c>
      <c r="F426" s="16" t="s">
        <v>28</v>
      </c>
      <c r="I426" s="21" t="s">
        <v>30</v>
      </c>
    </row>
    <row r="427" spans="1:11" ht="12.75">
      <c r="A427" s="16" t="s">
        <v>477</v>
      </c>
      <c r="B427" s="17">
        <v>325000</v>
      </c>
      <c r="C427" s="17">
        <f t="shared" si="102"/>
        <v>5687.5000000000009</v>
      </c>
      <c r="D427" s="18">
        <v>45741</v>
      </c>
      <c r="E427" s="16" t="s">
        <v>60</v>
      </c>
      <c r="F427" s="16" t="s">
        <v>28</v>
      </c>
      <c r="I427" s="21" t="s">
        <v>30</v>
      </c>
    </row>
    <row r="428" spans="1:11" ht="12.75">
      <c r="A428" s="16" t="s">
        <v>478</v>
      </c>
      <c r="B428" s="17">
        <v>10000</v>
      </c>
      <c r="C428" s="17">
        <f t="shared" si="102"/>
        <v>175.00000000000003</v>
      </c>
      <c r="D428" s="18">
        <v>45741</v>
      </c>
      <c r="E428" s="16" t="s">
        <v>11</v>
      </c>
      <c r="F428" s="16" t="s">
        <v>28</v>
      </c>
      <c r="I428" s="21" t="s">
        <v>30</v>
      </c>
    </row>
    <row r="429" spans="1:11" ht="12.75">
      <c r="A429" s="16" t="s">
        <v>479</v>
      </c>
      <c r="B429" s="17">
        <v>60000</v>
      </c>
      <c r="C429" s="17">
        <f t="shared" si="102"/>
        <v>1050</v>
      </c>
      <c r="D429" s="18">
        <v>45742</v>
      </c>
      <c r="E429" s="16" t="s">
        <v>11</v>
      </c>
      <c r="F429" s="16" t="s">
        <v>28</v>
      </c>
      <c r="I429" s="21" t="s">
        <v>30</v>
      </c>
    </row>
    <row r="430" spans="1:11" ht="12.75">
      <c r="A430" s="16" t="s">
        <v>373</v>
      </c>
      <c r="B430" s="17">
        <v>270000</v>
      </c>
      <c r="C430" s="17">
        <f t="shared" ref="C430:C432" si="103">0.0125*B430</f>
        <v>3375</v>
      </c>
      <c r="D430" s="18">
        <v>45742</v>
      </c>
      <c r="E430" s="16" t="s">
        <v>480</v>
      </c>
      <c r="F430" s="16" t="s">
        <v>12</v>
      </c>
      <c r="H430" s="16" t="s">
        <v>22</v>
      </c>
    </row>
    <row r="431" spans="1:11" ht="12.75">
      <c r="A431" s="16" t="s">
        <v>481</v>
      </c>
      <c r="B431" s="17">
        <v>750000</v>
      </c>
      <c r="C431" s="17">
        <f t="shared" si="103"/>
        <v>9375</v>
      </c>
      <c r="D431" s="18">
        <v>45743</v>
      </c>
      <c r="E431" s="16" t="s">
        <v>11</v>
      </c>
      <c r="F431" s="16" t="s">
        <v>12</v>
      </c>
    </row>
    <row r="432" spans="1:11" ht="12.75">
      <c r="A432" s="16" t="s">
        <v>482</v>
      </c>
      <c r="B432" s="17">
        <v>80000</v>
      </c>
      <c r="C432" s="17">
        <f t="shared" si="103"/>
        <v>1000</v>
      </c>
      <c r="D432" s="18">
        <v>45743</v>
      </c>
      <c r="E432" s="16" t="s">
        <v>73</v>
      </c>
      <c r="F432" s="16" t="s">
        <v>12</v>
      </c>
    </row>
    <row r="433" spans="1:11" ht="12.75">
      <c r="A433" s="16" t="s">
        <v>483</v>
      </c>
      <c r="B433" s="17">
        <v>1750000</v>
      </c>
      <c r="C433" s="17">
        <f t="shared" ref="C433:C435" si="104">0.0175*B433</f>
        <v>30625.000000000004</v>
      </c>
      <c r="D433" s="18">
        <v>45743</v>
      </c>
      <c r="E433" s="16" t="s">
        <v>11</v>
      </c>
      <c r="F433" s="16" t="s">
        <v>41</v>
      </c>
      <c r="I433" s="21" t="s">
        <v>30</v>
      </c>
    </row>
    <row r="434" spans="1:11" ht="12.75">
      <c r="A434" s="16" t="s">
        <v>484</v>
      </c>
      <c r="B434" s="17">
        <v>225000</v>
      </c>
      <c r="C434" s="17">
        <f t="shared" si="104"/>
        <v>3937.5000000000005</v>
      </c>
      <c r="D434" s="18">
        <v>45743</v>
      </c>
      <c r="E434" s="16" t="s">
        <v>11</v>
      </c>
      <c r="F434" s="16" t="s">
        <v>28</v>
      </c>
      <c r="I434" s="21" t="s">
        <v>30</v>
      </c>
    </row>
    <row r="435" spans="1:11" ht="12.75">
      <c r="A435" s="16" t="s">
        <v>485</v>
      </c>
      <c r="B435" s="17">
        <v>100000</v>
      </c>
      <c r="C435" s="17">
        <f t="shared" si="104"/>
        <v>1750.0000000000002</v>
      </c>
      <c r="D435" s="18">
        <v>45743</v>
      </c>
      <c r="E435" s="16" t="s">
        <v>11</v>
      </c>
      <c r="F435" s="16" t="s">
        <v>28</v>
      </c>
      <c r="I435" s="21" t="s">
        <v>30</v>
      </c>
    </row>
    <row r="436" spans="1:11" ht="12.75">
      <c r="A436" s="16" t="s">
        <v>486</v>
      </c>
      <c r="B436" s="17">
        <v>275000</v>
      </c>
      <c r="C436" s="17">
        <f t="shared" ref="C436:C437" si="105">0.0125*B436</f>
        <v>3437.5</v>
      </c>
      <c r="D436" s="18">
        <v>45743</v>
      </c>
      <c r="E436" s="16" t="s">
        <v>73</v>
      </c>
      <c r="F436" s="16" t="s">
        <v>12</v>
      </c>
    </row>
    <row r="437" spans="1:11" ht="12.75">
      <c r="A437" s="16" t="s">
        <v>487</v>
      </c>
      <c r="B437" s="17">
        <v>225000</v>
      </c>
      <c r="C437" s="17">
        <f t="shared" si="105"/>
        <v>2812.5</v>
      </c>
      <c r="D437" s="18">
        <v>45743</v>
      </c>
      <c r="E437" s="16" t="s">
        <v>15</v>
      </c>
      <c r="F437" s="16" t="s">
        <v>12</v>
      </c>
      <c r="H437" s="16" t="s">
        <v>98</v>
      </c>
      <c r="K437" s="16">
        <v>675</v>
      </c>
    </row>
    <row r="438" spans="1:11" ht="12.75">
      <c r="A438" s="16" t="s">
        <v>488</v>
      </c>
      <c r="B438" s="17">
        <v>175000</v>
      </c>
      <c r="C438" s="17">
        <f t="shared" ref="C438:C442" si="106">0.0175*B438</f>
        <v>3062.5000000000005</v>
      </c>
      <c r="D438" s="18">
        <v>45743</v>
      </c>
      <c r="E438" s="16" t="s">
        <v>11</v>
      </c>
      <c r="F438" s="16" t="s">
        <v>28</v>
      </c>
      <c r="I438" s="21" t="s">
        <v>30</v>
      </c>
    </row>
    <row r="439" spans="1:11" ht="12.75">
      <c r="A439" s="16" t="s">
        <v>489</v>
      </c>
      <c r="B439" s="17">
        <v>80000</v>
      </c>
      <c r="C439" s="17">
        <f t="shared" si="106"/>
        <v>1400.0000000000002</v>
      </c>
      <c r="D439" s="18">
        <v>45743</v>
      </c>
      <c r="E439" s="16" t="s">
        <v>11</v>
      </c>
      <c r="F439" s="16" t="s">
        <v>28</v>
      </c>
    </row>
    <row r="440" spans="1:11" ht="12.75">
      <c r="A440" s="16" t="s">
        <v>490</v>
      </c>
      <c r="B440" s="17">
        <v>100000</v>
      </c>
      <c r="C440" s="17">
        <f t="shared" si="106"/>
        <v>1750.0000000000002</v>
      </c>
      <c r="D440" s="18">
        <v>45743</v>
      </c>
      <c r="E440" s="16" t="s">
        <v>11</v>
      </c>
      <c r="F440" s="16" t="s">
        <v>41</v>
      </c>
      <c r="I440" s="21" t="s">
        <v>30</v>
      </c>
    </row>
    <row r="441" spans="1:11" ht="12.75">
      <c r="A441" s="16" t="s">
        <v>491</v>
      </c>
      <c r="B441" s="17">
        <v>107000</v>
      </c>
      <c r="C441" s="17">
        <f t="shared" si="106"/>
        <v>1872.5000000000002</v>
      </c>
      <c r="D441" s="18">
        <v>45743</v>
      </c>
      <c r="E441" s="16" t="s">
        <v>21</v>
      </c>
      <c r="F441" s="16" t="s">
        <v>28</v>
      </c>
      <c r="H441" s="16" t="s">
        <v>13</v>
      </c>
      <c r="I441" s="21" t="s">
        <v>30</v>
      </c>
    </row>
    <row r="442" spans="1:11" ht="12.75">
      <c r="A442" s="16" t="s">
        <v>492</v>
      </c>
      <c r="B442" s="17">
        <v>750000</v>
      </c>
      <c r="C442" s="17">
        <f t="shared" si="106"/>
        <v>13125.000000000002</v>
      </c>
      <c r="D442" s="18">
        <v>45744</v>
      </c>
      <c r="E442" s="16" t="s">
        <v>11</v>
      </c>
      <c r="F442" s="16" t="s">
        <v>41</v>
      </c>
      <c r="I442" s="21" t="s">
        <v>30</v>
      </c>
    </row>
    <row r="443" spans="1:11" ht="12.75">
      <c r="A443" s="16" t="s">
        <v>493</v>
      </c>
      <c r="B443" s="17">
        <v>50000</v>
      </c>
      <c r="C443" s="17">
        <f>0.0125*B443</f>
        <v>625</v>
      </c>
      <c r="D443" s="18">
        <v>45744</v>
      </c>
      <c r="E443" s="16" t="s">
        <v>60</v>
      </c>
      <c r="F443" s="16" t="s">
        <v>12</v>
      </c>
    </row>
    <row r="444" spans="1:11" ht="12.75">
      <c r="A444" s="16" t="s">
        <v>494</v>
      </c>
      <c r="B444" s="17">
        <v>150000</v>
      </c>
      <c r="C444" s="17">
        <f>0.0175*B444</f>
        <v>2625.0000000000005</v>
      </c>
      <c r="D444" s="18">
        <v>45744</v>
      </c>
      <c r="E444" s="16" t="s">
        <v>69</v>
      </c>
      <c r="F444" s="16" t="s">
        <v>28</v>
      </c>
      <c r="H444" s="16" t="s">
        <v>13</v>
      </c>
    </row>
    <row r="445" spans="1:11" ht="12.75">
      <c r="A445" s="16" t="s">
        <v>495</v>
      </c>
      <c r="B445" s="17">
        <v>135000</v>
      </c>
      <c r="C445" s="17">
        <f>0.0125*B445</f>
        <v>1687.5</v>
      </c>
      <c r="D445" s="18">
        <v>45744</v>
      </c>
      <c r="E445" s="16" t="s">
        <v>15</v>
      </c>
      <c r="F445" s="16" t="s">
        <v>12</v>
      </c>
      <c r="H445" s="16" t="s">
        <v>16</v>
      </c>
      <c r="K445" s="16">
        <v>540</v>
      </c>
    </row>
    <row r="446" spans="1:11" ht="12.75">
      <c r="A446" s="16" t="s">
        <v>383</v>
      </c>
      <c r="B446" s="17">
        <v>50000</v>
      </c>
      <c r="C446" s="17">
        <f t="shared" ref="C446:C448" si="107">0.0175*B446</f>
        <v>875.00000000000011</v>
      </c>
      <c r="D446" s="18">
        <v>45744</v>
      </c>
      <c r="E446" s="16" t="s">
        <v>15</v>
      </c>
      <c r="F446" s="16" t="s">
        <v>28</v>
      </c>
      <c r="H446" s="16" t="s">
        <v>98</v>
      </c>
      <c r="K446" s="16">
        <v>150</v>
      </c>
    </row>
    <row r="447" spans="1:11" ht="12.75">
      <c r="A447" s="16" t="s">
        <v>496</v>
      </c>
      <c r="B447" s="17">
        <v>30000</v>
      </c>
      <c r="C447" s="17">
        <f t="shared" si="107"/>
        <v>525</v>
      </c>
      <c r="D447" s="18">
        <v>45744</v>
      </c>
      <c r="E447" s="16" t="s">
        <v>24</v>
      </c>
      <c r="F447" s="16" t="s">
        <v>28</v>
      </c>
      <c r="H447" s="16" t="s">
        <v>497</v>
      </c>
      <c r="I447" s="21" t="s">
        <v>30</v>
      </c>
    </row>
    <row r="448" spans="1:11" ht="12.75">
      <c r="A448" s="16" t="s">
        <v>498</v>
      </c>
      <c r="B448" s="17">
        <v>150000</v>
      </c>
      <c r="C448" s="17">
        <f t="shared" si="107"/>
        <v>2625.0000000000005</v>
      </c>
      <c r="D448" s="18">
        <v>45747</v>
      </c>
      <c r="E448" s="16" t="s">
        <v>15</v>
      </c>
      <c r="F448" s="16" t="s">
        <v>41</v>
      </c>
      <c r="H448" s="16" t="s">
        <v>220</v>
      </c>
      <c r="K448" s="16">
        <v>525</v>
      </c>
    </row>
    <row r="449" spans="1:16" ht="12.75">
      <c r="A449" s="16" t="s">
        <v>499</v>
      </c>
      <c r="B449" s="17">
        <v>360000</v>
      </c>
      <c r="C449" s="17">
        <f t="shared" ref="C449:C452" si="108">0.0125*B449</f>
        <v>4500</v>
      </c>
      <c r="D449" s="18">
        <v>45747</v>
      </c>
      <c r="E449" s="16" t="s">
        <v>40</v>
      </c>
      <c r="F449" s="16" t="s">
        <v>12</v>
      </c>
      <c r="H449" s="16" t="s">
        <v>282</v>
      </c>
      <c r="K449" s="16">
        <v>360</v>
      </c>
    </row>
    <row r="450" spans="1:16" ht="12.75">
      <c r="A450" s="16" t="s">
        <v>500</v>
      </c>
      <c r="B450" s="17">
        <v>55000</v>
      </c>
      <c r="C450" s="17">
        <f t="shared" si="108"/>
        <v>687.5</v>
      </c>
      <c r="D450" s="18">
        <v>45747</v>
      </c>
      <c r="E450" s="16" t="s">
        <v>15</v>
      </c>
      <c r="F450" s="16" t="s">
        <v>12</v>
      </c>
      <c r="H450" s="16" t="s">
        <v>54</v>
      </c>
      <c r="K450" s="16">
        <v>330</v>
      </c>
    </row>
    <row r="451" spans="1:16" ht="12.75">
      <c r="A451" s="16" t="s">
        <v>501</v>
      </c>
      <c r="B451" s="17">
        <v>37000</v>
      </c>
      <c r="C451" s="17">
        <f t="shared" si="108"/>
        <v>462.5</v>
      </c>
      <c r="D451" s="18">
        <v>45747</v>
      </c>
      <c r="E451" s="16" t="s">
        <v>11</v>
      </c>
      <c r="F451" s="16" t="s">
        <v>12</v>
      </c>
    </row>
    <row r="452" spans="1:16" ht="12.75">
      <c r="A452" s="16" t="s">
        <v>502</v>
      </c>
      <c r="B452" s="17">
        <v>245000</v>
      </c>
      <c r="C452" s="17">
        <f t="shared" si="108"/>
        <v>3062.5</v>
      </c>
      <c r="D452" s="18">
        <v>45747</v>
      </c>
      <c r="E452" s="16" t="s">
        <v>135</v>
      </c>
      <c r="F452" s="16" t="s">
        <v>12</v>
      </c>
      <c r="H452" s="16" t="s">
        <v>22</v>
      </c>
    </row>
    <row r="453" spans="1:16" ht="12.75">
      <c r="A453" s="16" t="s">
        <v>503</v>
      </c>
      <c r="B453" s="17">
        <v>50000</v>
      </c>
      <c r="C453" s="17">
        <f t="shared" ref="C453:C454" si="109">0.0175*B453</f>
        <v>875.00000000000011</v>
      </c>
      <c r="D453" s="18">
        <v>45747</v>
      </c>
      <c r="E453" s="16" t="s">
        <v>15</v>
      </c>
      <c r="F453" s="16" t="s">
        <v>28</v>
      </c>
      <c r="H453" s="16" t="s">
        <v>51</v>
      </c>
      <c r="K453" s="16">
        <v>250</v>
      </c>
    </row>
    <row r="454" spans="1:16" ht="12.75">
      <c r="A454" s="16" t="s">
        <v>27</v>
      </c>
      <c r="B454" s="17">
        <v>30000</v>
      </c>
      <c r="C454" s="17">
        <f t="shared" si="109"/>
        <v>525</v>
      </c>
      <c r="D454" s="18">
        <v>45747</v>
      </c>
      <c r="E454" s="16" t="s">
        <v>15</v>
      </c>
      <c r="F454" s="16" t="s">
        <v>67</v>
      </c>
      <c r="H454" s="16" t="s">
        <v>29</v>
      </c>
      <c r="K454" s="16">
        <v>135</v>
      </c>
    </row>
    <row r="455" spans="1:16" ht="12.75">
      <c r="A455" s="16" t="s">
        <v>504</v>
      </c>
      <c r="B455" s="17">
        <v>150000</v>
      </c>
      <c r="C455" s="17">
        <f>0.0125*B455</f>
        <v>1875</v>
      </c>
      <c r="D455" s="18">
        <v>45747</v>
      </c>
      <c r="E455" s="16" t="s">
        <v>60</v>
      </c>
      <c r="F455" s="16" t="s">
        <v>12</v>
      </c>
    </row>
    <row r="456" spans="1:16" ht="12.75">
      <c r="A456" s="16" t="s">
        <v>505</v>
      </c>
      <c r="B456" s="17">
        <v>50000</v>
      </c>
      <c r="C456" s="17">
        <f>0.0175*B456</f>
        <v>875.00000000000011</v>
      </c>
      <c r="D456" s="18">
        <v>45747</v>
      </c>
      <c r="E456" s="16" t="s">
        <v>11</v>
      </c>
      <c r="F456" s="16" t="s">
        <v>67</v>
      </c>
      <c r="I456" s="21" t="s">
        <v>30</v>
      </c>
    </row>
    <row r="457" spans="1:16" ht="12.75">
      <c r="A457" s="11">
        <v>45748</v>
      </c>
      <c r="B457" s="12">
        <f t="shared" ref="B457:C457" si="110">SUM(B458:B576)</f>
        <v>22214200</v>
      </c>
      <c r="C457" s="12">
        <f t="shared" si="110"/>
        <v>347866</v>
      </c>
      <c r="D457" s="13"/>
      <c r="E457" s="14"/>
      <c r="F457" s="14"/>
      <c r="G457" s="14"/>
      <c r="H457" s="15"/>
      <c r="I457" s="15"/>
      <c r="J457" s="15"/>
      <c r="K457" s="15"/>
      <c r="L457" s="15"/>
    </row>
    <row r="458" spans="1:16" ht="12.75">
      <c r="A458" s="16" t="s">
        <v>506</v>
      </c>
      <c r="B458" s="17">
        <v>75000</v>
      </c>
      <c r="C458" s="17">
        <f t="shared" ref="C458:C461" si="111">0.0175*B458</f>
        <v>1312.5000000000002</v>
      </c>
      <c r="D458" s="18">
        <v>45748</v>
      </c>
      <c r="E458" s="16" t="s">
        <v>15</v>
      </c>
      <c r="F458" s="16" t="s">
        <v>28</v>
      </c>
      <c r="H458" s="16" t="s">
        <v>54</v>
      </c>
      <c r="K458" s="16">
        <v>450</v>
      </c>
      <c r="O458" s="19" t="s">
        <v>13</v>
      </c>
    </row>
    <row r="459" spans="1:16" ht="12.75">
      <c r="A459" s="16" t="s">
        <v>468</v>
      </c>
      <c r="B459" s="17">
        <v>200000</v>
      </c>
      <c r="C459" s="17">
        <f t="shared" si="111"/>
        <v>3500.0000000000005</v>
      </c>
      <c r="D459" s="18">
        <v>45748</v>
      </c>
      <c r="E459" s="16" t="s">
        <v>15</v>
      </c>
      <c r="F459" s="16" t="s">
        <v>67</v>
      </c>
      <c r="H459" s="16" t="s">
        <v>98</v>
      </c>
      <c r="K459" s="16">
        <v>600</v>
      </c>
      <c r="O459" s="16" t="s">
        <v>17</v>
      </c>
      <c r="P459" s="20">
        <v>11538.46</v>
      </c>
    </row>
    <row r="460" spans="1:16" ht="12.75">
      <c r="A460" s="16" t="s">
        <v>507</v>
      </c>
      <c r="B460" s="17">
        <v>100000</v>
      </c>
      <c r="C460" s="17">
        <f t="shared" si="111"/>
        <v>1750.0000000000002</v>
      </c>
      <c r="D460" s="18">
        <v>45748</v>
      </c>
      <c r="E460" s="16" t="s">
        <v>15</v>
      </c>
      <c r="F460" s="16" t="s">
        <v>28</v>
      </c>
      <c r="H460" s="16" t="s">
        <v>16</v>
      </c>
      <c r="I460" s="21" t="s">
        <v>30</v>
      </c>
      <c r="K460" s="16">
        <v>400</v>
      </c>
      <c r="O460" s="16" t="s">
        <v>19</v>
      </c>
      <c r="P460" s="20">
        <v>7201</v>
      </c>
    </row>
    <row r="461" spans="1:16" ht="12.75">
      <c r="A461" s="16" t="s">
        <v>508</v>
      </c>
      <c r="B461" s="17">
        <v>50000</v>
      </c>
      <c r="C461" s="17">
        <f t="shared" si="111"/>
        <v>875.00000000000011</v>
      </c>
      <c r="D461" s="18">
        <v>45748</v>
      </c>
      <c r="E461" s="16" t="s">
        <v>24</v>
      </c>
      <c r="F461" s="16" t="s">
        <v>28</v>
      </c>
      <c r="H461" s="16" t="s">
        <v>497</v>
      </c>
      <c r="O461" s="16" t="s">
        <v>15</v>
      </c>
      <c r="P461" s="20">
        <v>10009.5</v>
      </c>
    </row>
    <row r="462" spans="1:16" ht="12.75">
      <c r="A462" s="16" t="s">
        <v>509</v>
      </c>
      <c r="B462" s="17">
        <v>75000</v>
      </c>
      <c r="C462" s="17">
        <f t="shared" ref="C462:C464" si="112">0.0125*B462</f>
        <v>937.5</v>
      </c>
      <c r="D462" s="18">
        <v>45749</v>
      </c>
      <c r="E462" s="16" t="s">
        <v>11</v>
      </c>
      <c r="F462" s="16" t="s">
        <v>12</v>
      </c>
      <c r="O462" s="16" t="s">
        <v>26</v>
      </c>
      <c r="P462" s="20">
        <v>37550</v>
      </c>
    </row>
    <row r="463" spans="1:16" ht="12.75">
      <c r="A463" s="16" t="s">
        <v>510</v>
      </c>
      <c r="B463" s="17">
        <v>100000</v>
      </c>
      <c r="C463" s="17">
        <f t="shared" si="112"/>
        <v>1250</v>
      </c>
      <c r="D463" s="18">
        <v>45749</v>
      </c>
      <c r="E463" s="16" t="s">
        <v>24</v>
      </c>
      <c r="F463" s="16" t="s">
        <v>12</v>
      </c>
      <c r="H463" s="16" t="s">
        <v>497</v>
      </c>
      <c r="O463" s="16" t="s">
        <v>31</v>
      </c>
      <c r="P463" s="20">
        <v>2424.5</v>
      </c>
    </row>
    <row r="464" spans="1:16" ht="12.75">
      <c r="A464" s="16" t="s">
        <v>511</v>
      </c>
      <c r="B464" s="17">
        <v>825000</v>
      </c>
      <c r="C464" s="17">
        <f t="shared" si="112"/>
        <v>10312.5</v>
      </c>
      <c r="D464" s="18">
        <v>45749</v>
      </c>
      <c r="E464" s="16" t="s">
        <v>11</v>
      </c>
      <c r="F464" s="16" t="s">
        <v>12</v>
      </c>
      <c r="O464" s="16" t="s">
        <v>242</v>
      </c>
      <c r="P464" s="20">
        <v>601.9</v>
      </c>
    </row>
    <row r="465" spans="1:16" ht="12.75">
      <c r="A465" s="16" t="s">
        <v>512</v>
      </c>
      <c r="B465" s="17">
        <v>45000</v>
      </c>
      <c r="C465" s="17">
        <f t="shared" ref="C465:C470" si="113">0.0175*B465</f>
        <v>787.50000000000011</v>
      </c>
      <c r="D465" s="18">
        <v>45749</v>
      </c>
      <c r="E465" s="16" t="s">
        <v>15</v>
      </c>
      <c r="F465" s="16" t="s">
        <v>28</v>
      </c>
      <c r="H465" s="16" t="s">
        <v>149</v>
      </c>
      <c r="I465" s="21" t="s">
        <v>30</v>
      </c>
      <c r="K465" s="16">
        <v>112.5</v>
      </c>
      <c r="P465" s="16">
        <v>-510</v>
      </c>
    </row>
    <row r="466" spans="1:16" ht="12.75">
      <c r="A466" s="16" t="s">
        <v>513</v>
      </c>
      <c r="B466" s="17">
        <v>350000</v>
      </c>
      <c r="C466" s="17">
        <f t="shared" si="113"/>
        <v>6125.0000000000009</v>
      </c>
      <c r="D466" s="18">
        <v>45749</v>
      </c>
      <c r="E466" s="16" t="s">
        <v>15</v>
      </c>
      <c r="F466" s="16" t="s">
        <v>28</v>
      </c>
      <c r="H466" s="16" t="s">
        <v>51</v>
      </c>
      <c r="I466" s="21" t="s">
        <v>30</v>
      </c>
      <c r="K466" s="16">
        <v>1750</v>
      </c>
      <c r="O466" s="19" t="s">
        <v>245</v>
      </c>
    </row>
    <row r="467" spans="1:16" ht="12.75">
      <c r="A467" s="16" t="s">
        <v>514</v>
      </c>
      <c r="B467" s="17">
        <v>100000</v>
      </c>
      <c r="C467" s="17">
        <f t="shared" si="113"/>
        <v>1750.0000000000002</v>
      </c>
      <c r="D467" s="18">
        <v>45749</v>
      </c>
      <c r="E467" s="16" t="s">
        <v>15</v>
      </c>
      <c r="F467" s="16" t="s">
        <v>28</v>
      </c>
      <c r="H467" s="16" t="s">
        <v>51</v>
      </c>
      <c r="I467" s="21" t="s">
        <v>30</v>
      </c>
      <c r="K467" s="16">
        <v>500</v>
      </c>
      <c r="O467" s="16" t="s">
        <v>17</v>
      </c>
      <c r="P467" s="16">
        <v>11538.46</v>
      </c>
    </row>
    <row r="468" spans="1:16" ht="12.75">
      <c r="A468" s="16" t="s">
        <v>515</v>
      </c>
      <c r="B468" s="17">
        <v>500000</v>
      </c>
      <c r="C468" s="17">
        <f t="shared" si="113"/>
        <v>8750</v>
      </c>
      <c r="D468" s="18">
        <v>45750</v>
      </c>
      <c r="E468" s="16" t="s">
        <v>118</v>
      </c>
      <c r="F468" s="16" t="s">
        <v>28</v>
      </c>
      <c r="H468" s="16" t="s">
        <v>13</v>
      </c>
      <c r="I468" s="21" t="s">
        <v>30</v>
      </c>
      <c r="O468" s="16" t="s">
        <v>15</v>
      </c>
      <c r="P468" s="20">
        <v>17206.900000000001</v>
      </c>
    </row>
    <row r="469" spans="1:16" ht="12.75">
      <c r="A469" s="16" t="s">
        <v>516</v>
      </c>
      <c r="B469" s="17">
        <v>75000</v>
      </c>
      <c r="C469" s="17">
        <f t="shared" si="113"/>
        <v>1312.5000000000002</v>
      </c>
      <c r="D469" s="18">
        <v>45750</v>
      </c>
      <c r="E469" s="16" t="s">
        <v>60</v>
      </c>
      <c r="F469" s="16" t="s">
        <v>28</v>
      </c>
      <c r="I469" s="21" t="s">
        <v>30</v>
      </c>
      <c r="O469" s="16" t="s">
        <v>517</v>
      </c>
      <c r="P469" s="16">
        <v>-510</v>
      </c>
    </row>
    <row r="470" spans="1:16" ht="12.75">
      <c r="A470" s="16" t="s">
        <v>518</v>
      </c>
      <c r="B470" s="17">
        <v>500000</v>
      </c>
      <c r="C470" s="17">
        <f t="shared" si="113"/>
        <v>8750</v>
      </c>
      <c r="D470" s="18">
        <v>45750</v>
      </c>
      <c r="E470" s="16" t="s">
        <v>376</v>
      </c>
      <c r="F470" s="16" t="s">
        <v>28</v>
      </c>
      <c r="H470" s="16" t="s">
        <v>13</v>
      </c>
      <c r="I470" s="21" t="s">
        <v>30</v>
      </c>
    </row>
    <row r="471" spans="1:16" ht="12.75">
      <c r="A471" s="16" t="s">
        <v>519</v>
      </c>
      <c r="B471" s="17">
        <v>15000</v>
      </c>
      <c r="C471" s="17">
        <f t="shared" ref="C471:C472" si="114">0.0125*B471</f>
        <v>187.5</v>
      </c>
      <c r="D471" s="18">
        <v>45751</v>
      </c>
      <c r="E471" s="16" t="s">
        <v>15</v>
      </c>
      <c r="F471" s="16" t="s">
        <v>144</v>
      </c>
      <c r="H471" s="16" t="s">
        <v>51</v>
      </c>
      <c r="K471" s="16">
        <v>75</v>
      </c>
    </row>
    <row r="472" spans="1:16" ht="12.75">
      <c r="A472" s="16" t="s">
        <v>104</v>
      </c>
      <c r="B472" s="17">
        <v>145000</v>
      </c>
      <c r="C472" s="17">
        <f t="shared" si="114"/>
        <v>1812.5</v>
      </c>
      <c r="D472" s="18">
        <v>45751</v>
      </c>
      <c r="E472" s="16" t="s">
        <v>69</v>
      </c>
      <c r="F472" s="16" t="s">
        <v>12</v>
      </c>
      <c r="H472" s="16" t="s">
        <v>22</v>
      </c>
    </row>
    <row r="473" spans="1:16" ht="12.75">
      <c r="A473" s="16" t="s">
        <v>520</v>
      </c>
      <c r="B473" s="17">
        <v>100000</v>
      </c>
      <c r="C473" s="17">
        <f t="shared" ref="C473:C478" si="115">0.0175*B473</f>
        <v>1750.0000000000002</v>
      </c>
      <c r="D473" s="18">
        <v>45751</v>
      </c>
      <c r="E473" s="16" t="s">
        <v>15</v>
      </c>
      <c r="F473" s="16" t="s">
        <v>41</v>
      </c>
      <c r="H473" s="16" t="s">
        <v>282</v>
      </c>
      <c r="I473" s="21" t="s">
        <v>30</v>
      </c>
      <c r="K473" s="16">
        <v>100</v>
      </c>
    </row>
    <row r="474" spans="1:16" ht="12.75">
      <c r="A474" s="16" t="s">
        <v>521</v>
      </c>
      <c r="B474" s="17">
        <v>150000</v>
      </c>
      <c r="C474" s="17">
        <f t="shared" si="115"/>
        <v>2625.0000000000005</v>
      </c>
      <c r="D474" s="18">
        <v>45751</v>
      </c>
      <c r="E474" s="16" t="s">
        <v>118</v>
      </c>
      <c r="F474" s="16" t="s">
        <v>28</v>
      </c>
      <c r="H474" s="16" t="s">
        <v>13</v>
      </c>
      <c r="I474" s="21" t="s">
        <v>30</v>
      </c>
    </row>
    <row r="475" spans="1:16" ht="12.75">
      <c r="A475" s="16" t="s">
        <v>522</v>
      </c>
      <c r="B475" s="17">
        <v>90000</v>
      </c>
      <c r="C475" s="17">
        <f t="shared" si="115"/>
        <v>1575.0000000000002</v>
      </c>
      <c r="D475" s="18">
        <v>45751</v>
      </c>
      <c r="E475" s="16" t="s">
        <v>24</v>
      </c>
      <c r="F475" s="16" t="s">
        <v>28</v>
      </c>
      <c r="H475" s="16" t="s">
        <v>497</v>
      </c>
      <c r="I475" s="21" t="s">
        <v>30</v>
      </c>
    </row>
    <row r="476" spans="1:16" ht="12.75">
      <c r="A476" s="16" t="s">
        <v>459</v>
      </c>
      <c r="B476" s="17">
        <v>150000</v>
      </c>
      <c r="C476" s="17">
        <f t="shared" si="115"/>
        <v>2625.0000000000005</v>
      </c>
      <c r="D476" s="18">
        <v>45751</v>
      </c>
      <c r="E476" s="16" t="s">
        <v>60</v>
      </c>
      <c r="F476" s="16" t="s">
        <v>67</v>
      </c>
      <c r="I476" s="21" t="s">
        <v>30</v>
      </c>
    </row>
    <row r="477" spans="1:16" ht="12.75">
      <c r="A477" s="16" t="s">
        <v>523</v>
      </c>
      <c r="B477" s="17">
        <v>70000</v>
      </c>
      <c r="C477" s="17">
        <f t="shared" si="115"/>
        <v>1225.0000000000002</v>
      </c>
      <c r="D477" s="18">
        <v>45754</v>
      </c>
      <c r="E477" s="16" t="s">
        <v>11</v>
      </c>
      <c r="F477" s="16" t="s">
        <v>28</v>
      </c>
      <c r="I477" s="21" t="s">
        <v>30</v>
      </c>
    </row>
    <row r="478" spans="1:16" ht="12.75">
      <c r="A478" s="16" t="s">
        <v>430</v>
      </c>
      <c r="B478" s="17">
        <v>50000</v>
      </c>
      <c r="C478" s="17">
        <f t="shared" si="115"/>
        <v>875.00000000000011</v>
      </c>
      <c r="D478" s="18">
        <v>45754</v>
      </c>
      <c r="E478" s="16" t="s">
        <v>15</v>
      </c>
      <c r="F478" s="16" t="s">
        <v>347</v>
      </c>
      <c r="H478" s="16" t="s">
        <v>149</v>
      </c>
      <c r="I478" s="21" t="s">
        <v>30</v>
      </c>
      <c r="K478" s="16">
        <v>125</v>
      </c>
    </row>
    <row r="479" spans="1:16" ht="12.75">
      <c r="A479" s="16" t="s">
        <v>524</v>
      </c>
      <c r="B479" s="17">
        <v>60000</v>
      </c>
      <c r="C479" s="17">
        <f>0.0125*B479</f>
        <v>750</v>
      </c>
      <c r="D479" s="18">
        <v>45754</v>
      </c>
      <c r="E479" s="16" t="s">
        <v>73</v>
      </c>
      <c r="F479" s="16" t="s">
        <v>12</v>
      </c>
    </row>
    <row r="480" spans="1:16" ht="12.75">
      <c r="A480" s="16" t="s">
        <v>525</v>
      </c>
      <c r="B480" s="17">
        <v>70000</v>
      </c>
      <c r="C480" s="17">
        <f t="shared" ref="C480:C482" si="116">0.0175*B480</f>
        <v>1225.0000000000002</v>
      </c>
      <c r="D480" s="18">
        <v>45754</v>
      </c>
      <c r="E480" s="16" t="s">
        <v>60</v>
      </c>
      <c r="F480" s="16" t="s">
        <v>28</v>
      </c>
      <c r="I480" s="21" t="s">
        <v>30</v>
      </c>
    </row>
    <row r="481" spans="1:11" ht="12.75">
      <c r="A481" s="16" t="s">
        <v>526</v>
      </c>
      <c r="B481" s="17">
        <v>80000</v>
      </c>
      <c r="C481" s="17">
        <f t="shared" si="116"/>
        <v>1400.0000000000002</v>
      </c>
      <c r="D481" s="18">
        <v>45755</v>
      </c>
      <c r="E481" s="16" t="s">
        <v>60</v>
      </c>
      <c r="F481" s="16" t="s">
        <v>347</v>
      </c>
      <c r="I481" s="21" t="s">
        <v>30</v>
      </c>
    </row>
    <row r="482" spans="1:11" ht="12.75">
      <c r="A482" s="16" t="s">
        <v>527</v>
      </c>
      <c r="B482" s="17">
        <v>100000</v>
      </c>
      <c r="C482" s="17">
        <f t="shared" si="116"/>
        <v>1750.0000000000002</v>
      </c>
      <c r="D482" s="18">
        <v>45755</v>
      </c>
      <c r="E482" s="16" t="s">
        <v>11</v>
      </c>
      <c r="F482" s="16" t="s">
        <v>28</v>
      </c>
      <c r="I482" s="21" t="s">
        <v>30</v>
      </c>
    </row>
    <row r="483" spans="1:11" ht="12.75">
      <c r="A483" s="16" t="s">
        <v>528</v>
      </c>
      <c r="B483" s="17">
        <v>25000</v>
      </c>
      <c r="C483" s="17">
        <f>0.0125*B483</f>
        <v>312.5</v>
      </c>
      <c r="D483" s="18">
        <v>45755</v>
      </c>
      <c r="E483" s="16" t="s">
        <v>11</v>
      </c>
      <c r="F483" s="16" t="s">
        <v>12</v>
      </c>
    </row>
    <row r="484" spans="1:11" ht="12.75">
      <c r="A484" s="16" t="s">
        <v>529</v>
      </c>
      <c r="B484" s="17">
        <v>50000</v>
      </c>
      <c r="C484" s="17">
        <f>0.0175*B484</f>
        <v>875.00000000000011</v>
      </c>
      <c r="D484" s="18">
        <v>45756</v>
      </c>
      <c r="E484" s="16" t="s">
        <v>11</v>
      </c>
      <c r="F484" s="16" t="s">
        <v>28</v>
      </c>
      <c r="I484" s="21" t="s">
        <v>30</v>
      </c>
    </row>
    <row r="485" spans="1:11" ht="12.75">
      <c r="A485" s="16" t="s">
        <v>530</v>
      </c>
      <c r="B485" s="17">
        <v>300000</v>
      </c>
      <c r="C485" s="17">
        <f>0.0125*B485</f>
        <v>3750</v>
      </c>
      <c r="D485" s="18">
        <v>45756</v>
      </c>
      <c r="E485" s="16" t="s">
        <v>60</v>
      </c>
      <c r="F485" s="16" t="s">
        <v>12</v>
      </c>
    </row>
    <row r="486" spans="1:11" ht="12.75">
      <c r="A486" s="16" t="s">
        <v>531</v>
      </c>
      <c r="B486" s="17">
        <v>1500000</v>
      </c>
      <c r="C486" s="17">
        <f>0.0175*B486</f>
        <v>26250.000000000004</v>
      </c>
      <c r="D486" s="18">
        <v>45756</v>
      </c>
      <c r="E486" s="16" t="s">
        <v>11</v>
      </c>
      <c r="F486" s="16" t="s">
        <v>28</v>
      </c>
      <c r="I486" s="21" t="s">
        <v>30</v>
      </c>
    </row>
    <row r="487" spans="1:11" ht="12.75">
      <c r="A487" s="16" t="s">
        <v>532</v>
      </c>
      <c r="B487" s="17">
        <v>75000</v>
      </c>
      <c r="C487" s="17">
        <f t="shared" ref="C487:C490" si="117">0.0125*B487</f>
        <v>937.5</v>
      </c>
      <c r="D487" s="18">
        <v>45618</v>
      </c>
      <c r="E487" s="16" t="s">
        <v>75</v>
      </c>
      <c r="F487" s="16" t="s">
        <v>12</v>
      </c>
      <c r="H487" s="16" t="s">
        <v>533</v>
      </c>
    </row>
    <row r="488" spans="1:11" ht="12.75">
      <c r="A488" s="16" t="s">
        <v>534</v>
      </c>
      <c r="B488" s="17">
        <v>120000</v>
      </c>
      <c r="C488" s="17">
        <f t="shared" si="117"/>
        <v>1500</v>
      </c>
      <c r="D488" s="18">
        <v>45329</v>
      </c>
      <c r="E488" s="16" t="s">
        <v>75</v>
      </c>
      <c r="F488" s="16" t="s">
        <v>12</v>
      </c>
      <c r="H488" s="16" t="s">
        <v>533</v>
      </c>
    </row>
    <row r="489" spans="1:11" ht="12.75">
      <c r="A489" s="16" t="s">
        <v>535</v>
      </c>
      <c r="B489" s="17">
        <v>107500</v>
      </c>
      <c r="C489" s="17">
        <f t="shared" si="117"/>
        <v>1343.75</v>
      </c>
      <c r="D489" s="27">
        <v>45608</v>
      </c>
      <c r="E489" s="16" t="s">
        <v>75</v>
      </c>
      <c r="F489" s="16" t="s">
        <v>12</v>
      </c>
      <c r="H489" s="16" t="s">
        <v>533</v>
      </c>
    </row>
    <row r="490" spans="1:11" ht="12.75">
      <c r="A490" s="16" t="s">
        <v>536</v>
      </c>
      <c r="B490" s="17">
        <v>160000</v>
      </c>
      <c r="C490" s="17">
        <f t="shared" si="117"/>
        <v>2000</v>
      </c>
      <c r="D490" s="18">
        <v>45756</v>
      </c>
      <c r="E490" s="16" t="s">
        <v>75</v>
      </c>
      <c r="F490" s="16" t="s">
        <v>12</v>
      </c>
    </row>
    <row r="491" spans="1:11" ht="12.75">
      <c r="A491" s="16" t="s">
        <v>537</v>
      </c>
      <c r="B491" s="17">
        <v>300000</v>
      </c>
      <c r="C491" s="17">
        <f t="shared" ref="C491:C495" si="118">0.0175*B491</f>
        <v>5250.0000000000009</v>
      </c>
      <c r="D491" s="18">
        <v>45756</v>
      </c>
      <c r="E491" s="16" t="s">
        <v>60</v>
      </c>
      <c r="F491" s="16" t="s">
        <v>28</v>
      </c>
      <c r="I491" s="21" t="s">
        <v>30</v>
      </c>
    </row>
    <row r="492" spans="1:11" ht="12.75">
      <c r="A492" s="16" t="s">
        <v>538</v>
      </c>
      <c r="B492" s="17">
        <v>45000</v>
      </c>
      <c r="C492" s="17">
        <f t="shared" si="118"/>
        <v>787.50000000000011</v>
      </c>
      <c r="D492" s="18">
        <v>45756</v>
      </c>
      <c r="E492" s="16" t="s">
        <v>15</v>
      </c>
      <c r="F492" s="16" t="s">
        <v>28</v>
      </c>
      <c r="H492" s="16" t="s">
        <v>149</v>
      </c>
      <c r="I492" s="21" t="s">
        <v>30</v>
      </c>
      <c r="K492" s="16">
        <v>112.5</v>
      </c>
    </row>
    <row r="493" spans="1:11" ht="12.75">
      <c r="A493" s="16" t="s">
        <v>539</v>
      </c>
      <c r="B493" s="17">
        <v>100000</v>
      </c>
      <c r="C493" s="17">
        <f t="shared" si="118"/>
        <v>1750.0000000000002</v>
      </c>
      <c r="D493" s="18">
        <v>45757</v>
      </c>
      <c r="E493" s="16" t="s">
        <v>60</v>
      </c>
      <c r="F493" s="16" t="s">
        <v>28</v>
      </c>
      <c r="I493" s="21" t="s">
        <v>30</v>
      </c>
    </row>
    <row r="494" spans="1:11" ht="12.75">
      <c r="A494" s="16" t="s">
        <v>540</v>
      </c>
      <c r="B494" s="17">
        <v>200000</v>
      </c>
      <c r="C494" s="17">
        <f t="shared" si="118"/>
        <v>3500.0000000000005</v>
      </c>
      <c r="D494" s="18">
        <v>45757</v>
      </c>
      <c r="E494" s="16" t="s">
        <v>118</v>
      </c>
      <c r="F494" s="16" t="s">
        <v>28</v>
      </c>
      <c r="H494" s="16" t="s">
        <v>13</v>
      </c>
      <c r="I494" s="21" t="s">
        <v>30</v>
      </c>
    </row>
    <row r="495" spans="1:11" ht="12.75">
      <c r="A495" s="16" t="s">
        <v>541</v>
      </c>
      <c r="B495" s="17">
        <v>125000</v>
      </c>
      <c r="C495" s="17">
        <f t="shared" si="118"/>
        <v>2187.5</v>
      </c>
      <c r="D495" s="18">
        <v>45757</v>
      </c>
      <c r="E495" s="16" t="s">
        <v>11</v>
      </c>
      <c r="F495" s="16" t="s">
        <v>28</v>
      </c>
      <c r="I495" s="21" t="s">
        <v>30</v>
      </c>
    </row>
    <row r="496" spans="1:11" ht="12.75">
      <c r="A496" s="16" t="s">
        <v>542</v>
      </c>
      <c r="B496" s="17">
        <v>180000</v>
      </c>
      <c r="C496" s="17">
        <f t="shared" ref="C496:C497" si="119">0.0125*B496</f>
        <v>2250</v>
      </c>
      <c r="D496" s="18">
        <v>45757</v>
      </c>
      <c r="E496" s="16" t="s">
        <v>11</v>
      </c>
      <c r="F496" s="16" t="s">
        <v>12</v>
      </c>
    </row>
    <row r="497" spans="1:11" ht="12.75">
      <c r="A497" s="16" t="s">
        <v>543</v>
      </c>
      <c r="B497" s="17">
        <v>120000</v>
      </c>
      <c r="C497" s="17">
        <f t="shared" si="119"/>
        <v>1500</v>
      </c>
      <c r="D497" s="18">
        <v>45757</v>
      </c>
      <c r="E497" s="16" t="s">
        <v>73</v>
      </c>
      <c r="F497" s="16" t="s">
        <v>12</v>
      </c>
    </row>
    <row r="498" spans="1:11" ht="12.75">
      <c r="A498" s="16" t="s">
        <v>544</v>
      </c>
      <c r="B498" s="17">
        <v>100000</v>
      </c>
      <c r="C498" s="17">
        <f t="shared" ref="C498:C499" si="120">0.0175*B498</f>
        <v>1750.0000000000002</v>
      </c>
      <c r="D498" s="18">
        <v>45757</v>
      </c>
      <c r="E498" s="16" t="s">
        <v>11</v>
      </c>
      <c r="F498" s="16" t="s">
        <v>28</v>
      </c>
      <c r="I498" s="21" t="s">
        <v>30</v>
      </c>
    </row>
    <row r="499" spans="1:11" ht="12.75">
      <c r="A499" s="16" t="s">
        <v>496</v>
      </c>
      <c r="B499" s="17">
        <v>37000</v>
      </c>
      <c r="C499" s="17">
        <f t="shared" si="120"/>
        <v>647.50000000000011</v>
      </c>
      <c r="D499" s="18">
        <v>45757</v>
      </c>
      <c r="E499" s="16" t="s">
        <v>24</v>
      </c>
      <c r="F499" s="16" t="s">
        <v>67</v>
      </c>
      <c r="I499" s="21" t="s">
        <v>30</v>
      </c>
    </row>
    <row r="500" spans="1:11" ht="12.75">
      <c r="A500" s="16" t="s">
        <v>545</v>
      </c>
      <c r="B500" s="17">
        <v>180000</v>
      </c>
      <c r="C500" s="17">
        <f>0.0125*B500</f>
        <v>2250</v>
      </c>
      <c r="D500" s="18">
        <v>45757</v>
      </c>
      <c r="E500" s="16" t="s">
        <v>15</v>
      </c>
      <c r="F500" s="16" t="s">
        <v>12</v>
      </c>
      <c r="H500" s="16" t="s">
        <v>54</v>
      </c>
      <c r="K500" s="16">
        <v>1080</v>
      </c>
    </row>
    <row r="501" spans="1:11" ht="12.75">
      <c r="A501" s="16" t="s">
        <v>546</v>
      </c>
      <c r="B501" s="17">
        <v>200000</v>
      </c>
      <c r="C501" s="17">
        <f t="shared" ref="C501:C504" si="121">0.0175*B501</f>
        <v>3500.0000000000005</v>
      </c>
      <c r="D501" s="18">
        <v>45757</v>
      </c>
      <c r="E501" s="16" t="s">
        <v>11</v>
      </c>
      <c r="F501" s="16" t="s">
        <v>28</v>
      </c>
      <c r="I501" s="21" t="s">
        <v>30</v>
      </c>
    </row>
    <row r="502" spans="1:11" ht="12.75">
      <c r="A502" s="16" t="s">
        <v>547</v>
      </c>
      <c r="B502" s="17">
        <v>218000</v>
      </c>
      <c r="C502" s="17">
        <f t="shared" si="121"/>
        <v>3815.0000000000005</v>
      </c>
      <c r="D502" s="18">
        <v>45758</v>
      </c>
      <c r="E502" s="16" t="s">
        <v>60</v>
      </c>
      <c r="F502" s="16" t="s">
        <v>28</v>
      </c>
      <c r="I502" s="21" t="s">
        <v>30</v>
      </c>
    </row>
    <row r="503" spans="1:11" ht="12.75">
      <c r="A503" s="16" t="s">
        <v>548</v>
      </c>
      <c r="B503" s="17">
        <v>30000</v>
      </c>
      <c r="C503" s="17">
        <f t="shared" si="121"/>
        <v>525</v>
      </c>
      <c r="D503" s="18">
        <v>45758</v>
      </c>
      <c r="E503" s="16" t="s">
        <v>11</v>
      </c>
      <c r="F503" s="16" t="s">
        <v>28</v>
      </c>
      <c r="I503" s="21" t="s">
        <v>30</v>
      </c>
    </row>
    <row r="504" spans="1:11" ht="12.75">
      <c r="A504" s="16" t="s">
        <v>549</v>
      </c>
      <c r="B504" s="17">
        <v>300000</v>
      </c>
      <c r="C504" s="17">
        <f t="shared" si="121"/>
        <v>5250.0000000000009</v>
      </c>
      <c r="D504" s="18">
        <v>45758</v>
      </c>
      <c r="E504" s="16" t="s">
        <v>118</v>
      </c>
      <c r="F504" s="16" t="s">
        <v>28</v>
      </c>
      <c r="H504" s="16" t="s">
        <v>13</v>
      </c>
      <c r="I504" s="21" t="s">
        <v>30</v>
      </c>
    </row>
    <row r="505" spans="1:11" ht="12.75">
      <c r="A505" s="16" t="s">
        <v>550</v>
      </c>
      <c r="B505" s="17">
        <v>185000</v>
      </c>
      <c r="C505" s="17">
        <f t="shared" ref="C505:C506" si="122">0.0125*B505</f>
        <v>2312.5</v>
      </c>
      <c r="D505" s="18">
        <v>45758</v>
      </c>
      <c r="E505" s="16" t="s">
        <v>11</v>
      </c>
      <c r="F505" s="16" t="s">
        <v>12</v>
      </c>
    </row>
    <row r="506" spans="1:11" ht="12.75">
      <c r="A506" s="16" t="s">
        <v>551</v>
      </c>
      <c r="B506" s="17">
        <v>380000</v>
      </c>
      <c r="C506" s="17">
        <f t="shared" si="122"/>
        <v>4750</v>
      </c>
      <c r="D506" s="18">
        <v>45758</v>
      </c>
      <c r="E506" s="16" t="s">
        <v>11</v>
      </c>
      <c r="F506" s="16" t="s">
        <v>12</v>
      </c>
    </row>
    <row r="507" spans="1:11" ht="12.75">
      <c r="A507" s="16" t="s">
        <v>552</v>
      </c>
      <c r="B507" s="17">
        <v>15000</v>
      </c>
      <c r="C507" s="17">
        <f>0.0175*B507</f>
        <v>262.5</v>
      </c>
      <c r="D507" s="18">
        <v>45758</v>
      </c>
      <c r="E507" s="16" t="s">
        <v>15</v>
      </c>
      <c r="F507" s="16" t="s">
        <v>28</v>
      </c>
      <c r="H507" s="16" t="s">
        <v>16</v>
      </c>
      <c r="K507" s="16">
        <v>60</v>
      </c>
    </row>
    <row r="508" spans="1:11" ht="12.75">
      <c r="A508" s="16" t="s">
        <v>553</v>
      </c>
      <c r="B508" s="17">
        <v>160000</v>
      </c>
      <c r="C508" s="17">
        <f>0.0125*B508</f>
        <v>2000</v>
      </c>
      <c r="D508" s="18">
        <v>45758</v>
      </c>
      <c r="E508" s="16" t="s">
        <v>554</v>
      </c>
      <c r="F508" s="16" t="s">
        <v>12</v>
      </c>
    </row>
    <row r="509" spans="1:11" ht="12.75">
      <c r="A509" s="16" t="s">
        <v>555</v>
      </c>
      <c r="B509" s="17">
        <v>45000</v>
      </c>
      <c r="C509" s="17">
        <f t="shared" ref="C509:C510" si="123">0.0175*B509</f>
        <v>787.50000000000011</v>
      </c>
      <c r="D509" s="18">
        <v>45758</v>
      </c>
      <c r="E509" s="16" t="s">
        <v>15</v>
      </c>
      <c r="F509" s="16" t="s">
        <v>28</v>
      </c>
      <c r="H509" s="16" t="s">
        <v>54</v>
      </c>
      <c r="I509" s="21" t="s">
        <v>30</v>
      </c>
      <c r="K509" s="16">
        <v>270</v>
      </c>
    </row>
    <row r="510" spans="1:11" ht="12.75">
      <c r="A510" s="16" t="s">
        <v>556</v>
      </c>
      <c r="B510" s="17">
        <v>250000</v>
      </c>
      <c r="C510" s="17">
        <f t="shared" si="123"/>
        <v>4375</v>
      </c>
      <c r="D510" s="18">
        <v>45758</v>
      </c>
      <c r="E510" s="16" t="s">
        <v>461</v>
      </c>
      <c r="F510" s="16" t="s">
        <v>28</v>
      </c>
      <c r="H510" s="16" t="s">
        <v>13</v>
      </c>
      <c r="I510" s="21" t="s">
        <v>30</v>
      </c>
    </row>
    <row r="511" spans="1:11" ht="12.75">
      <c r="A511" s="16" t="s">
        <v>38</v>
      </c>
      <c r="B511" s="17">
        <v>60000</v>
      </c>
      <c r="C511" s="17">
        <f t="shared" ref="C511:C512" si="124">0.0125*B511</f>
        <v>750</v>
      </c>
      <c r="D511" s="18">
        <v>45761</v>
      </c>
      <c r="E511" s="16" t="s">
        <v>21</v>
      </c>
      <c r="F511" s="16" t="s">
        <v>12</v>
      </c>
      <c r="H511" s="16" t="s">
        <v>22</v>
      </c>
    </row>
    <row r="512" spans="1:11" ht="12.75">
      <c r="A512" s="16" t="s">
        <v>557</v>
      </c>
      <c r="B512" s="17">
        <v>105000</v>
      </c>
      <c r="C512" s="17">
        <f t="shared" si="124"/>
        <v>1312.5</v>
      </c>
      <c r="D512" s="18">
        <v>45761</v>
      </c>
      <c r="E512" s="16" t="s">
        <v>15</v>
      </c>
      <c r="F512" s="16" t="s">
        <v>12</v>
      </c>
      <c r="H512" s="16" t="s">
        <v>98</v>
      </c>
      <c r="K512" s="16">
        <v>315</v>
      </c>
    </row>
    <row r="513" spans="1:11" ht="12.75">
      <c r="A513" s="16" t="s">
        <v>558</v>
      </c>
      <c r="B513" s="17">
        <v>750000</v>
      </c>
      <c r="C513" s="17">
        <f t="shared" ref="C513:C514" si="125">0.0175*B513</f>
        <v>13125.000000000002</v>
      </c>
      <c r="D513" s="18">
        <v>45762</v>
      </c>
      <c r="E513" s="16" t="s">
        <v>11</v>
      </c>
      <c r="F513" s="16" t="s">
        <v>28</v>
      </c>
      <c r="I513" s="21" t="s">
        <v>30</v>
      </c>
    </row>
    <row r="514" spans="1:11" ht="12.75">
      <c r="A514" s="16" t="s">
        <v>559</v>
      </c>
      <c r="B514" s="17">
        <v>7000</v>
      </c>
      <c r="C514" s="17">
        <f t="shared" si="125"/>
        <v>122.50000000000001</v>
      </c>
      <c r="D514" s="18">
        <v>45762</v>
      </c>
      <c r="E514" s="16" t="s">
        <v>15</v>
      </c>
      <c r="F514" s="16" t="s">
        <v>28</v>
      </c>
      <c r="H514" s="16" t="s">
        <v>54</v>
      </c>
      <c r="K514" s="16">
        <v>42</v>
      </c>
    </row>
    <row r="515" spans="1:11" ht="12.75">
      <c r="A515" s="16" t="s">
        <v>391</v>
      </c>
      <c r="B515" s="17">
        <v>175000</v>
      </c>
      <c r="C515" s="17">
        <f t="shared" ref="C515:C516" si="126">0.0125*B515</f>
        <v>2187.5</v>
      </c>
      <c r="D515" s="18">
        <v>45762</v>
      </c>
      <c r="E515" s="16" t="s">
        <v>11</v>
      </c>
      <c r="F515" s="16" t="s">
        <v>12</v>
      </c>
    </row>
    <row r="516" spans="1:11" ht="12.75">
      <c r="A516" s="16" t="s">
        <v>560</v>
      </c>
      <c r="B516" s="17">
        <v>95000</v>
      </c>
      <c r="C516" s="17">
        <f t="shared" si="126"/>
        <v>1187.5</v>
      </c>
      <c r="D516" s="18">
        <v>45763</v>
      </c>
      <c r="E516" s="16" t="s">
        <v>15</v>
      </c>
      <c r="F516" s="16" t="s">
        <v>12</v>
      </c>
      <c r="H516" s="16" t="s">
        <v>54</v>
      </c>
      <c r="K516" s="16">
        <v>570</v>
      </c>
    </row>
    <row r="517" spans="1:11" ht="12.75">
      <c r="A517" s="16" t="s">
        <v>539</v>
      </c>
      <c r="B517" s="17">
        <v>175000</v>
      </c>
      <c r="C517" s="17">
        <f t="shared" ref="C517:C519" si="127">0.0175*B517</f>
        <v>3062.5000000000005</v>
      </c>
      <c r="D517" s="18">
        <v>45763</v>
      </c>
      <c r="E517" s="16" t="s">
        <v>60</v>
      </c>
      <c r="F517" s="16" t="s">
        <v>67</v>
      </c>
      <c r="I517" s="21" t="s">
        <v>30</v>
      </c>
    </row>
    <row r="518" spans="1:11" ht="12.75">
      <c r="A518" s="16" t="s">
        <v>523</v>
      </c>
      <c r="B518" s="17">
        <v>85000</v>
      </c>
      <c r="C518" s="17">
        <f t="shared" si="127"/>
        <v>1487.5000000000002</v>
      </c>
      <c r="D518" s="18">
        <v>45763</v>
      </c>
      <c r="E518" s="16" t="s">
        <v>11</v>
      </c>
      <c r="F518" s="16" t="s">
        <v>67</v>
      </c>
      <c r="I518" s="21" t="s">
        <v>30</v>
      </c>
    </row>
    <row r="519" spans="1:11" ht="12.75">
      <c r="A519" s="16" t="s">
        <v>561</v>
      </c>
      <c r="B519" s="17">
        <v>35000</v>
      </c>
      <c r="C519" s="17">
        <f t="shared" si="127"/>
        <v>612.50000000000011</v>
      </c>
      <c r="D519" s="18">
        <v>45763</v>
      </c>
      <c r="E519" s="16" t="s">
        <v>11</v>
      </c>
      <c r="F519" s="16" t="s">
        <v>28</v>
      </c>
      <c r="I519" s="21" t="s">
        <v>30</v>
      </c>
    </row>
    <row r="520" spans="1:11" ht="12.75">
      <c r="A520" s="16" t="s">
        <v>562</v>
      </c>
      <c r="B520" s="17">
        <v>80000</v>
      </c>
      <c r="C520" s="17">
        <f>0.0125*B520</f>
        <v>1000</v>
      </c>
      <c r="D520" s="18">
        <v>45763</v>
      </c>
      <c r="E520" s="16" t="s">
        <v>461</v>
      </c>
      <c r="F520" s="16" t="s">
        <v>12</v>
      </c>
    </row>
    <row r="521" spans="1:11" ht="12.75">
      <c r="A521" s="16" t="s">
        <v>563</v>
      </c>
      <c r="B521" s="17">
        <v>80000</v>
      </c>
      <c r="C521" s="17">
        <f>0.0175*B521</f>
        <v>1400.0000000000002</v>
      </c>
      <c r="D521" s="18">
        <v>45763</v>
      </c>
      <c r="E521" s="16" t="s">
        <v>11</v>
      </c>
      <c r="F521" s="16" t="s">
        <v>41</v>
      </c>
    </row>
    <row r="522" spans="1:11" ht="12.75">
      <c r="A522" s="16" t="s">
        <v>564</v>
      </c>
      <c r="B522" s="17">
        <v>125000</v>
      </c>
      <c r="C522" s="17">
        <f t="shared" ref="C522:C523" si="128">0.0125*B522</f>
        <v>1562.5</v>
      </c>
      <c r="D522" s="18">
        <v>45763</v>
      </c>
      <c r="E522" s="16" t="s">
        <v>24</v>
      </c>
      <c r="F522" s="16" t="s">
        <v>12</v>
      </c>
      <c r="H522" s="16" t="s">
        <v>48</v>
      </c>
    </row>
    <row r="523" spans="1:11" ht="12.75">
      <c r="A523" s="16" t="s">
        <v>565</v>
      </c>
      <c r="B523" s="17">
        <v>700000</v>
      </c>
      <c r="C523" s="17">
        <f t="shared" si="128"/>
        <v>8750</v>
      </c>
      <c r="D523" s="18">
        <v>45763</v>
      </c>
      <c r="E523" s="16" t="s">
        <v>60</v>
      </c>
      <c r="F523" s="16" t="s">
        <v>12</v>
      </c>
    </row>
    <row r="524" spans="1:11" ht="12.75">
      <c r="A524" s="16" t="s">
        <v>566</v>
      </c>
      <c r="B524" s="17">
        <v>100000</v>
      </c>
      <c r="C524" s="17">
        <f t="shared" ref="C524:C528" si="129">0.0175*B524</f>
        <v>1750.0000000000002</v>
      </c>
      <c r="D524" s="18">
        <v>45763</v>
      </c>
      <c r="E524" s="16" t="s">
        <v>11</v>
      </c>
      <c r="F524" s="16" t="s">
        <v>28</v>
      </c>
      <c r="I524" s="28" t="s">
        <v>30</v>
      </c>
    </row>
    <row r="525" spans="1:11" ht="12.75">
      <c r="A525" s="16" t="s">
        <v>567</v>
      </c>
      <c r="B525" s="17">
        <v>150000</v>
      </c>
      <c r="C525" s="17">
        <f t="shared" si="129"/>
        <v>2625.0000000000005</v>
      </c>
      <c r="D525" s="18">
        <v>45764</v>
      </c>
      <c r="E525" s="16" t="s">
        <v>568</v>
      </c>
      <c r="F525" s="16" t="s">
        <v>28</v>
      </c>
      <c r="I525" s="28" t="s">
        <v>30</v>
      </c>
    </row>
    <row r="526" spans="1:11" ht="12.75">
      <c r="A526" s="16" t="s">
        <v>569</v>
      </c>
      <c r="B526" s="17">
        <v>300000</v>
      </c>
      <c r="C526" s="17">
        <f t="shared" si="129"/>
        <v>5250.0000000000009</v>
      </c>
      <c r="D526" s="18">
        <v>45764</v>
      </c>
      <c r="E526" s="16" t="s">
        <v>60</v>
      </c>
      <c r="F526" s="16" t="s">
        <v>28</v>
      </c>
      <c r="I526" s="28" t="s">
        <v>30</v>
      </c>
    </row>
    <row r="527" spans="1:11" ht="12.75">
      <c r="A527" s="16" t="s">
        <v>570</v>
      </c>
      <c r="B527" s="17">
        <v>50000</v>
      </c>
      <c r="C527" s="17">
        <f t="shared" si="129"/>
        <v>875.00000000000011</v>
      </c>
      <c r="D527" s="18">
        <v>45764</v>
      </c>
      <c r="E527" s="16" t="s">
        <v>11</v>
      </c>
      <c r="F527" s="16" t="s">
        <v>28</v>
      </c>
    </row>
    <row r="528" spans="1:11" ht="12.75">
      <c r="A528" s="16" t="s">
        <v>571</v>
      </c>
      <c r="B528" s="17">
        <v>1000000</v>
      </c>
      <c r="C528" s="17">
        <f t="shared" si="129"/>
        <v>17500</v>
      </c>
      <c r="D528" s="18">
        <v>45764</v>
      </c>
      <c r="E528" s="16" t="s">
        <v>118</v>
      </c>
      <c r="F528" s="16" t="s">
        <v>28</v>
      </c>
      <c r="H528" s="16" t="s">
        <v>13</v>
      </c>
      <c r="I528" s="28" t="s">
        <v>30</v>
      </c>
    </row>
    <row r="529" spans="1:11" ht="12.75">
      <c r="A529" s="16" t="s">
        <v>572</v>
      </c>
      <c r="B529" s="17">
        <v>750000</v>
      </c>
      <c r="C529" s="17">
        <f t="shared" ref="C529:C531" si="130">0.0125*B529</f>
        <v>9375</v>
      </c>
      <c r="D529" s="18">
        <v>45765</v>
      </c>
      <c r="E529" s="16" t="s">
        <v>11</v>
      </c>
      <c r="F529" s="16" t="s">
        <v>12</v>
      </c>
    </row>
    <row r="530" spans="1:11" ht="12.75">
      <c r="A530" s="16" t="s">
        <v>573</v>
      </c>
      <c r="B530" s="17">
        <v>105000</v>
      </c>
      <c r="C530" s="17">
        <f t="shared" si="130"/>
        <v>1312.5</v>
      </c>
      <c r="D530" s="18">
        <v>45765</v>
      </c>
      <c r="E530" s="16" t="s">
        <v>11</v>
      </c>
      <c r="F530" s="16" t="s">
        <v>12</v>
      </c>
    </row>
    <row r="531" spans="1:11" ht="12.75">
      <c r="A531" s="16" t="s">
        <v>574</v>
      </c>
      <c r="B531" s="17">
        <v>165000</v>
      </c>
      <c r="C531" s="17">
        <f t="shared" si="130"/>
        <v>2062.5</v>
      </c>
      <c r="D531" s="18">
        <v>45765</v>
      </c>
      <c r="E531" s="16" t="s">
        <v>15</v>
      </c>
      <c r="F531" s="16" t="s">
        <v>12</v>
      </c>
      <c r="H531" s="16" t="s">
        <v>98</v>
      </c>
      <c r="K531" s="16">
        <v>495</v>
      </c>
    </row>
    <row r="532" spans="1:11" ht="12.75">
      <c r="A532" s="16" t="s">
        <v>575</v>
      </c>
      <c r="B532" s="17">
        <v>150000</v>
      </c>
      <c r="C532" s="17">
        <f t="shared" ref="C532:C533" si="131">0.0175*B532</f>
        <v>2625.0000000000005</v>
      </c>
      <c r="D532" s="18">
        <v>45765</v>
      </c>
      <c r="E532" s="16" t="s">
        <v>60</v>
      </c>
      <c r="F532" s="16" t="s">
        <v>28</v>
      </c>
      <c r="I532" s="28" t="s">
        <v>30</v>
      </c>
    </row>
    <row r="533" spans="1:11" ht="12.75">
      <c r="A533" s="16" t="s">
        <v>576</v>
      </c>
      <c r="B533" s="17">
        <v>30000</v>
      </c>
      <c r="C533" s="17">
        <f t="shared" si="131"/>
        <v>525</v>
      </c>
      <c r="D533" s="18">
        <v>45768</v>
      </c>
      <c r="E533" s="16" t="s">
        <v>15</v>
      </c>
      <c r="F533" s="16" t="s">
        <v>28</v>
      </c>
      <c r="H533" s="16" t="s">
        <v>54</v>
      </c>
      <c r="I533" s="28" t="s">
        <v>30</v>
      </c>
      <c r="K533" s="16">
        <v>180</v>
      </c>
    </row>
    <row r="534" spans="1:11" ht="12.75">
      <c r="A534" s="16" t="s">
        <v>577</v>
      </c>
      <c r="B534" s="17">
        <v>30000</v>
      </c>
      <c r="C534" s="17">
        <f t="shared" ref="C534:C536" si="132">0.0125*B534</f>
        <v>375</v>
      </c>
      <c r="D534" s="18">
        <v>45768</v>
      </c>
      <c r="E534" s="16" t="s">
        <v>24</v>
      </c>
      <c r="F534" s="16" t="s">
        <v>578</v>
      </c>
    </row>
    <row r="535" spans="1:11" ht="12.75">
      <c r="A535" s="16" t="s">
        <v>579</v>
      </c>
      <c r="B535" s="17">
        <v>115000</v>
      </c>
      <c r="C535" s="17">
        <f t="shared" si="132"/>
        <v>1437.5</v>
      </c>
      <c r="D535" s="18">
        <v>45768</v>
      </c>
      <c r="E535" s="16" t="s">
        <v>15</v>
      </c>
      <c r="F535" s="16" t="s">
        <v>12</v>
      </c>
      <c r="H535" s="16" t="s">
        <v>16</v>
      </c>
      <c r="K535" s="16">
        <v>460</v>
      </c>
    </row>
    <row r="536" spans="1:11" ht="12.75">
      <c r="A536" s="16" t="s">
        <v>81</v>
      </c>
      <c r="B536" s="17">
        <v>75000</v>
      </c>
      <c r="C536" s="17">
        <f t="shared" si="132"/>
        <v>937.5</v>
      </c>
      <c r="D536" s="18">
        <v>45768</v>
      </c>
      <c r="E536" s="16" t="s">
        <v>11</v>
      </c>
      <c r="F536" s="16" t="s">
        <v>12</v>
      </c>
    </row>
    <row r="537" spans="1:11" ht="12.75">
      <c r="A537" s="16" t="s">
        <v>580</v>
      </c>
      <c r="B537" s="17">
        <v>500000</v>
      </c>
      <c r="C537" s="17">
        <f t="shared" ref="C537:C539" si="133">0.0175*B537</f>
        <v>8750</v>
      </c>
      <c r="D537" s="18">
        <v>45768</v>
      </c>
      <c r="E537" s="16" t="s">
        <v>69</v>
      </c>
      <c r="F537" s="16" t="s">
        <v>28</v>
      </c>
      <c r="H537" s="16" t="s">
        <v>13</v>
      </c>
      <c r="I537" s="28" t="s">
        <v>30</v>
      </c>
    </row>
    <row r="538" spans="1:11" ht="12.75">
      <c r="A538" s="16" t="s">
        <v>581</v>
      </c>
      <c r="B538" s="17">
        <v>50000</v>
      </c>
      <c r="C538" s="17">
        <f t="shared" si="133"/>
        <v>875.00000000000011</v>
      </c>
      <c r="D538" s="18">
        <v>45769</v>
      </c>
      <c r="E538" s="16" t="s">
        <v>15</v>
      </c>
      <c r="F538" s="16" t="s">
        <v>28</v>
      </c>
      <c r="H538" s="16" t="s">
        <v>149</v>
      </c>
      <c r="K538" s="16">
        <v>125</v>
      </c>
    </row>
    <row r="539" spans="1:11" ht="12.75">
      <c r="A539" s="16" t="s">
        <v>582</v>
      </c>
      <c r="B539" s="17">
        <v>300000</v>
      </c>
      <c r="C539" s="17">
        <f t="shared" si="133"/>
        <v>5250.0000000000009</v>
      </c>
      <c r="D539" s="18">
        <v>45769</v>
      </c>
      <c r="E539" s="16" t="s">
        <v>11</v>
      </c>
      <c r="F539" s="16" t="s">
        <v>28</v>
      </c>
      <c r="I539" s="28" t="s">
        <v>30</v>
      </c>
    </row>
    <row r="540" spans="1:11" ht="12.75">
      <c r="A540" s="16" t="s">
        <v>583</v>
      </c>
      <c r="B540" s="17">
        <v>55000</v>
      </c>
      <c r="C540" s="17">
        <f t="shared" ref="C540:C542" si="134">0.0125*B540</f>
        <v>687.5</v>
      </c>
      <c r="D540" s="18">
        <v>45770</v>
      </c>
      <c r="E540" s="16" t="s">
        <v>11</v>
      </c>
      <c r="F540" s="16" t="s">
        <v>12</v>
      </c>
    </row>
    <row r="541" spans="1:11" ht="12.75">
      <c r="A541" s="16" t="s">
        <v>584</v>
      </c>
      <c r="B541" s="17">
        <v>75000</v>
      </c>
      <c r="C541" s="17">
        <f t="shared" si="134"/>
        <v>937.5</v>
      </c>
      <c r="D541" s="18">
        <v>45770</v>
      </c>
      <c r="E541" s="16" t="s">
        <v>60</v>
      </c>
      <c r="F541" s="16" t="s">
        <v>12</v>
      </c>
    </row>
    <row r="542" spans="1:11" ht="12.75">
      <c r="A542" s="16" t="s">
        <v>585</v>
      </c>
      <c r="B542" s="17">
        <v>150000</v>
      </c>
      <c r="C542" s="17">
        <f t="shared" si="134"/>
        <v>1875</v>
      </c>
      <c r="D542" s="18">
        <v>45770</v>
      </c>
      <c r="E542" s="16" t="s">
        <v>40</v>
      </c>
      <c r="F542" s="16" t="s">
        <v>12</v>
      </c>
    </row>
    <row r="543" spans="1:11" ht="12.75">
      <c r="A543" s="16" t="s">
        <v>586</v>
      </c>
      <c r="B543" s="17">
        <v>50000</v>
      </c>
      <c r="C543" s="17">
        <f t="shared" ref="C543:C544" si="135">0.0175*B543</f>
        <v>875.00000000000011</v>
      </c>
      <c r="D543" s="18">
        <v>45770</v>
      </c>
      <c r="E543" s="16" t="s">
        <v>60</v>
      </c>
      <c r="F543" s="16" t="s">
        <v>67</v>
      </c>
    </row>
    <row r="544" spans="1:11" ht="12.75">
      <c r="A544" s="16" t="s">
        <v>587</v>
      </c>
      <c r="B544" s="17">
        <v>250000</v>
      </c>
      <c r="C544" s="17">
        <f t="shared" si="135"/>
        <v>4375</v>
      </c>
      <c r="D544" s="18">
        <v>45770</v>
      </c>
      <c r="E544" s="16" t="s">
        <v>15</v>
      </c>
      <c r="F544" s="16" t="s">
        <v>28</v>
      </c>
      <c r="H544" s="16" t="s">
        <v>35</v>
      </c>
      <c r="I544" s="28" t="s">
        <v>30</v>
      </c>
      <c r="K544" s="16">
        <v>500</v>
      </c>
    </row>
    <row r="545" spans="1:11" ht="12.75">
      <c r="A545" s="16" t="s">
        <v>588</v>
      </c>
      <c r="B545" s="17">
        <v>139000</v>
      </c>
      <c r="C545" s="17">
        <f t="shared" ref="C545:C546" si="136">0.0125*B545</f>
        <v>1737.5</v>
      </c>
      <c r="D545" s="18">
        <v>45771</v>
      </c>
      <c r="E545" s="16" t="s">
        <v>15</v>
      </c>
      <c r="F545" s="16" t="s">
        <v>12</v>
      </c>
      <c r="H545" s="16" t="s">
        <v>149</v>
      </c>
      <c r="K545" s="16">
        <v>347.5</v>
      </c>
    </row>
    <row r="546" spans="1:11" ht="12.75">
      <c r="A546" s="16" t="s">
        <v>589</v>
      </c>
      <c r="B546" s="17">
        <v>245000</v>
      </c>
      <c r="C546" s="17">
        <f t="shared" si="136"/>
        <v>3062.5</v>
      </c>
      <c r="D546" s="18">
        <v>45771</v>
      </c>
      <c r="E546" s="16" t="s">
        <v>73</v>
      </c>
      <c r="F546" s="16" t="s">
        <v>12</v>
      </c>
    </row>
    <row r="547" spans="1:11" ht="12.75">
      <c r="A547" s="16" t="s">
        <v>590</v>
      </c>
      <c r="B547" s="17">
        <v>50000</v>
      </c>
      <c r="C547" s="17">
        <f t="shared" ref="C547:C549" si="137">0.0175*B547</f>
        <v>875.00000000000011</v>
      </c>
      <c r="D547" s="18">
        <v>45771</v>
      </c>
      <c r="E547" s="16" t="s">
        <v>60</v>
      </c>
      <c r="F547" s="16" t="s">
        <v>28</v>
      </c>
      <c r="I547" s="28" t="s">
        <v>30</v>
      </c>
    </row>
    <row r="548" spans="1:11" ht="12.75">
      <c r="A548" s="16" t="s">
        <v>527</v>
      </c>
      <c r="B548" s="17">
        <v>75000</v>
      </c>
      <c r="C548" s="17">
        <f t="shared" si="137"/>
        <v>1312.5000000000002</v>
      </c>
      <c r="D548" s="18">
        <v>45771</v>
      </c>
      <c r="E548" s="16" t="s">
        <v>11</v>
      </c>
      <c r="F548" s="16" t="s">
        <v>28</v>
      </c>
      <c r="I548" s="28" t="s">
        <v>30</v>
      </c>
    </row>
    <row r="549" spans="1:11" ht="12.75">
      <c r="A549" s="16" t="s">
        <v>591</v>
      </c>
      <c r="B549" s="17">
        <v>125000</v>
      </c>
      <c r="C549" s="17">
        <f t="shared" si="137"/>
        <v>2187.5</v>
      </c>
      <c r="D549" s="18">
        <v>45771</v>
      </c>
      <c r="E549" s="16" t="s">
        <v>11</v>
      </c>
      <c r="F549" s="16" t="s">
        <v>28</v>
      </c>
      <c r="I549" s="28" t="s">
        <v>30</v>
      </c>
    </row>
    <row r="550" spans="1:11" ht="12.75">
      <c r="A550" s="16" t="s">
        <v>592</v>
      </c>
      <c r="B550" s="17">
        <v>100000</v>
      </c>
      <c r="C550" s="17">
        <f>0.0125*B550</f>
        <v>1250</v>
      </c>
      <c r="D550" s="18">
        <v>45771</v>
      </c>
      <c r="E550" s="16" t="s">
        <v>69</v>
      </c>
      <c r="F550" s="16" t="s">
        <v>12</v>
      </c>
      <c r="H550" s="16" t="s">
        <v>22</v>
      </c>
    </row>
    <row r="551" spans="1:11" ht="12.75">
      <c r="A551" s="16" t="s">
        <v>593</v>
      </c>
      <c r="B551" s="17">
        <v>115000</v>
      </c>
      <c r="C551" s="17">
        <f t="shared" ref="C551:C553" si="138">0.0175*B551</f>
        <v>2012.5000000000002</v>
      </c>
      <c r="D551" s="18">
        <v>45771</v>
      </c>
      <c r="E551" s="16" t="s">
        <v>11</v>
      </c>
      <c r="F551" s="16" t="s">
        <v>28</v>
      </c>
    </row>
    <row r="552" spans="1:11" ht="12.75">
      <c r="A552" s="16" t="s">
        <v>594</v>
      </c>
      <c r="B552" s="17">
        <v>240000</v>
      </c>
      <c r="C552" s="17">
        <f t="shared" si="138"/>
        <v>4200</v>
      </c>
      <c r="D552" s="18">
        <v>45771</v>
      </c>
      <c r="E552" s="16" t="s">
        <v>60</v>
      </c>
      <c r="F552" s="16" t="s">
        <v>28</v>
      </c>
      <c r="I552" s="28" t="s">
        <v>30</v>
      </c>
    </row>
    <row r="553" spans="1:11" ht="12.75">
      <c r="A553" s="16" t="s">
        <v>595</v>
      </c>
      <c r="B553" s="17">
        <v>300000</v>
      </c>
      <c r="C553" s="17">
        <f t="shared" si="138"/>
        <v>5250.0000000000009</v>
      </c>
      <c r="D553" s="18">
        <v>45771</v>
      </c>
      <c r="E553" s="16" t="s">
        <v>118</v>
      </c>
      <c r="F553" s="16" t="s">
        <v>28</v>
      </c>
      <c r="H553" s="16" t="s">
        <v>13</v>
      </c>
      <c r="I553" s="28" t="s">
        <v>30</v>
      </c>
    </row>
    <row r="554" spans="1:11" ht="12.75">
      <c r="A554" s="16" t="s">
        <v>596</v>
      </c>
      <c r="B554" s="17">
        <v>550000</v>
      </c>
      <c r="C554" s="17">
        <f>0.0125*B554</f>
        <v>6875</v>
      </c>
      <c r="D554" s="18">
        <v>45771</v>
      </c>
      <c r="E554" s="16" t="s">
        <v>24</v>
      </c>
      <c r="F554" s="16" t="s">
        <v>12</v>
      </c>
      <c r="H554" s="16" t="s">
        <v>48</v>
      </c>
    </row>
    <row r="555" spans="1:11" ht="12.75">
      <c r="A555" s="16" t="s">
        <v>597</v>
      </c>
      <c r="B555" s="17">
        <v>100000</v>
      </c>
      <c r="C555" s="17">
        <f>0.0175*B555</f>
        <v>1750.0000000000002</v>
      </c>
      <c r="D555" s="18">
        <v>45771</v>
      </c>
      <c r="E555" s="16" t="s">
        <v>11</v>
      </c>
      <c r="F555" s="16" t="s">
        <v>41</v>
      </c>
    </row>
    <row r="556" spans="1:11" ht="12.75">
      <c r="A556" s="16" t="s">
        <v>598</v>
      </c>
      <c r="B556" s="17">
        <v>30000</v>
      </c>
      <c r="C556" s="17">
        <f t="shared" ref="C556:C557" si="139">0.0125*B556</f>
        <v>375</v>
      </c>
      <c r="D556" s="18">
        <v>45771</v>
      </c>
      <c r="E556" s="16" t="s">
        <v>15</v>
      </c>
      <c r="F556" s="16" t="s">
        <v>12</v>
      </c>
      <c r="H556" s="16" t="s">
        <v>149</v>
      </c>
      <c r="K556" s="16">
        <v>75</v>
      </c>
    </row>
    <row r="557" spans="1:11" ht="12.75">
      <c r="A557" s="16" t="s">
        <v>129</v>
      </c>
      <c r="B557" s="17">
        <v>250000</v>
      </c>
      <c r="C557" s="17">
        <f t="shared" si="139"/>
        <v>3125</v>
      </c>
      <c r="D557" s="18">
        <v>45771</v>
      </c>
      <c r="E557" s="16" t="s">
        <v>24</v>
      </c>
      <c r="F557" s="16" t="s">
        <v>12</v>
      </c>
      <c r="H557" s="16" t="s">
        <v>48</v>
      </c>
    </row>
    <row r="558" spans="1:11" ht="12.75">
      <c r="A558" s="16" t="s">
        <v>599</v>
      </c>
      <c r="B558" s="17">
        <v>50000</v>
      </c>
      <c r="C558" s="17">
        <f>0.0175*B558</f>
        <v>875.00000000000011</v>
      </c>
      <c r="D558" s="18">
        <v>45772</v>
      </c>
      <c r="E558" s="16" t="s">
        <v>11</v>
      </c>
      <c r="F558" s="16" t="s">
        <v>28</v>
      </c>
      <c r="I558" s="28" t="s">
        <v>30</v>
      </c>
    </row>
    <row r="559" spans="1:11" ht="12.75">
      <c r="A559" s="16" t="s">
        <v>600</v>
      </c>
      <c r="B559" s="17">
        <v>170000</v>
      </c>
      <c r="C559" s="17">
        <f>0.0125*B559</f>
        <v>2125</v>
      </c>
      <c r="D559" s="18">
        <v>45772</v>
      </c>
      <c r="E559" s="16" t="s">
        <v>11</v>
      </c>
      <c r="F559" s="16" t="s">
        <v>12</v>
      </c>
    </row>
    <row r="560" spans="1:11" ht="12.75">
      <c r="A560" s="16" t="s">
        <v>601</v>
      </c>
      <c r="B560" s="17">
        <v>30000</v>
      </c>
      <c r="C560" s="17">
        <f t="shared" ref="C560:C561" si="140">0.0175*B560</f>
        <v>525</v>
      </c>
      <c r="D560" s="18">
        <v>45772</v>
      </c>
      <c r="E560" s="16" t="s">
        <v>15</v>
      </c>
      <c r="F560" s="16" t="s">
        <v>28</v>
      </c>
      <c r="H560" s="16" t="s">
        <v>51</v>
      </c>
      <c r="I560" s="28" t="s">
        <v>30</v>
      </c>
      <c r="K560" s="16">
        <v>150</v>
      </c>
    </row>
    <row r="561" spans="1:11" ht="12.75">
      <c r="A561" s="16" t="s">
        <v>602</v>
      </c>
      <c r="B561" s="17">
        <v>125000</v>
      </c>
      <c r="C561" s="17">
        <f t="shared" si="140"/>
        <v>2187.5</v>
      </c>
      <c r="D561" s="18">
        <v>45775</v>
      </c>
      <c r="E561" s="16" t="s">
        <v>15</v>
      </c>
      <c r="F561" s="16" t="s">
        <v>28</v>
      </c>
      <c r="H561" s="16" t="s">
        <v>51</v>
      </c>
      <c r="K561" s="16">
        <v>625</v>
      </c>
    </row>
    <row r="562" spans="1:11" ht="12.75">
      <c r="A562" s="16" t="s">
        <v>603</v>
      </c>
      <c r="B562" s="17">
        <v>80000</v>
      </c>
      <c r="C562" s="17">
        <f>0.0125*B562</f>
        <v>1000</v>
      </c>
      <c r="D562" s="18">
        <v>45775</v>
      </c>
      <c r="E562" s="16" t="s">
        <v>11</v>
      </c>
      <c r="F562" s="16" t="s">
        <v>12</v>
      </c>
    </row>
    <row r="563" spans="1:11" ht="12.75">
      <c r="A563" s="16" t="s">
        <v>604</v>
      </c>
      <c r="B563" s="17">
        <v>10000</v>
      </c>
      <c r="C563" s="17">
        <f t="shared" ref="C563:C564" si="141">0.0175*B563</f>
        <v>175.00000000000003</v>
      </c>
      <c r="D563" s="18">
        <v>45775</v>
      </c>
      <c r="E563" s="16" t="s">
        <v>11</v>
      </c>
      <c r="F563" s="16" t="s">
        <v>28</v>
      </c>
      <c r="I563" s="28" t="s">
        <v>30</v>
      </c>
    </row>
    <row r="564" spans="1:11" ht="12.75">
      <c r="A564" s="16" t="s">
        <v>605</v>
      </c>
      <c r="B564" s="17">
        <v>1250000</v>
      </c>
      <c r="C564" s="17">
        <f t="shared" si="141"/>
        <v>21875.000000000004</v>
      </c>
      <c r="D564" s="18">
        <v>45775</v>
      </c>
      <c r="E564" s="16" t="s">
        <v>606</v>
      </c>
      <c r="F564" s="16" t="s">
        <v>28</v>
      </c>
      <c r="I564" s="28" t="s">
        <v>30</v>
      </c>
    </row>
    <row r="565" spans="1:11" ht="12.75">
      <c r="A565" s="16" t="s">
        <v>607</v>
      </c>
      <c r="B565" s="17">
        <v>74000</v>
      </c>
      <c r="C565" s="17">
        <f>0.0125*B565</f>
        <v>925</v>
      </c>
      <c r="D565" s="18">
        <v>45775</v>
      </c>
      <c r="E565" s="16" t="s">
        <v>15</v>
      </c>
      <c r="F565" s="16" t="s">
        <v>12</v>
      </c>
      <c r="H565" s="16" t="s">
        <v>35</v>
      </c>
      <c r="K565" s="16">
        <v>148</v>
      </c>
    </row>
    <row r="566" spans="1:11" ht="12.75">
      <c r="A566" s="16" t="s">
        <v>608</v>
      </c>
      <c r="B566" s="17">
        <v>20000</v>
      </c>
      <c r="C566" s="17">
        <f t="shared" ref="C566:C567" si="142">0.0175*B566</f>
        <v>350.00000000000006</v>
      </c>
      <c r="D566" s="18">
        <v>45776</v>
      </c>
      <c r="E566" s="16" t="s">
        <v>461</v>
      </c>
      <c r="F566" s="16" t="s">
        <v>67</v>
      </c>
      <c r="H566" s="16" t="s">
        <v>13</v>
      </c>
    </row>
    <row r="567" spans="1:11" ht="12.75">
      <c r="A567" s="16" t="s">
        <v>609</v>
      </c>
      <c r="B567" s="17">
        <v>30000</v>
      </c>
      <c r="C567" s="17">
        <f t="shared" si="142"/>
        <v>525</v>
      </c>
      <c r="D567" s="18">
        <v>45776</v>
      </c>
      <c r="E567" s="16" t="s">
        <v>11</v>
      </c>
      <c r="F567" s="16" t="s">
        <v>28</v>
      </c>
      <c r="I567" s="28" t="s">
        <v>30</v>
      </c>
    </row>
    <row r="568" spans="1:11" ht="12.75">
      <c r="A568" s="16" t="s">
        <v>610</v>
      </c>
      <c r="B568" s="17">
        <v>160000</v>
      </c>
      <c r="C568" s="17">
        <f>0.0125*B568</f>
        <v>2000</v>
      </c>
      <c r="D568" s="18">
        <v>45776</v>
      </c>
      <c r="E568" s="16" t="s">
        <v>73</v>
      </c>
      <c r="F568" s="16" t="s">
        <v>12</v>
      </c>
    </row>
    <row r="569" spans="1:11" ht="12.75">
      <c r="A569" s="16" t="s">
        <v>611</v>
      </c>
      <c r="B569" s="17">
        <v>150000</v>
      </c>
      <c r="C569" s="17">
        <f t="shared" ref="C569:C572" si="143">0.0175*B569</f>
        <v>2625.0000000000005</v>
      </c>
      <c r="D569" s="18">
        <v>45776</v>
      </c>
      <c r="E569" s="16" t="s">
        <v>60</v>
      </c>
      <c r="F569" s="16" t="s">
        <v>28</v>
      </c>
      <c r="I569" s="28" t="s">
        <v>30</v>
      </c>
    </row>
    <row r="570" spans="1:11" ht="12.75">
      <c r="A570" s="16" t="s">
        <v>612</v>
      </c>
      <c r="B570" s="17">
        <v>125000</v>
      </c>
      <c r="C570" s="17">
        <f t="shared" si="143"/>
        <v>2187.5</v>
      </c>
      <c r="D570" s="18">
        <v>45776</v>
      </c>
      <c r="E570" s="16" t="s">
        <v>11</v>
      </c>
      <c r="F570" s="16" t="s">
        <v>28</v>
      </c>
      <c r="I570" s="28" t="s">
        <v>30</v>
      </c>
    </row>
    <row r="571" spans="1:11" ht="12.75">
      <c r="A571" s="16" t="s">
        <v>613</v>
      </c>
      <c r="B571" s="17">
        <v>35000</v>
      </c>
      <c r="C571" s="17">
        <f t="shared" si="143"/>
        <v>612.50000000000011</v>
      </c>
      <c r="D571" s="18">
        <v>45777</v>
      </c>
      <c r="E571" s="16" t="s">
        <v>21</v>
      </c>
      <c r="F571" s="16" t="s">
        <v>28</v>
      </c>
      <c r="H571" s="16" t="s">
        <v>13</v>
      </c>
      <c r="I571" s="28" t="s">
        <v>30</v>
      </c>
    </row>
    <row r="572" spans="1:11" ht="12.75">
      <c r="A572" s="16" t="s">
        <v>614</v>
      </c>
      <c r="B572" s="17">
        <v>135700</v>
      </c>
      <c r="C572" s="17">
        <f t="shared" si="143"/>
        <v>2374.75</v>
      </c>
      <c r="D572" s="18">
        <v>45777</v>
      </c>
      <c r="E572" s="16" t="s">
        <v>24</v>
      </c>
      <c r="F572" s="16" t="s">
        <v>28</v>
      </c>
      <c r="H572" s="16" t="s">
        <v>48</v>
      </c>
      <c r="I572" s="28" t="s">
        <v>30</v>
      </c>
    </row>
    <row r="573" spans="1:11" ht="12.75">
      <c r="A573" s="16" t="s">
        <v>615</v>
      </c>
      <c r="B573" s="17">
        <v>171000</v>
      </c>
      <c r="C573" s="17">
        <f>0.0125*B573</f>
        <v>2137.5</v>
      </c>
      <c r="D573" s="18">
        <v>45777</v>
      </c>
      <c r="E573" s="16" t="s">
        <v>15</v>
      </c>
      <c r="F573" s="16" t="s">
        <v>12</v>
      </c>
      <c r="H573" s="16" t="s">
        <v>35</v>
      </c>
      <c r="K573" s="16">
        <v>342</v>
      </c>
    </row>
    <row r="574" spans="1:11" ht="12.75">
      <c r="A574" s="16" t="s">
        <v>616</v>
      </c>
      <c r="B574" s="17">
        <v>40000</v>
      </c>
      <c r="C574" s="17">
        <f>0.0175*B574</f>
        <v>700.00000000000011</v>
      </c>
      <c r="D574" s="18">
        <v>45777</v>
      </c>
      <c r="E574" s="16" t="s">
        <v>11</v>
      </c>
      <c r="F574" s="16" t="s">
        <v>28</v>
      </c>
      <c r="I574" s="28" t="s">
        <v>30</v>
      </c>
    </row>
    <row r="575" spans="1:11" ht="12.75">
      <c r="A575" s="16" t="s">
        <v>617</v>
      </c>
      <c r="B575" s="17">
        <v>135000</v>
      </c>
      <c r="C575" s="17">
        <f>0.0125*B575</f>
        <v>1687.5</v>
      </c>
      <c r="D575" s="18">
        <v>45777</v>
      </c>
      <c r="E575" s="16" t="s">
        <v>11</v>
      </c>
      <c r="F575" s="16" t="s">
        <v>12</v>
      </c>
    </row>
    <row r="576" spans="1:11" ht="12.75">
      <c r="A576" s="16" t="s">
        <v>618</v>
      </c>
      <c r="B576" s="17">
        <v>600000</v>
      </c>
      <c r="C576" s="17">
        <f>0.0175*B576</f>
        <v>10500.000000000002</v>
      </c>
      <c r="D576" s="18">
        <v>45777</v>
      </c>
      <c r="E576" s="16" t="s">
        <v>24</v>
      </c>
      <c r="F576" s="16" t="s">
        <v>28</v>
      </c>
      <c r="H576" s="16" t="s">
        <v>619</v>
      </c>
      <c r="I576" s="28" t="s">
        <v>30</v>
      </c>
    </row>
    <row r="577" spans="1:16" ht="12.75">
      <c r="A577" s="11">
        <v>45778</v>
      </c>
      <c r="B577" s="12">
        <f t="shared" ref="B577:C577" si="144">SUM(B578:B703)</f>
        <v>32069000</v>
      </c>
      <c r="C577" s="12">
        <f t="shared" si="144"/>
        <v>470812.5</v>
      </c>
      <c r="D577" s="13"/>
      <c r="E577" s="14"/>
      <c r="F577" s="14"/>
      <c r="G577" s="14"/>
      <c r="H577" s="15"/>
      <c r="I577" s="15"/>
      <c r="J577" s="15"/>
      <c r="K577" s="15"/>
      <c r="L577" s="15"/>
    </row>
    <row r="578" spans="1:16" ht="12.75">
      <c r="A578" s="16" t="s">
        <v>620</v>
      </c>
      <c r="B578" s="17">
        <v>50000</v>
      </c>
      <c r="C578" s="17">
        <f>0.0125*B578</f>
        <v>625</v>
      </c>
      <c r="D578" s="18">
        <v>45778</v>
      </c>
      <c r="E578" s="16" t="s">
        <v>11</v>
      </c>
      <c r="F578" s="16" t="s">
        <v>12</v>
      </c>
    </row>
    <row r="579" spans="1:16" ht="12.75">
      <c r="A579" s="16" t="s">
        <v>621</v>
      </c>
      <c r="B579" s="17">
        <v>100000</v>
      </c>
      <c r="C579" s="17">
        <f>0.0175*B579</f>
        <v>1750.0000000000002</v>
      </c>
      <c r="D579" s="18">
        <v>45778</v>
      </c>
      <c r="E579" s="16" t="s">
        <v>11</v>
      </c>
      <c r="F579" s="16" t="s">
        <v>28</v>
      </c>
      <c r="I579" s="28" t="s">
        <v>30</v>
      </c>
      <c r="O579" s="19" t="s">
        <v>13</v>
      </c>
    </row>
    <row r="580" spans="1:16" ht="12.75">
      <c r="A580" s="16" t="s">
        <v>622</v>
      </c>
      <c r="B580" s="17">
        <v>125000</v>
      </c>
      <c r="C580" s="17">
        <f t="shared" ref="C580:C582" si="145">0.0125*B580</f>
        <v>1562.5</v>
      </c>
      <c r="D580" s="18">
        <v>45778</v>
      </c>
      <c r="E580" s="16" t="s">
        <v>15</v>
      </c>
      <c r="F580" s="16" t="s">
        <v>12</v>
      </c>
      <c r="H580" s="16" t="s">
        <v>98</v>
      </c>
      <c r="K580" s="16">
        <v>375</v>
      </c>
      <c r="O580" s="16" t="s">
        <v>17</v>
      </c>
      <c r="P580" s="20">
        <v>14423.07</v>
      </c>
    </row>
    <row r="581" spans="1:16" ht="12.75">
      <c r="A581" s="16" t="s">
        <v>623</v>
      </c>
      <c r="B581" s="17">
        <v>60000</v>
      </c>
      <c r="C581" s="17">
        <f t="shared" si="145"/>
        <v>750</v>
      </c>
      <c r="D581" s="18">
        <v>45778</v>
      </c>
      <c r="E581" s="16" t="s">
        <v>11</v>
      </c>
      <c r="F581" s="16" t="s">
        <v>12</v>
      </c>
      <c r="O581" s="16" t="s">
        <v>19</v>
      </c>
      <c r="P581" s="20">
        <f>12392.5+12375</f>
        <v>24767.5</v>
      </c>
    </row>
    <row r="582" spans="1:16" ht="12.75">
      <c r="A582" s="16" t="s">
        <v>624</v>
      </c>
      <c r="B582" s="17">
        <v>325000</v>
      </c>
      <c r="C582" s="17">
        <f t="shared" si="145"/>
        <v>4062.5</v>
      </c>
      <c r="D582" s="18">
        <v>45778</v>
      </c>
      <c r="E582" s="16" t="s">
        <v>606</v>
      </c>
      <c r="F582" s="16" t="s">
        <v>12</v>
      </c>
      <c r="O582" s="16" t="s">
        <v>15</v>
      </c>
      <c r="P582" s="20">
        <v>17980.77</v>
      </c>
    </row>
    <row r="583" spans="1:16" ht="12.75">
      <c r="A583" s="16" t="s">
        <v>625</v>
      </c>
      <c r="B583" s="17">
        <v>200000</v>
      </c>
      <c r="C583" s="17">
        <f t="shared" ref="C583:C584" si="146">0.0175*B583</f>
        <v>3500.0000000000005</v>
      </c>
      <c r="D583" s="18">
        <v>45778</v>
      </c>
      <c r="E583" s="16" t="s">
        <v>15</v>
      </c>
      <c r="F583" s="16" t="s">
        <v>28</v>
      </c>
      <c r="H583" s="16" t="s">
        <v>51</v>
      </c>
      <c r="I583" s="28" t="s">
        <v>30</v>
      </c>
      <c r="K583" s="16">
        <v>1000</v>
      </c>
      <c r="O583" s="16" t="s">
        <v>26</v>
      </c>
      <c r="P583" s="20">
        <v>38780</v>
      </c>
    </row>
    <row r="584" spans="1:16" ht="12.75">
      <c r="A584" s="16" t="s">
        <v>626</v>
      </c>
      <c r="B584" s="17">
        <v>50000</v>
      </c>
      <c r="C584" s="17">
        <f t="shared" si="146"/>
        <v>875.00000000000011</v>
      </c>
      <c r="D584" s="18">
        <v>45779</v>
      </c>
      <c r="E584" s="16" t="s">
        <v>135</v>
      </c>
      <c r="F584" s="16" t="s">
        <v>28</v>
      </c>
      <c r="H584" s="16" t="s">
        <v>13</v>
      </c>
      <c r="I584" s="28" t="s">
        <v>30</v>
      </c>
      <c r="O584" s="16" t="s">
        <v>31</v>
      </c>
      <c r="P584" s="20">
        <v>4662.5</v>
      </c>
    </row>
    <row r="585" spans="1:16" ht="12.75">
      <c r="A585" s="16" t="s">
        <v>627</v>
      </c>
      <c r="B585" s="17">
        <v>245000</v>
      </c>
      <c r="C585" s="17">
        <f>0.0125*B585</f>
        <v>3062.5</v>
      </c>
      <c r="D585" s="18">
        <v>45779</v>
      </c>
      <c r="E585" s="16" t="s">
        <v>11</v>
      </c>
      <c r="F585" s="16" t="s">
        <v>12</v>
      </c>
      <c r="P585" s="20"/>
    </row>
    <row r="586" spans="1:16" ht="12.75">
      <c r="A586" s="16" t="s">
        <v>628</v>
      </c>
      <c r="B586" s="17">
        <v>20000</v>
      </c>
      <c r="C586" s="17">
        <f>0.0175*B586</f>
        <v>350.00000000000006</v>
      </c>
      <c r="D586" s="18">
        <v>45779</v>
      </c>
      <c r="E586" s="16" t="s">
        <v>11</v>
      </c>
      <c r="F586" s="16" t="s">
        <v>28</v>
      </c>
    </row>
    <row r="587" spans="1:16" ht="12.75">
      <c r="A587" s="16" t="s">
        <v>629</v>
      </c>
      <c r="B587" s="17">
        <v>190000</v>
      </c>
      <c r="C587" s="17">
        <f t="shared" ref="C587:C588" si="147">0.0125*B587</f>
        <v>2375</v>
      </c>
      <c r="D587" s="18">
        <v>45782</v>
      </c>
      <c r="E587" s="16" t="s">
        <v>11</v>
      </c>
      <c r="F587" s="16" t="s">
        <v>12</v>
      </c>
      <c r="O587" s="19" t="s">
        <v>245</v>
      </c>
    </row>
    <row r="588" spans="1:16" ht="12.75">
      <c r="A588" s="16" t="s">
        <v>630</v>
      </c>
      <c r="B588" s="17">
        <v>45000</v>
      </c>
      <c r="C588" s="17">
        <f t="shared" si="147"/>
        <v>562.5</v>
      </c>
      <c r="D588" s="18">
        <v>45782</v>
      </c>
      <c r="E588" s="16" t="s">
        <v>11</v>
      </c>
      <c r="F588" s="16" t="s">
        <v>12</v>
      </c>
      <c r="O588" s="16" t="s">
        <v>17</v>
      </c>
      <c r="P588" s="16">
        <v>14423.07</v>
      </c>
    </row>
    <row r="589" spans="1:16" ht="12.75">
      <c r="A589" s="16" t="s">
        <v>631</v>
      </c>
      <c r="B589" s="17">
        <v>70000</v>
      </c>
      <c r="C589" s="17">
        <f>0.0175*B589</f>
        <v>1225.0000000000002</v>
      </c>
      <c r="D589" s="18">
        <v>45782</v>
      </c>
      <c r="E589" s="16" t="s">
        <v>21</v>
      </c>
      <c r="F589" s="16" t="s">
        <v>28</v>
      </c>
      <c r="H589" s="16" t="s">
        <v>13</v>
      </c>
      <c r="I589" s="28" t="s">
        <v>30</v>
      </c>
      <c r="O589" s="16" t="s">
        <v>15</v>
      </c>
      <c r="P589" s="20">
        <v>24699.75</v>
      </c>
    </row>
    <row r="590" spans="1:16" ht="12.75">
      <c r="A590" s="16" t="s">
        <v>632</v>
      </c>
      <c r="B590" s="17">
        <v>45000</v>
      </c>
      <c r="C590" s="17">
        <f t="shared" ref="C590:C592" si="148">0.0125*B590</f>
        <v>562.5</v>
      </c>
      <c r="D590" s="18">
        <v>45782</v>
      </c>
      <c r="E590" s="16" t="s">
        <v>11</v>
      </c>
      <c r="F590" s="16" t="s">
        <v>12</v>
      </c>
    </row>
    <row r="591" spans="1:16" ht="12.75">
      <c r="A591" s="16" t="s">
        <v>633</v>
      </c>
      <c r="B591" s="17">
        <v>10000</v>
      </c>
      <c r="C591" s="17">
        <f t="shared" si="148"/>
        <v>125</v>
      </c>
      <c r="D591" s="18">
        <v>45782</v>
      </c>
      <c r="E591" s="16" t="s">
        <v>15</v>
      </c>
      <c r="F591" s="16" t="s">
        <v>12</v>
      </c>
      <c r="H591" s="16" t="s">
        <v>54</v>
      </c>
      <c r="K591" s="16">
        <v>60</v>
      </c>
    </row>
    <row r="592" spans="1:16" ht="12.75">
      <c r="A592" s="16" t="s">
        <v>634</v>
      </c>
      <c r="B592" s="17">
        <v>200000</v>
      </c>
      <c r="C592" s="17">
        <f t="shared" si="148"/>
        <v>2500</v>
      </c>
      <c r="D592" s="18">
        <v>45783</v>
      </c>
      <c r="E592" s="16" t="s">
        <v>60</v>
      </c>
      <c r="F592" s="16" t="s">
        <v>12</v>
      </c>
    </row>
    <row r="593" spans="1:11" ht="12.75">
      <c r="A593" s="16" t="s">
        <v>310</v>
      </c>
      <c r="B593" s="17">
        <v>150000</v>
      </c>
      <c r="C593" s="17">
        <f>0.0175*B593</f>
        <v>2625.0000000000005</v>
      </c>
      <c r="D593" s="18">
        <v>45783</v>
      </c>
      <c r="E593" s="16" t="s">
        <v>11</v>
      </c>
      <c r="F593" s="16" t="s">
        <v>67</v>
      </c>
    </row>
    <row r="594" spans="1:11" ht="12.75">
      <c r="A594" s="16" t="s">
        <v>635</v>
      </c>
      <c r="B594" s="17">
        <v>550000</v>
      </c>
      <c r="C594" s="17">
        <f t="shared" ref="C594:C595" si="149">0.0125*B594</f>
        <v>6875</v>
      </c>
      <c r="D594" s="18">
        <v>45783</v>
      </c>
      <c r="E594" s="16" t="s">
        <v>75</v>
      </c>
      <c r="F594" s="16" t="s">
        <v>12</v>
      </c>
    </row>
    <row r="595" spans="1:11" ht="12.75">
      <c r="A595" s="16" t="s">
        <v>47</v>
      </c>
      <c r="B595" s="17">
        <v>600000</v>
      </c>
      <c r="C595" s="17">
        <f t="shared" si="149"/>
        <v>7500</v>
      </c>
      <c r="D595" s="18">
        <v>45783</v>
      </c>
      <c r="E595" s="16" t="s">
        <v>24</v>
      </c>
      <c r="F595" s="16" t="s">
        <v>12</v>
      </c>
      <c r="H595" s="16" t="s">
        <v>619</v>
      </c>
    </row>
    <row r="596" spans="1:11" ht="12.75">
      <c r="A596" s="16" t="s">
        <v>636</v>
      </c>
      <c r="B596" s="17">
        <v>275000</v>
      </c>
      <c r="C596" s="17">
        <f t="shared" ref="C596:C599" si="150">0.0175*B596</f>
        <v>4812.5000000000009</v>
      </c>
      <c r="D596" s="18">
        <v>45783</v>
      </c>
      <c r="E596" s="16" t="s">
        <v>60</v>
      </c>
      <c r="F596" s="16" t="s">
        <v>28</v>
      </c>
      <c r="I596" s="28" t="s">
        <v>30</v>
      </c>
    </row>
    <row r="597" spans="1:11" ht="12.75">
      <c r="A597" s="16" t="s">
        <v>637</v>
      </c>
      <c r="B597" s="17">
        <v>20000</v>
      </c>
      <c r="C597" s="17">
        <f t="shared" si="150"/>
        <v>350.00000000000006</v>
      </c>
      <c r="D597" s="18">
        <v>45784</v>
      </c>
      <c r="E597" s="16" t="s">
        <v>11</v>
      </c>
      <c r="F597" s="16" t="s">
        <v>28</v>
      </c>
    </row>
    <row r="598" spans="1:11" ht="12.75">
      <c r="A598" s="16" t="s">
        <v>278</v>
      </c>
      <c r="B598" s="17">
        <v>500000</v>
      </c>
      <c r="C598" s="17">
        <f t="shared" si="150"/>
        <v>8750</v>
      </c>
      <c r="D598" s="18">
        <v>45784</v>
      </c>
      <c r="E598" s="16" t="s">
        <v>279</v>
      </c>
      <c r="F598" s="16" t="s">
        <v>41</v>
      </c>
      <c r="H598" s="16" t="s">
        <v>22</v>
      </c>
    </row>
    <row r="599" spans="1:11" ht="12.75">
      <c r="A599" s="16" t="s">
        <v>638</v>
      </c>
      <c r="B599" s="17">
        <v>1250000</v>
      </c>
      <c r="C599" s="17">
        <f t="shared" si="150"/>
        <v>21875.000000000004</v>
      </c>
      <c r="D599" s="18">
        <v>45784</v>
      </c>
      <c r="E599" s="16" t="s">
        <v>11</v>
      </c>
      <c r="F599" s="16" t="s">
        <v>28</v>
      </c>
    </row>
    <row r="600" spans="1:11" ht="12.75">
      <c r="A600" s="16" t="s">
        <v>32</v>
      </c>
      <c r="B600" s="17">
        <v>41000</v>
      </c>
      <c r="C600" s="17">
        <f t="shared" ref="C600:C601" si="151">0.0125*B600</f>
        <v>512.5</v>
      </c>
      <c r="D600" s="18">
        <v>45784</v>
      </c>
      <c r="E600" s="16" t="s">
        <v>15</v>
      </c>
      <c r="F600" s="16" t="s">
        <v>12</v>
      </c>
      <c r="H600" s="16" t="s">
        <v>98</v>
      </c>
      <c r="K600" s="16">
        <v>123</v>
      </c>
    </row>
    <row r="601" spans="1:11" ht="12.75">
      <c r="A601" s="16" t="s">
        <v>639</v>
      </c>
      <c r="B601" s="17">
        <v>25000</v>
      </c>
      <c r="C601" s="17">
        <f t="shared" si="151"/>
        <v>312.5</v>
      </c>
      <c r="D601" s="18">
        <v>45785</v>
      </c>
      <c r="E601" s="16" t="s">
        <v>11</v>
      </c>
      <c r="F601" s="16" t="s">
        <v>144</v>
      </c>
    </row>
    <row r="602" spans="1:11" ht="12.75">
      <c r="A602" s="16" t="s">
        <v>640</v>
      </c>
      <c r="B602" s="17">
        <v>100000</v>
      </c>
      <c r="C602" s="17">
        <f t="shared" ref="C602:C603" si="152">0.0175*B602</f>
        <v>1750.0000000000002</v>
      </c>
      <c r="D602" s="18">
        <v>45785</v>
      </c>
      <c r="E602" s="16" t="s">
        <v>376</v>
      </c>
      <c r="F602" s="16" t="s">
        <v>28</v>
      </c>
      <c r="H602" s="16" t="s">
        <v>13</v>
      </c>
      <c r="I602" s="28" t="s">
        <v>30</v>
      </c>
    </row>
    <row r="603" spans="1:11" ht="12.75">
      <c r="A603" s="16" t="s">
        <v>641</v>
      </c>
      <c r="B603" s="17">
        <v>350000</v>
      </c>
      <c r="C603" s="17">
        <f t="shared" si="152"/>
        <v>6125.0000000000009</v>
      </c>
      <c r="D603" s="18">
        <v>45785</v>
      </c>
      <c r="E603" s="16" t="s">
        <v>24</v>
      </c>
      <c r="F603" s="16" t="s">
        <v>28</v>
      </c>
      <c r="H603" s="16" t="s">
        <v>642</v>
      </c>
      <c r="I603" s="28" t="s">
        <v>30</v>
      </c>
    </row>
    <row r="604" spans="1:11" ht="12.75">
      <c r="A604" s="16" t="s">
        <v>643</v>
      </c>
      <c r="B604" s="17">
        <v>170000</v>
      </c>
      <c r="C604" s="17">
        <f t="shared" ref="C604:C608" si="153">0.0125*B604</f>
        <v>2125</v>
      </c>
      <c r="D604" s="18">
        <v>45785</v>
      </c>
      <c r="E604" s="16" t="s">
        <v>11</v>
      </c>
      <c r="F604" s="16" t="s">
        <v>12</v>
      </c>
    </row>
    <row r="605" spans="1:11" ht="12.75">
      <c r="A605" s="16" t="s">
        <v>644</v>
      </c>
      <c r="B605" s="17">
        <v>75000</v>
      </c>
      <c r="C605" s="17">
        <f t="shared" si="153"/>
        <v>937.5</v>
      </c>
      <c r="D605" s="18">
        <v>45785</v>
      </c>
      <c r="E605" s="16" t="s">
        <v>11</v>
      </c>
      <c r="F605" s="16" t="s">
        <v>12</v>
      </c>
    </row>
    <row r="606" spans="1:11" ht="12.75">
      <c r="A606" s="16" t="s">
        <v>645</v>
      </c>
      <c r="B606" s="17">
        <v>700000</v>
      </c>
      <c r="C606" s="17">
        <f t="shared" si="153"/>
        <v>8750</v>
      </c>
      <c r="D606" s="18">
        <v>45785</v>
      </c>
      <c r="E606" s="16" t="s">
        <v>11</v>
      </c>
      <c r="F606" s="16" t="s">
        <v>12</v>
      </c>
    </row>
    <row r="607" spans="1:11" ht="12.75">
      <c r="A607" s="16" t="s">
        <v>646</v>
      </c>
      <c r="B607" s="17">
        <v>85000</v>
      </c>
      <c r="C607" s="17">
        <f t="shared" si="153"/>
        <v>1062.5</v>
      </c>
      <c r="D607" s="18">
        <v>45786</v>
      </c>
      <c r="E607" s="16" t="s">
        <v>92</v>
      </c>
      <c r="F607" s="16" t="s">
        <v>12</v>
      </c>
    </row>
    <row r="608" spans="1:11" ht="12.75">
      <c r="A608" s="16" t="s">
        <v>647</v>
      </c>
      <c r="B608" s="17">
        <v>80000</v>
      </c>
      <c r="C608" s="17">
        <f t="shared" si="153"/>
        <v>1000</v>
      </c>
      <c r="D608" s="18">
        <v>45786</v>
      </c>
      <c r="E608" s="16" t="s">
        <v>11</v>
      </c>
      <c r="F608" s="16" t="s">
        <v>12</v>
      </c>
    </row>
    <row r="609" spans="1:11" ht="12.75">
      <c r="A609" s="16" t="s">
        <v>648</v>
      </c>
      <c r="B609" s="17">
        <v>150000</v>
      </c>
      <c r="C609" s="17">
        <f>0.0175*B609</f>
        <v>2625.0000000000005</v>
      </c>
      <c r="D609" s="18">
        <v>45786</v>
      </c>
      <c r="E609" s="16" t="s">
        <v>24</v>
      </c>
      <c r="F609" s="16" t="s">
        <v>649</v>
      </c>
      <c r="H609" s="16" t="s">
        <v>619</v>
      </c>
    </row>
    <row r="610" spans="1:11" ht="12.75">
      <c r="A610" s="16" t="s">
        <v>650</v>
      </c>
      <c r="B610" s="17">
        <v>120000</v>
      </c>
      <c r="C610" s="17">
        <f t="shared" ref="C610:C611" si="154">0.0125*B610</f>
        <v>1500</v>
      </c>
      <c r="D610" s="18">
        <v>45786</v>
      </c>
      <c r="E610" s="16" t="s">
        <v>461</v>
      </c>
      <c r="F610" s="16" t="s">
        <v>12</v>
      </c>
      <c r="H610" s="16" t="s">
        <v>651</v>
      </c>
    </row>
    <row r="611" spans="1:11" ht="12.75">
      <c r="A611" s="16" t="s">
        <v>652</v>
      </c>
      <c r="B611" s="17">
        <v>220000</v>
      </c>
      <c r="C611" s="17">
        <f t="shared" si="154"/>
        <v>2750</v>
      </c>
      <c r="D611" s="18">
        <v>45786</v>
      </c>
      <c r="E611" s="16" t="s">
        <v>15</v>
      </c>
      <c r="F611" s="16" t="s">
        <v>12</v>
      </c>
      <c r="H611" s="16" t="s">
        <v>220</v>
      </c>
      <c r="K611" s="16">
        <v>770</v>
      </c>
    </row>
    <row r="612" spans="1:11" ht="12.75">
      <c r="A612" s="16" t="s">
        <v>653</v>
      </c>
      <c r="B612" s="17">
        <v>125000</v>
      </c>
      <c r="C612" s="17">
        <f>0.0175*B612</f>
        <v>2187.5</v>
      </c>
      <c r="D612" s="18">
        <v>45789</v>
      </c>
      <c r="E612" s="16" t="s">
        <v>24</v>
      </c>
      <c r="F612" s="16" t="s">
        <v>649</v>
      </c>
      <c r="H612" s="16" t="s">
        <v>619</v>
      </c>
    </row>
    <row r="613" spans="1:11" ht="12.75">
      <c r="A613" s="16" t="s">
        <v>360</v>
      </c>
      <c r="B613" s="17">
        <v>500000</v>
      </c>
      <c r="C613" s="17">
        <f>0.0125*B613</f>
        <v>6250</v>
      </c>
      <c r="D613" s="18">
        <v>45789</v>
      </c>
      <c r="E613" s="16" t="s">
        <v>135</v>
      </c>
      <c r="F613" s="16" t="s">
        <v>12</v>
      </c>
      <c r="H613" s="16" t="s">
        <v>22</v>
      </c>
    </row>
    <row r="614" spans="1:11" ht="12.75">
      <c r="A614" s="16" t="s">
        <v>440</v>
      </c>
      <c r="B614" s="17">
        <v>500000</v>
      </c>
      <c r="C614" s="17">
        <f t="shared" ref="C614:C615" si="155">0.0175*B614</f>
        <v>8750</v>
      </c>
      <c r="D614" s="18">
        <v>45789</v>
      </c>
      <c r="E614" s="16" t="s">
        <v>24</v>
      </c>
      <c r="F614" s="16" t="s">
        <v>67</v>
      </c>
      <c r="H614" s="16" t="s">
        <v>642</v>
      </c>
      <c r="I614" s="28" t="s">
        <v>30</v>
      </c>
    </row>
    <row r="615" spans="1:11" ht="12.75">
      <c r="A615" s="16" t="s">
        <v>654</v>
      </c>
      <c r="B615" s="17">
        <v>20000</v>
      </c>
      <c r="C615" s="17">
        <f t="shared" si="155"/>
        <v>350.00000000000006</v>
      </c>
      <c r="D615" s="18">
        <v>45789</v>
      </c>
      <c r="E615" s="16" t="s">
        <v>15</v>
      </c>
      <c r="F615" s="16" t="s">
        <v>28</v>
      </c>
      <c r="H615" s="16" t="s">
        <v>54</v>
      </c>
      <c r="K615" s="16">
        <v>120</v>
      </c>
    </row>
    <row r="616" spans="1:11" ht="12.75">
      <c r="A616" s="16" t="s">
        <v>655</v>
      </c>
      <c r="B616" s="17">
        <v>45000</v>
      </c>
      <c r="C616" s="17">
        <f t="shared" ref="C616:C617" si="156">0.0125*B616</f>
        <v>562.5</v>
      </c>
      <c r="D616" s="18">
        <v>45789</v>
      </c>
      <c r="E616" s="16" t="s">
        <v>11</v>
      </c>
      <c r="F616" s="16" t="s">
        <v>12</v>
      </c>
    </row>
    <row r="617" spans="1:11" ht="12.75">
      <c r="A617" s="16" t="s">
        <v>656</v>
      </c>
      <c r="B617" s="17">
        <v>280000</v>
      </c>
      <c r="C617" s="17">
        <f t="shared" si="156"/>
        <v>3500</v>
      </c>
      <c r="D617" s="18">
        <v>45790</v>
      </c>
      <c r="E617" s="16" t="s">
        <v>11</v>
      </c>
      <c r="F617" s="16" t="s">
        <v>28</v>
      </c>
      <c r="I617" s="28" t="s">
        <v>30</v>
      </c>
    </row>
    <row r="618" spans="1:11" ht="12.75">
      <c r="A618" s="16" t="s">
        <v>657</v>
      </c>
      <c r="B618" s="17">
        <v>500000</v>
      </c>
      <c r="C618" s="17">
        <f>0.0175*B618</f>
        <v>8750</v>
      </c>
      <c r="D618" s="18">
        <v>45790</v>
      </c>
      <c r="E618" s="16" t="s">
        <v>118</v>
      </c>
      <c r="F618" s="16" t="s">
        <v>28</v>
      </c>
      <c r="H618" s="16" t="s">
        <v>13</v>
      </c>
      <c r="I618" s="28" t="s">
        <v>30</v>
      </c>
    </row>
    <row r="619" spans="1:11" ht="12.75">
      <c r="A619" s="16" t="s">
        <v>658</v>
      </c>
      <c r="B619" s="17">
        <v>1500000</v>
      </c>
      <c r="C619" s="17">
        <f t="shared" ref="C619:C620" si="157">0.0125*B619</f>
        <v>18750</v>
      </c>
      <c r="D619" s="18">
        <v>45790</v>
      </c>
      <c r="E619" s="16" t="s">
        <v>24</v>
      </c>
      <c r="F619" s="16" t="s">
        <v>12</v>
      </c>
      <c r="H619" s="16" t="s">
        <v>619</v>
      </c>
    </row>
    <row r="620" spans="1:11" ht="12.75">
      <c r="A620" s="16" t="s">
        <v>659</v>
      </c>
      <c r="B620" s="17">
        <v>645000</v>
      </c>
      <c r="C620" s="17">
        <f t="shared" si="157"/>
        <v>8062.5</v>
      </c>
      <c r="D620" s="18">
        <v>45790</v>
      </c>
      <c r="E620" s="16" t="s">
        <v>118</v>
      </c>
      <c r="F620" s="16" t="s">
        <v>12</v>
      </c>
      <c r="H620" s="16" t="s">
        <v>22</v>
      </c>
    </row>
    <row r="621" spans="1:11" ht="12.75">
      <c r="A621" s="16" t="s">
        <v>660</v>
      </c>
      <c r="B621" s="17">
        <v>25000</v>
      </c>
      <c r="C621" s="17">
        <f>0.0175*B621</f>
        <v>437.50000000000006</v>
      </c>
      <c r="D621" s="18">
        <v>45790</v>
      </c>
      <c r="E621" s="16" t="s">
        <v>15</v>
      </c>
      <c r="F621" s="16" t="s">
        <v>28</v>
      </c>
      <c r="H621" s="16" t="s">
        <v>51</v>
      </c>
      <c r="K621" s="16">
        <v>125</v>
      </c>
    </row>
    <row r="622" spans="1:11" ht="12.75">
      <c r="A622" s="16" t="s">
        <v>661</v>
      </c>
      <c r="B622" s="17">
        <v>150000</v>
      </c>
      <c r="C622" s="17">
        <f>0.0125*B622</f>
        <v>1875</v>
      </c>
      <c r="D622" s="18">
        <v>45790</v>
      </c>
      <c r="E622" s="16" t="s">
        <v>24</v>
      </c>
      <c r="F622" s="16" t="s">
        <v>12</v>
      </c>
      <c r="H622" s="16" t="s">
        <v>619</v>
      </c>
    </row>
    <row r="623" spans="1:11" ht="12.75">
      <c r="A623" s="16" t="s">
        <v>662</v>
      </c>
      <c r="B623" s="17">
        <v>200000</v>
      </c>
      <c r="C623" s="17">
        <f t="shared" ref="C623:C625" si="158">0.0175*B623</f>
        <v>3500.0000000000005</v>
      </c>
      <c r="D623" s="18">
        <v>45790</v>
      </c>
      <c r="E623" s="16" t="s">
        <v>60</v>
      </c>
      <c r="F623" s="16" t="s">
        <v>28</v>
      </c>
      <c r="I623" s="28" t="s">
        <v>30</v>
      </c>
    </row>
    <row r="624" spans="1:11" ht="12.75">
      <c r="A624" s="16" t="s">
        <v>663</v>
      </c>
      <c r="B624" s="17">
        <v>150000</v>
      </c>
      <c r="C624" s="17">
        <f t="shared" si="158"/>
        <v>2625.0000000000005</v>
      </c>
      <c r="D624" s="18">
        <v>45790</v>
      </c>
      <c r="E624" s="16" t="s">
        <v>60</v>
      </c>
      <c r="F624" s="16" t="s">
        <v>28</v>
      </c>
      <c r="I624" s="28" t="s">
        <v>30</v>
      </c>
    </row>
    <row r="625" spans="1:11" ht="12.75">
      <c r="A625" s="16" t="s">
        <v>664</v>
      </c>
      <c r="B625" s="17">
        <v>70000</v>
      </c>
      <c r="C625" s="17">
        <f t="shared" si="158"/>
        <v>1225.0000000000002</v>
      </c>
      <c r="D625" s="18">
        <v>45790</v>
      </c>
      <c r="E625" s="16" t="s">
        <v>11</v>
      </c>
      <c r="F625" s="16" t="s">
        <v>28</v>
      </c>
      <c r="I625" s="28" t="s">
        <v>30</v>
      </c>
    </row>
    <row r="626" spans="1:11" ht="12.75">
      <c r="A626" s="16" t="s">
        <v>665</v>
      </c>
      <c r="B626" s="17">
        <v>300000</v>
      </c>
      <c r="C626" s="17">
        <f>0.0125*B626</f>
        <v>3750</v>
      </c>
      <c r="D626" s="18">
        <v>45790</v>
      </c>
      <c r="E626" s="16" t="s">
        <v>24</v>
      </c>
      <c r="F626" s="16" t="s">
        <v>12</v>
      </c>
      <c r="H626" s="16" t="s">
        <v>619</v>
      </c>
    </row>
    <row r="627" spans="1:11" ht="12.75">
      <c r="A627" s="16" t="s">
        <v>666</v>
      </c>
      <c r="B627" s="17">
        <v>100000</v>
      </c>
      <c r="C627" s="17">
        <f t="shared" ref="C627:C629" si="159">0.0175*B627</f>
        <v>1750.0000000000002</v>
      </c>
      <c r="D627" s="18">
        <v>45791</v>
      </c>
      <c r="E627" s="16" t="s">
        <v>60</v>
      </c>
      <c r="F627" s="16" t="s">
        <v>28</v>
      </c>
      <c r="I627" s="28" t="s">
        <v>30</v>
      </c>
    </row>
    <row r="628" spans="1:11" ht="12.75">
      <c r="A628" s="16" t="s">
        <v>505</v>
      </c>
      <c r="B628" s="17">
        <v>25000</v>
      </c>
      <c r="C628" s="17">
        <f t="shared" si="159"/>
        <v>437.50000000000006</v>
      </c>
      <c r="D628" s="18">
        <v>45791</v>
      </c>
      <c r="E628" s="16" t="s">
        <v>11</v>
      </c>
      <c r="F628" s="16" t="s">
        <v>67</v>
      </c>
    </row>
    <row r="629" spans="1:11" ht="12.75">
      <c r="A629" s="16" t="s">
        <v>667</v>
      </c>
      <c r="B629" s="17">
        <v>650000</v>
      </c>
      <c r="C629" s="17">
        <f t="shared" si="159"/>
        <v>11375.000000000002</v>
      </c>
      <c r="D629" s="18">
        <v>45791</v>
      </c>
      <c r="E629" s="16" t="s">
        <v>11</v>
      </c>
      <c r="F629" s="16" t="s">
        <v>67</v>
      </c>
      <c r="I629" s="28" t="s">
        <v>30</v>
      </c>
    </row>
    <row r="630" spans="1:11" ht="12.75">
      <c r="A630" s="16" t="s">
        <v>668</v>
      </c>
      <c r="B630" s="17">
        <v>100000</v>
      </c>
      <c r="C630" s="17">
        <f>0.0125*B630</f>
        <v>1250</v>
      </c>
      <c r="D630" s="18">
        <v>45791</v>
      </c>
      <c r="E630" s="16" t="s">
        <v>24</v>
      </c>
      <c r="F630" s="16" t="s">
        <v>12</v>
      </c>
      <c r="H630" s="16" t="s">
        <v>25</v>
      </c>
    </row>
    <row r="631" spans="1:11" ht="12.75">
      <c r="A631" s="16" t="s">
        <v>669</v>
      </c>
      <c r="B631" s="17">
        <v>50000</v>
      </c>
      <c r="C631" s="17">
        <f>0.0175*B631</f>
        <v>875.00000000000011</v>
      </c>
      <c r="D631" s="18">
        <v>45791</v>
      </c>
      <c r="E631" s="16" t="s">
        <v>11</v>
      </c>
      <c r="F631" s="16" t="s">
        <v>28</v>
      </c>
      <c r="I631" s="28" t="s">
        <v>30</v>
      </c>
    </row>
    <row r="632" spans="1:11" ht="12.75">
      <c r="A632" s="16" t="s">
        <v>670</v>
      </c>
      <c r="B632" s="17">
        <v>180000</v>
      </c>
      <c r="C632" s="17">
        <f t="shared" ref="C632:C634" si="160">0.0125*B632</f>
        <v>2250</v>
      </c>
      <c r="D632" s="18">
        <v>45791</v>
      </c>
      <c r="E632" s="16" t="s">
        <v>60</v>
      </c>
      <c r="F632" s="16" t="s">
        <v>12</v>
      </c>
    </row>
    <row r="633" spans="1:11" ht="12.75">
      <c r="A633" s="16" t="s">
        <v>161</v>
      </c>
      <c r="B633" s="17">
        <v>165000</v>
      </c>
      <c r="C633" s="17">
        <f t="shared" si="160"/>
        <v>2062.5</v>
      </c>
      <c r="D633" s="18">
        <v>45791</v>
      </c>
      <c r="E633" s="16" t="s">
        <v>24</v>
      </c>
      <c r="F633" s="16" t="s">
        <v>12</v>
      </c>
      <c r="H633" s="16" t="s">
        <v>619</v>
      </c>
    </row>
    <row r="634" spans="1:11" ht="12.75">
      <c r="A634" s="16" t="s">
        <v>671</v>
      </c>
      <c r="B634" s="17">
        <v>380000</v>
      </c>
      <c r="C634" s="17">
        <f t="shared" si="160"/>
        <v>4750</v>
      </c>
      <c r="D634" s="18">
        <v>45791</v>
      </c>
      <c r="E634" s="16" t="s">
        <v>15</v>
      </c>
      <c r="F634" s="16" t="s">
        <v>12</v>
      </c>
      <c r="H634" s="16" t="s">
        <v>98</v>
      </c>
      <c r="K634" s="16">
        <v>1140</v>
      </c>
    </row>
    <row r="635" spans="1:11" ht="12.75">
      <c r="A635" s="16" t="s">
        <v>672</v>
      </c>
      <c r="B635" s="17">
        <v>12000</v>
      </c>
      <c r="C635" s="17">
        <f t="shared" ref="C635:C637" si="161">0.0175*B635</f>
        <v>210.00000000000003</v>
      </c>
      <c r="D635" s="18">
        <v>45791</v>
      </c>
      <c r="E635" s="16" t="s">
        <v>11</v>
      </c>
      <c r="F635" s="16" t="s">
        <v>28</v>
      </c>
    </row>
    <row r="636" spans="1:11" ht="12.75">
      <c r="A636" s="16" t="s">
        <v>673</v>
      </c>
      <c r="B636" s="17">
        <v>60000</v>
      </c>
      <c r="C636" s="17">
        <f t="shared" si="161"/>
        <v>1050</v>
      </c>
      <c r="D636" s="18">
        <v>45792</v>
      </c>
      <c r="E636" s="16" t="s">
        <v>11</v>
      </c>
      <c r="F636" s="16" t="s">
        <v>67</v>
      </c>
    </row>
    <row r="637" spans="1:11" ht="12.75">
      <c r="A637" s="16" t="s">
        <v>674</v>
      </c>
      <c r="B637" s="17">
        <v>70000</v>
      </c>
      <c r="C637" s="17">
        <f t="shared" si="161"/>
        <v>1225.0000000000002</v>
      </c>
      <c r="D637" s="18">
        <v>45792</v>
      </c>
      <c r="E637" s="16" t="s">
        <v>135</v>
      </c>
      <c r="F637" s="16" t="s">
        <v>28</v>
      </c>
      <c r="H637" s="16" t="s">
        <v>13</v>
      </c>
      <c r="I637" s="28" t="s">
        <v>30</v>
      </c>
    </row>
    <row r="638" spans="1:11" ht="12.75">
      <c r="A638" s="16" t="s">
        <v>675</v>
      </c>
      <c r="B638" s="17">
        <v>60000</v>
      </c>
      <c r="C638" s="17">
        <f>0.0125*B638</f>
        <v>750</v>
      </c>
      <c r="D638" s="18">
        <v>45792</v>
      </c>
      <c r="E638" s="16" t="s">
        <v>11</v>
      </c>
      <c r="F638" s="16" t="s">
        <v>12</v>
      </c>
    </row>
    <row r="639" spans="1:11" ht="12.75">
      <c r="A639" s="16" t="s">
        <v>676</v>
      </c>
      <c r="B639" s="17">
        <v>250000</v>
      </c>
      <c r="C639" s="17">
        <f t="shared" ref="C639:C647" si="162">0.0175*B639</f>
        <v>4375</v>
      </c>
      <c r="D639" s="18">
        <v>45792</v>
      </c>
      <c r="E639" s="16" t="s">
        <v>11</v>
      </c>
      <c r="F639" s="16" t="s">
        <v>41</v>
      </c>
    </row>
    <row r="640" spans="1:11" ht="12.75">
      <c r="A640" s="16" t="s">
        <v>677</v>
      </c>
      <c r="B640" s="17">
        <v>625000</v>
      </c>
      <c r="C640" s="17">
        <f t="shared" si="162"/>
        <v>10937.500000000002</v>
      </c>
      <c r="D640" s="18">
        <v>45792</v>
      </c>
      <c r="E640" s="16" t="s">
        <v>24</v>
      </c>
      <c r="F640" s="16" t="s">
        <v>28</v>
      </c>
      <c r="H640" s="16" t="s">
        <v>642</v>
      </c>
      <c r="I640" s="28" t="s">
        <v>30</v>
      </c>
    </row>
    <row r="641" spans="1:11" ht="12.75">
      <c r="A641" s="16" t="s">
        <v>678</v>
      </c>
      <c r="B641" s="17">
        <v>200000</v>
      </c>
      <c r="C641" s="17">
        <f t="shared" si="162"/>
        <v>3500.0000000000005</v>
      </c>
      <c r="D641" s="18">
        <v>45792</v>
      </c>
      <c r="E641" s="16" t="s">
        <v>118</v>
      </c>
      <c r="F641" s="16" t="s">
        <v>28</v>
      </c>
      <c r="H641" s="16" t="s">
        <v>13</v>
      </c>
      <c r="I641" s="28" t="s">
        <v>30</v>
      </c>
    </row>
    <row r="642" spans="1:11" ht="12.75">
      <c r="A642" s="16" t="s">
        <v>679</v>
      </c>
      <c r="B642" s="17">
        <v>65000</v>
      </c>
      <c r="C642" s="17">
        <f t="shared" si="162"/>
        <v>1137.5</v>
      </c>
      <c r="D642" s="18">
        <v>45792</v>
      </c>
      <c r="E642" s="16" t="s">
        <v>11</v>
      </c>
      <c r="F642" s="16" t="s">
        <v>28</v>
      </c>
      <c r="I642" s="28" t="s">
        <v>30</v>
      </c>
    </row>
    <row r="643" spans="1:11" ht="12.75">
      <c r="A643" s="16" t="s">
        <v>453</v>
      </c>
      <c r="B643" s="17">
        <v>70000</v>
      </c>
      <c r="C643" s="17">
        <f t="shared" si="162"/>
        <v>1225.0000000000002</v>
      </c>
      <c r="D643" s="18">
        <v>45792</v>
      </c>
      <c r="E643" s="16" t="s">
        <v>60</v>
      </c>
      <c r="F643" s="16" t="s">
        <v>67</v>
      </c>
      <c r="I643" s="28" t="s">
        <v>30</v>
      </c>
    </row>
    <row r="644" spans="1:11" ht="12.75">
      <c r="A644" s="16" t="s">
        <v>680</v>
      </c>
      <c r="B644" s="17">
        <v>150000</v>
      </c>
      <c r="C644" s="17">
        <f t="shared" si="162"/>
        <v>2625.0000000000005</v>
      </c>
      <c r="D644" s="18">
        <v>45793</v>
      </c>
      <c r="E644" s="16" t="s">
        <v>60</v>
      </c>
      <c r="F644" s="16" t="s">
        <v>28</v>
      </c>
      <c r="I644" s="28" t="s">
        <v>30</v>
      </c>
    </row>
    <row r="645" spans="1:11" ht="12.75">
      <c r="A645" s="16" t="s">
        <v>681</v>
      </c>
      <c r="B645" s="17">
        <v>60000</v>
      </c>
      <c r="C645" s="17">
        <f t="shared" si="162"/>
        <v>1050</v>
      </c>
      <c r="D645" s="18">
        <v>45793</v>
      </c>
      <c r="E645" s="16" t="s">
        <v>11</v>
      </c>
      <c r="F645" s="16" t="s">
        <v>67</v>
      </c>
      <c r="I645" s="28" t="s">
        <v>30</v>
      </c>
    </row>
    <row r="646" spans="1:11" ht="12.75">
      <c r="A646" s="16" t="s">
        <v>163</v>
      </c>
      <c r="B646" s="17">
        <v>500000</v>
      </c>
      <c r="C646" s="17">
        <f t="shared" si="162"/>
        <v>8750</v>
      </c>
      <c r="D646" s="18">
        <v>45793</v>
      </c>
      <c r="E646" s="16" t="s">
        <v>11</v>
      </c>
      <c r="F646" s="16" t="s">
        <v>67</v>
      </c>
      <c r="I646" s="28" t="s">
        <v>30</v>
      </c>
    </row>
    <row r="647" spans="1:11" ht="12.75">
      <c r="A647" s="16" t="s">
        <v>682</v>
      </c>
      <c r="B647" s="17">
        <v>150000</v>
      </c>
      <c r="C647" s="17">
        <f t="shared" si="162"/>
        <v>2625.0000000000005</v>
      </c>
      <c r="D647" s="18">
        <v>45793</v>
      </c>
      <c r="E647" s="16" t="s">
        <v>15</v>
      </c>
      <c r="F647" s="16" t="s">
        <v>41</v>
      </c>
      <c r="H647" s="16" t="s">
        <v>98</v>
      </c>
      <c r="I647" s="28" t="s">
        <v>30</v>
      </c>
      <c r="K647" s="16">
        <v>450</v>
      </c>
    </row>
    <row r="648" spans="1:11" ht="12.75">
      <c r="A648" s="16" t="s">
        <v>683</v>
      </c>
      <c r="B648" s="17">
        <v>250000</v>
      </c>
      <c r="C648" s="17">
        <f>0.0125*B648</f>
        <v>3125</v>
      </c>
      <c r="D648" s="18">
        <v>45793</v>
      </c>
      <c r="E648" s="16" t="s">
        <v>11</v>
      </c>
      <c r="F648" s="16" t="s">
        <v>12</v>
      </c>
    </row>
    <row r="649" spans="1:11" ht="12.75">
      <c r="A649" s="16" t="s">
        <v>684</v>
      </c>
      <c r="B649" s="17">
        <v>200000</v>
      </c>
      <c r="C649" s="17">
        <f t="shared" ref="C649:C650" si="163">0.0175*B649</f>
        <v>3500.0000000000005</v>
      </c>
      <c r="D649" s="18">
        <v>45793</v>
      </c>
      <c r="E649" s="16" t="s">
        <v>15</v>
      </c>
      <c r="F649" s="16" t="s">
        <v>28</v>
      </c>
      <c r="H649" s="16" t="s">
        <v>390</v>
      </c>
      <c r="I649" s="28" t="s">
        <v>30</v>
      </c>
      <c r="K649" s="16">
        <v>100</v>
      </c>
    </row>
    <row r="650" spans="1:11" ht="12.75">
      <c r="A650" s="16" t="s">
        <v>685</v>
      </c>
      <c r="B650" s="17">
        <v>200000</v>
      </c>
      <c r="C650" s="17">
        <f t="shared" si="163"/>
        <v>3500.0000000000005</v>
      </c>
      <c r="D650" s="18">
        <v>45796</v>
      </c>
      <c r="E650" s="16" t="s">
        <v>11</v>
      </c>
      <c r="F650" s="16" t="s">
        <v>41</v>
      </c>
      <c r="I650" s="28" t="s">
        <v>30</v>
      </c>
    </row>
    <row r="651" spans="1:11" ht="12.75">
      <c r="A651" s="16" t="s">
        <v>543</v>
      </c>
      <c r="B651" s="17">
        <v>140000</v>
      </c>
      <c r="C651" s="17">
        <f t="shared" ref="C651:C656" si="164">0.0125*B651</f>
        <v>1750</v>
      </c>
      <c r="D651" s="18">
        <v>45796</v>
      </c>
      <c r="E651" s="16" t="s">
        <v>73</v>
      </c>
      <c r="F651" s="16" t="s">
        <v>12</v>
      </c>
    </row>
    <row r="652" spans="1:11" ht="12.75">
      <c r="A652" s="16" t="s">
        <v>52</v>
      </c>
      <c r="B652" s="17">
        <v>1400000</v>
      </c>
      <c r="C652" s="17">
        <f t="shared" si="164"/>
        <v>17500</v>
      </c>
      <c r="D652" s="18">
        <v>45796</v>
      </c>
      <c r="E652" s="16" t="s">
        <v>11</v>
      </c>
      <c r="F652" s="16" t="s">
        <v>12</v>
      </c>
    </row>
    <row r="653" spans="1:11" ht="12.75">
      <c r="A653" s="16" t="s">
        <v>686</v>
      </c>
      <c r="B653" s="17">
        <v>250000</v>
      </c>
      <c r="C653" s="17">
        <f t="shared" si="164"/>
        <v>3125</v>
      </c>
      <c r="D653" s="18">
        <v>45796</v>
      </c>
      <c r="E653" s="16" t="s">
        <v>11</v>
      </c>
      <c r="F653" s="16" t="s">
        <v>12</v>
      </c>
    </row>
    <row r="654" spans="1:11" ht="12.75">
      <c r="A654" s="16" t="s">
        <v>181</v>
      </c>
      <c r="B654" s="17">
        <v>30000</v>
      </c>
      <c r="C654" s="17">
        <f t="shared" si="164"/>
        <v>375</v>
      </c>
      <c r="D654" s="18">
        <v>45796</v>
      </c>
      <c r="E654" s="16" t="s">
        <v>15</v>
      </c>
      <c r="F654" s="16" t="s">
        <v>12</v>
      </c>
      <c r="H654" s="16" t="s">
        <v>54</v>
      </c>
      <c r="K654" s="16">
        <v>180</v>
      </c>
    </row>
    <row r="655" spans="1:11" ht="12.75">
      <c r="A655" s="16" t="s">
        <v>687</v>
      </c>
      <c r="B655" s="17">
        <v>1650000</v>
      </c>
      <c r="C655" s="17">
        <f t="shared" si="164"/>
        <v>20625</v>
      </c>
      <c r="D655" s="18">
        <v>45797</v>
      </c>
      <c r="E655" s="16" t="s">
        <v>15</v>
      </c>
      <c r="F655" s="16" t="s">
        <v>12</v>
      </c>
      <c r="H655" s="16" t="s">
        <v>149</v>
      </c>
      <c r="K655" s="16">
        <v>4125</v>
      </c>
    </row>
    <row r="656" spans="1:11" ht="12.75">
      <c r="A656" s="16" t="s">
        <v>688</v>
      </c>
      <c r="B656" s="17">
        <v>80000</v>
      </c>
      <c r="C656" s="17">
        <f t="shared" si="164"/>
        <v>1000</v>
      </c>
      <c r="D656" s="18">
        <v>45797</v>
      </c>
      <c r="E656" s="16" t="s">
        <v>11</v>
      </c>
      <c r="F656" s="16" t="s">
        <v>12</v>
      </c>
    </row>
    <row r="657" spans="1:11" ht="12.75">
      <c r="A657" s="16" t="s">
        <v>689</v>
      </c>
      <c r="B657" s="17">
        <v>13000</v>
      </c>
      <c r="C657" s="17">
        <f>0.0175*B657</f>
        <v>227.50000000000003</v>
      </c>
      <c r="D657" s="18">
        <v>45797</v>
      </c>
      <c r="E657" s="16" t="s">
        <v>21</v>
      </c>
      <c r="F657" s="16" t="s">
        <v>28</v>
      </c>
      <c r="H657" s="16" t="s">
        <v>13</v>
      </c>
      <c r="I657" s="28" t="s">
        <v>30</v>
      </c>
    </row>
    <row r="658" spans="1:11" ht="12.75">
      <c r="A658" s="16" t="s">
        <v>690</v>
      </c>
      <c r="B658" s="17">
        <v>350000</v>
      </c>
      <c r="C658" s="17">
        <f>0.0125*B658</f>
        <v>4375</v>
      </c>
      <c r="D658" s="18">
        <v>45797</v>
      </c>
      <c r="E658" s="16" t="s">
        <v>24</v>
      </c>
      <c r="F658" s="16" t="s">
        <v>12</v>
      </c>
      <c r="H658" s="16" t="s">
        <v>619</v>
      </c>
    </row>
    <row r="659" spans="1:11" ht="12.75">
      <c r="A659" s="16" t="s">
        <v>527</v>
      </c>
      <c r="B659" s="17">
        <v>50000</v>
      </c>
      <c r="C659" s="17">
        <f>0.0175*B659</f>
        <v>875.00000000000011</v>
      </c>
      <c r="D659" s="18">
        <v>45797</v>
      </c>
      <c r="E659" s="16" t="s">
        <v>11</v>
      </c>
      <c r="F659" s="16" t="s">
        <v>67</v>
      </c>
    </row>
    <row r="660" spans="1:11" ht="12.75">
      <c r="A660" s="16" t="s">
        <v>691</v>
      </c>
      <c r="B660" s="17">
        <v>50000</v>
      </c>
      <c r="C660" s="17">
        <f>0.0125*B660</f>
        <v>625</v>
      </c>
      <c r="D660" s="18">
        <v>45798</v>
      </c>
      <c r="E660" s="16" t="s">
        <v>15</v>
      </c>
      <c r="F660" s="16" t="s">
        <v>144</v>
      </c>
      <c r="H660" s="16" t="s">
        <v>54</v>
      </c>
      <c r="K660" s="16">
        <v>300</v>
      </c>
    </row>
    <row r="661" spans="1:11" ht="12.75">
      <c r="A661" s="16" t="s">
        <v>692</v>
      </c>
      <c r="B661" s="17">
        <v>325000</v>
      </c>
      <c r="C661" s="17">
        <f t="shared" ref="C661:C662" si="165">0.0175*B661</f>
        <v>5687.5000000000009</v>
      </c>
      <c r="D661" s="18">
        <v>45798</v>
      </c>
      <c r="E661" s="16" t="s">
        <v>11</v>
      </c>
      <c r="F661" s="16" t="s">
        <v>28</v>
      </c>
      <c r="I661" s="28" t="s">
        <v>30</v>
      </c>
    </row>
    <row r="662" spans="1:11" ht="12.75">
      <c r="A662" s="16" t="s">
        <v>693</v>
      </c>
      <c r="B662" s="17">
        <v>200000</v>
      </c>
      <c r="C662" s="17">
        <f t="shared" si="165"/>
        <v>3500.0000000000005</v>
      </c>
      <c r="D662" s="18">
        <v>45798</v>
      </c>
      <c r="E662" s="16" t="s">
        <v>11</v>
      </c>
      <c r="F662" s="16" t="s">
        <v>28</v>
      </c>
      <c r="I662" s="28" t="s">
        <v>30</v>
      </c>
    </row>
    <row r="663" spans="1:11" ht="12.75">
      <c r="A663" s="16" t="s">
        <v>694</v>
      </c>
      <c r="B663" s="17">
        <v>250000</v>
      </c>
      <c r="C663" s="17">
        <f>0.0125*B663</f>
        <v>3125</v>
      </c>
      <c r="D663" s="18">
        <v>45798</v>
      </c>
      <c r="E663" s="16" t="s">
        <v>75</v>
      </c>
      <c r="F663" s="16" t="s">
        <v>12</v>
      </c>
    </row>
    <row r="664" spans="1:11" ht="12.75">
      <c r="A664" s="16" t="s">
        <v>695</v>
      </c>
      <c r="B664" s="17">
        <v>100000</v>
      </c>
      <c r="C664" s="17">
        <f t="shared" ref="C664:C669" si="166">0.0175*B664</f>
        <v>1750.0000000000002</v>
      </c>
      <c r="D664" s="18">
        <v>45798</v>
      </c>
      <c r="E664" s="16" t="s">
        <v>15</v>
      </c>
      <c r="F664" s="16" t="s">
        <v>28</v>
      </c>
      <c r="H664" s="16" t="s">
        <v>51</v>
      </c>
      <c r="I664" s="28" t="s">
        <v>30</v>
      </c>
      <c r="K664" s="16">
        <v>500</v>
      </c>
    </row>
    <row r="665" spans="1:11" ht="12.75">
      <c r="A665" s="16" t="s">
        <v>696</v>
      </c>
      <c r="B665" s="17">
        <v>1500000</v>
      </c>
      <c r="C665" s="17">
        <f t="shared" si="166"/>
        <v>26250.000000000004</v>
      </c>
      <c r="D665" s="18">
        <v>45798</v>
      </c>
      <c r="E665" s="16" t="s">
        <v>118</v>
      </c>
      <c r="F665" s="16" t="s">
        <v>28</v>
      </c>
      <c r="H665" s="16" t="s">
        <v>13</v>
      </c>
      <c r="I665" s="28" t="s">
        <v>30</v>
      </c>
    </row>
    <row r="666" spans="1:11" ht="12.75">
      <c r="A666" s="16" t="s">
        <v>697</v>
      </c>
      <c r="B666" s="17">
        <v>30000</v>
      </c>
      <c r="C666" s="17">
        <f t="shared" si="166"/>
        <v>525</v>
      </c>
      <c r="D666" s="18">
        <v>45798</v>
      </c>
      <c r="E666" s="16" t="s">
        <v>15</v>
      </c>
      <c r="F666" s="16" t="s">
        <v>28</v>
      </c>
      <c r="H666" s="16" t="s">
        <v>35</v>
      </c>
      <c r="I666" s="28" t="s">
        <v>30</v>
      </c>
      <c r="K666" s="16">
        <v>60</v>
      </c>
    </row>
    <row r="667" spans="1:11" ht="12.75">
      <c r="A667" s="16" t="s">
        <v>698</v>
      </c>
      <c r="B667" s="17">
        <v>125000</v>
      </c>
      <c r="C667" s="17">
        <f t="shared" si="166"/>
        <v>2187.5</v>
      </c>
      <c r="D667" s="18">
        <v>45798</v>
      </c>
      <c r="E667" s="16" t="s">
        <v>118</v>
      </c>
      <c r="F667" s="16" t="s">
        <v>28</v>
      </c>
      <c r="H667" s="16" t="s">
        <v>13</v>
      </c>
      <c r="I667" s="28" t="s">
        <v>30</v>
      </c>
    </row>
    <row r="668" spans="1:11" ht="12.75">
      <c r="A668" s="16" t="s">
        <v>699</v>
      </c>
      <c r="B668" s="17">
        <v>70000</v>
      </c>
      <c r="C668" s="17">
        <f t="shared" si="166"/>
        <v>1225.0000000000002</v>
      </c>
      <c r="D668" s="18">
        <v>45799</v>
      </c>
      <c r="E668" s="16" t="s">
        <v>15</v>
      </c>
      <c r="F668" s="16" t="s">
        <v>28</v>
      </c>
      <c r="H668" s="16" t="s">
        <v>51</v>
      </c>
      <c r="K668" s="16">
        <v>350</v>
      </c>
    </row>
    <row r="669" spans="1:11" ht="12.75">
      <c r="A669" s="16" t="s">
        <v>700</v>
      </c>
      <c r="B669" s="17">
        <v>100000</v>
      </c>
      <c r="C669" s="17">
        <f t="shared" si="166"/>
        <v>1750.0000000000002</v>
      </c>
      <c r="D669" s="18">
        <v>45799</v>
      </c>
      <c r="E669" s="16" t="s">
        <v>69</v>
      </c>
      <c r="F669" s="16" t="s">
        <v>28</v>
      </c>
      <c r="H669" s="16" t="s">
        <v>13</v>
      </c>
      <c r="I669" s="28" t="s">
        <v>30</v>
      </c>
    </row>
    <row r="670" spans="1:11" ht="12.75">
      <c r="A670" s="16" t="s">
        <v>81</v>
      </c>
      <c r="B670" s="17">
        <v>95000</v>
      </c>
      <c r="C670" s="17">
        <f t="shared" ref="C670:C671" si="167">0.0125*B670</f>
        <v>1187.5</v>
      </c>
      <c r="D670" s="18">
        <v>45800</v>
      </c>
      <c r="E670" s="16" t="s">
        <v>11</v>
      </c>
      <c r="F670" s="16" t="s">
        <v>12</v>
      </c>
    </row>
    <row r="671" spans="1:11" ht="12.75">
      <c r="A671" s="16" t="s">
        <v>701</v>
      </c>
      <c r="B671" s="17">
        <v>65000</v>
      </c>
      <c r="C671" s="17">
        <f t="shared" si="167"/>
        <v>812.5</v>
      </c>
      <c r="D671" s="18">
        <v>45800</v>
      </c>
      <c r="E671" s="16" t="s">
        <v>73</v>
      </c>
      <c r="F671" s="16" t="s">
        <v>12</v>
      </c>
    </row>
    <row r="672" spans="1:11" ht="12.75">
      <c r="A672" s="16" t="s">
        <v>702</v>
      </c>
      <c r="B672" s="17">
        <v>250000</v>
      </c>
      <c r="C672" s="17">
        <f t="shared" ref="C672:C673" si="168">0.0175*B672</f>
        <v>4375</v>
      </c>
      <c r="D672" s="18">
        <v>45800</v>
      </c>
      <c r="E672" s="16" t="s">
        <v>118</v>
      </c>
      <c r="F672" s="16" t="s">
        <v>28</v>
      </c>
      <c r="H672" s="16" t="s">
        <v>13</v>
      </c>
      <c r="I672" s="28" t="s">
        <v>30</v>
      </c>
    </row>
    <row r="673" spans="1:11" ht="12.75">
      <c r="A673" s="16" t="s">
        <v>703</v>
      </c>
      <c r="B673" s="17">
        <v>100000</v>
      </c>
      <c r="C673" s="17">
        <f t="shared" si="168"/>
        <v>1750.0000000000002</v>
      </c>
      <c r="D673" s="18">
        <v>45800</v>
      </c>
      <c r="E673" s="16" t="s">
        <v>11</v>
      </c>
      <c r="F673" s="16" t="s">
        <v>28</v>
      </c>
      <c r="I673" s="28" t="s">
        <v>30</v>
      </c>
    </row>
    <row r="674" spans="1:11" ht="12.75">
      <c r="A674" s="16" t="s">
        <v>239</v>
      </c>
      <c r="B674" s="17">
        <v>100000</v>
      </c>
      <c r="C674" s="17">
        <f>0.0125*B674</f>
        <v>1250</v>
      </c>
      <c r="D674" s="18">
        <v>45800</v>
      </c>
      <c r="E674" s="16" t="s">
        <v>73</v>
      </c>
      <c r="F674" s="16" t="s">
        <v>144</v>
      </c>
    </row>
    <row r="675" spans="1:11" ht="12.75">
      <c r="A675" s="16" t="s">
        <v>704</v>
      </c>
      <c r="B675" s="17">
        <v>100000</v>
      </c>
      <c r="C675" s="17">
        <f>0.0175*B675</f>
        <v>1750.0000000000002</v>
      </c>
      <c r="D675" s="18">
        <v>45800</v>
      </c>
      <c r="E675" s="16" t="s">
        <v>11</v>
      </c>
      <c r="F675" s="16" t="s">
        <v>28</v>
      </c>
      <c r="I675" s="28" t="s">
        <v>30</v>
      </c>
    </row>
    <row r="676" spans="1:11" ht="12.75">
      <c r="A676" s="16" t="s">
        <v>705</v>
      </c>
      <c r="B676" s="17">
        <v>100000</v>
      </c>
      <c r="C676" s="17">
        <f t="shared" ref="C676:C678" si="169">0.0125*B676</f>
        <v>1250</v>
      </c>
      <c r="D676" s="18">
        <v>45800</v>
      </c>
      <c r="E676" s="16" t="s">
        <v>11</v>
      </c>
      <c r="F676" s="16" t="s">
        <v>12</v>
      </c>
      <c r="H676" s="16" t="s">
        <v>619</v>
      </c>
    </row>
    <row r="677" spans="1:11" ht="12.75">
      <c r="A677" s="16" t="s">
        <v>706</v>
      </c>
      <c r="B677" s="17">
        <v>200000</v>
      </c>
      <c r="C677" s="17">
        <f t="shared" si="169"/>
        <v>2500</v>
      </c>
      <c r="D677" s="18">
        <v>45800</v>
      </c>
      <c r="E677" s="16" t="s">
        <v>24</v>
      </c>
      <c r="F677" s="16" t="s">
        <v>12</v>
      </c>
    </row>
    <row r="678" spans="1:11" ht="12.75">
      <c r="A678" s="16" t="s">
        <v>277</v>
      </c>
      <c r="B678" s="17">
        <v>1250000</v>
      </c>
      <c r="C678" s="17">
        <f t="shared" si="169"/>
        <v>15625</v>
      </c>
      <c r="D678" s="18">
        <v>45804</v>
      </c>
      <c r="E678" s="16" t="s">
        <v>15</v>
      </c>
      <c r="F678" s="16" t="s">
        <v>12</v>
      </c>
      <c r="H678" s="16" t="s">
        <v>149</v>
      </c>
      <c r="K678" s="16">
        <v>3125</v>
      </c>
    </row>
    <row r="679" spans="1:11" ht="12.75">
      <c r="A679" s="16" t="s">
        <v>707</v>
      </c>
      <c r="B679" s="17">
        <v>200000</v>
      </c>
      <c r="C679" s="17">
        <f t="shared" ref="C679:C681" si="170">0.0175*B679</f>
        <v>3500.0000000000005</v>
      </c>
      <c r="D679" s="18">
        <v>45804</v>
      </c>
      <c r="E679" s="16" t="s">
        <v>11</v>
      </c>
      <c r="F679" s="16" t="s">
        <v>28</v>
      </c>
      <c r="I679" s="28" t="s">
        <v>30</v>
      </c>
    </row>
    <row r="680" spans="1:11" ht="12.75">
      <c r="A680" s="16" t="s">
        <v>708</v>
      </c>
      <c r="B680" s="17">
        <v>250000</v>
      </c>
      <c r="C680" s="17">
        <f t="shared" si="170"/>
        <v>4375</v>
      </c>
      <c r="D680" s="18">
        <v>45804</v>
      </c>
      <c r="E680" s="16" t="s">
        <v>24</v>
      </c>
      <c r="F680" s="16" t="s">
        <v>28</v>
      </c>
      <c r="H680" s="16" t="s">
        <v>642</v>
      </c>
      <c r="I680" s="28" t="s">
        <v>30</v>
      </c>
    </row>
    <row r="681" spans="1:11" ht="12.75">
      <c r="A681" s="16" t="s">
        <v>709</v>
      </c>
      <c r="B681" s="17">
        <v>250000</v>
      </c>
      <c r="C681" s="17">
        <f t="shared" si="170"/>
        <v>4375</v>
      </c>
      <c r="D681" s="18">
        <v>45804</v>
      </c>
      <c r="E681" s="16" t="s">
        <v>60</v>
      </c>
      <c r="F681" s="16" t="s">
        <v>28</v>
      </c>
      <c r="I681" s="28" t="s">
        <v>30</v>
      </c>
    </row>
    <row r="682" spans="1:11" ht="12.75">
      <c r="A682" s="16" t="s">
        <v>710</v>
      </c>
      <c r="B682" s="17">
        <v>20000</v>
      </c>
      <c r="C682" s="17">
        <f>0.0125*B682</f>
        <v>250</v>
      </c>
      <c r="D682" s="18">
        <v>45804</v>
      </c>
      <c r="E682" s="16" t="s">
        <v>11</v>
      </c>
      <c r="F682" s="16" t="s">
        <v>12</v>
      </c>
    </row>
    <row r="683" spans="1:11" ht="12.75">
      <c r="A683" s="16" t="s">
        <v>711</v>
      </c>
      <c r="B683" s="17">
        <v>400000</v>
      </c>
      <c r="C683" s="17">
        <f t="shared" ref="C683:C684" si="171">0.0175*B683</f>
        <v>7000.0000000000009</v>
      </c>
      <c r="D683" s="18">
        <v>45804</v>
      </c>
      <c r="E683" s="16" t="s">
        <v>24</v>
      </c>
      <c r="F683" s="16" t="s">
        <v>28</v>
      </c>
      <c r="H683" s="16" t="s">
        <v>642</v>
      </c>
      <c r="I683" s="28" t="s">
        <v>30</v>
      </c>
    </row>
    <row r="684" spans="1:11" ht="12.75">
      <c r="A684" s="16" t="s">
        <v>712</v>
      </c>
      <c r="B684" s="17">
        <v>45000</v>
      </c>
      <c r="C684" s="17">
        <f t="shared" si="171"/>
        <v>787.50000000000011</v>
      </c>
      <c r="D684" s="18">
        <v>45804</v>
      </c>
      <c r="E684" s="16" t="s">
        <v>11</v>
      </c>
      <c r="F684" s="16" t="s">
        <v>28</v>
      </c>
    </row>
    <row r="685" spans="1:11" ht="12.75">
      <c r="A685" s="16" t="s">
        <v>713</v>
      </c>
      <c r="B685" s="17">
        <v>100000</v>
      </c>
      <c r="C685" s="17">
        <f t="shared" ref="C685:C687" si="172">0.0125*B685</f>
        <v>1250</v>
      </c>
      <c r="D685" s="18">
        <v>45804</v>
      </c>
      <c r="E685" s="16" t="s">
        <v>75</v>
      </c>
      <c r="F685" s="16" t="s">
        <v>12</v>
      </c>
    </row>
    <row r="686" spans="1:11" ht="12.75">
      <c r="A686" s="16" t="s">
        <v>714</v>
      </c>
      <c r="B686" s="17">
        <v>85000</v>
      </c>
      <c r="C686" s="17">
        <f t="shared" si="172"/>
        <v>1062.5</v>
      </c>
      <c r="D686" s="18">
        <v>45805</v>
      </c>
      <c r="E686" s="16" t="s">
        <v>11</v>
      </c>
      <c r="F686" s="16" t="s">
        <v>12</v>
      </c>
    </row>
    <row r="687" spans="1:11" ht="12.75">
      <c r="A687" s="16" t="s">
        <v>715</v>
      </c>
      <c r="B687" s="17">
        <v>35000</v>
      </c>
      <c r="C687" s="17">
        <f t="shared" si="172"/>
        <v>437.5</v>
      </c>
      <c r="D687" s="18">
        <v>45805</v>
      </c>
      <c r="E687" s="16" t="s">
        <v>11</v>
      </c>
      <c r="F687" s="16" t="s">
        <v>12</v>
      </c>
    </row>
    <row r="688" spans="1:11" ht="12.75">
      <c r="A688" s="16" t="s">
        <v>716</v>
      </c>
      <c r="B688" s="17">
        <v>65000</v>
      </c>
      <c r="C688" s="17">
        <f>0.0175*B688</f>
        <v>1137.5</v>
      </c>
      <c r="D688" s="18">
        <v>45805</v>
      </c>
      <c r="E688" s="16" t="s">
        <v>11</v>
      </c>
      <c r="F688" s="16" t="s">
        <v>28</v>
      </c>
      <c r="I688" s="28" t="s">
        <v>30</v>
      </c>
    </row>
    <row r="689" spans="1:12" ht="12.75">
      <c r="A689" s="16" t="s">
        <v>717</v>
      </c>
      <c r="B689" s="17">
        <v>900000</v>
      </c>
      <c r="C689" s="17">
        <f t="shared" ref="C689:C692" si="173">0.0125*B689</f>
        <v>11250</v>
      </c>
      <c r="D689" s="18">
        <v>45806</v>
      </c>
      <c r="E689" s="16" t="s">
        <v>24</v>
      </c>
      <c r="F689" s="16" t="s">
        <v>12</v>
      </c>
      <c r="H689" s="16" t="s">
        <v>619</v>
      </c>
    </row>
    <row r="690" spans="1:12" ht="12.75">
      <c r="A690" s="16" t="s">
        <v>718</v>
      </c>
      <c r="B690" s="17">
        <v>225000</v>
      </c>
      <c r="C690" s="17">
        <f t="shared" si="173"/>
        <v>2812.5</v>
      </c>
      <c r="D690" s="18">
        <v>45806</v>
      </c>
      <c r="E690" s="16" t="s">
        <v>73</v>
      </c>
      <c r="F690" s="16" t="s">
        <v>12</v>
      </c>
    </row>
    <row r="691" spans="1:12" ht="12.75">
      <c r="A691" s="16" t="s">
        <v>719</v>
      </c>
      <c r="B691" s="17">
        <v>100000</v>
      </c>
      <c r="C691" s="17">
        <f t="shared" si="173"/>
        <v>1250</v>
      </c>
      <c r="D691" s="18">
        <v>45806</v>
      </c>
      <c r="E691" s="16" t="s">
        <v>21</v>
      </c>
      <c r="F691" s="16" t="s">
        <v>12</v>
      </c>
      <c r="H691" s="16" t="s">
        <v>22</v>
      </c>
    </row>
    <row r="692" spans="1:12" ht="12.75">
      <c r="A692" s="16" t="s">
        <v>720</v>
      </c>
      <c r="B692" s="17">
        <v>325000</v>
      </c>
      <c r="C692" s="17">
        <f t="shared" si="173"/>
        <v>4062.5</v>
      </c>
      <c r="D692" s="18">
        <v>45806</v>
      </c>
      <c r="E692" s="16" t="s">
        <v>24</v>
      </c>
      <c r="F692" s="16" t="s">
        <v>12</v>
      </c>
      <c r="H692" s="16" t="s">
        <v>619</v>
      </c>
    </row>
    <row r="693" spans="1:12" ht="12.75">
      <c r="A693" s="16" t="s">
        <v>721</v>
      </c>
      <c r="B693" s="17">
        <v>900000</v>
      </c>
      <c r="C693" s="17">
        <f>0.0175*B693</f>
        <v>15750.000000000002</v>
      </c>
      <c r="D693" s="18">
        <v>45806</v>
      </c>
      <c r="E693" s="16" t="s">
        <v>118</v>
      </c>
      <c r="F693" s="16" t="s">
        <v>28</v>
      </c>
      <c r="H693" s="16" t="s">
        <v>13</v>
      </c>
      <c r="I693" s="28" t="s">
        <v>30</v>
      </c>
    </row>
    <row r="694" spans="1:12" ht="12.75">
      <c r="A694" s="16" t="s">
        <v>79</v>
      </c>
      <c r="B694" s="17">
        <v>1200000</v>
      </c>
      <c r="C694" s="17">
        <f t="shared" ref="C694:C695" si="174">0.0125*B694</f>
        <v>15000</v>
      </c>
      <c r="D694" s="18">
        <v>45806</v>
      </c>
      <c r="E694" s="16" t="s">
        <v>11</v>
      </c>
      <c r="F694" s="16" t="s">
        <v>12</v>
      </c>
    </row>
    <row r="695" spans="1:12" ht="12.75">
      <c r="A695" s="16" t="s">
        <v>188</v>
      </c>
      <c r="B695" s="17">
        <v>92000</v>
      </c>
      <c r="C695" s="17">
        <f t="shared" si="174"/>
        <v>1150</v>
      </c>
      <c r="D695" s="18">
        <v>45807</v>
      </c>
      <c r="E695" s="16" t="s">
        <v>24</v>
      </c>
      <c r="F695" s="16" t="s">
        <v>12</v>
      </c>
      <c r="H695" s="16" t="s">
        <v>25</v>
      </c>
    </row>
    <row r="696" spans="1:12" ht="12.75">
      <c r="A696" s="16" t="s">
        <v>722</v>
      </c>
      <c r="B696" s="17">
        <v>25000</v>
      </c>
      <c r="C696" s="17">
        <f>0.0175*B696</f>
        <v>437.50000000000006</v>
      </c>
      <c r="D696" s="18">
        <v>45807</v>
      </c>
      <c r="E696" s="16" t="s">
        <v>11</v>
      </c>
      <c r="F696" s="16" t="s">
        <v>28</v>
      </c>
      <c r="I696" s="28" t="s">
        <v>30</v>
      </c>
    </row>
    <row r="697" spans="1:12" ht="12.75">
      <c r="A697" s="16" t="s">
        <v>723</v>
      </c>
      <c r="B697" s="17">
        <v>91000</v>
      </c>
      <c r="C697" s="17">
        <f>0.0125*B697</f>
        <v>1137.5</v>
      </c>
      <c r="D697" s="18">
        <v>45807</v>
      </c>
      <c r="E697" s="16" t="s">
        <v>15</v>
      </c>
      <c r="F697" s="16" t="s">
        <v>12</v>
      </c>
      <c r="H697" s="16" t="s">
        <v>16</v>
      </c>
      <c r="K697" s="16">
        <v>364</v>
      </c>
    </row>
    <row r="698" spans="1:12" ht="12.75">
      <c r="A698" s="16" t="s">
        <v>618</v>
      </c>
      <c r="B698" s="17">
        <v>350000</v>
      </c>
      <c r="C698" s="17">
        <f>0.0175*B698</f>
        <v>6125.0000000000009</v>
      </c>
      <c r="D698" s="18">
        <v>45807</v>
      </c>
      <c r="E698" s="16" t="s">
        <v>24</v>
      </c>
      <c r="F698" s="16" t="s">
        <v>67</v>
      </c>
      <c r="H698" s="16" t="s">
        <v>58</v>
      </c>
      <c r="I698" s="28" t="s">
        <v>30</v>
      </c>
    </row>
    <row r="699" spans="1:12" ht="12.75">
      <c r="A699" s="16" t="s">
        <v>465</v>
      </c>
      <c r="B699" s="17">
        <v>200000</v>
      </c>
      <c r="C699" s="17">
        <f>0.0125*B699</f>
        <v>2500</v>
      </c>
      <c r="D699" s="18">
        <v>45807</v>
      </c>
      <c r="E699" s="16" t="s">
        <v>724</v>
      </c>
      <c r="F699" s="16" t="s">
        <v>12</v>
      </c>
      <c r="H699" s="16" t="s">
        <v>51</v>
      </c>
      <c r="K699" s="16">
        <v>1000</v>
      </c>
    </row>
    <row r="700" spans="1:12" ht="12.75">
      <c r="A700" s="16" t="s">
        <v>725</v>
      </c>
      <c r="B700" s="17">
        <v>30000</v>
      </c>
      <c r="C700" s="17">
        <f>0.0175*B700</f>
        <v>525</v>
      </c>
      <c r="D700" s="18">
        <v>45807</v>
      </c>
      <c r="E700" s="16" t="s">
        <v>60</v>
      </c>
      <c r="F700" s="16" t="s">
        <v>28</v>
      </c>
      <c r="I700" s="28" t="s">
        <v>30</v>
      </c>
    </row>
    <row r="701" spans="1:12" ht="12.75">
      <c r="A701" s="16" t="s">
        <v>726</v>
      </c>
      <c r="B701" s="17">
        <v>180000</v>
      </c>
      <c r="C701" s="17">
        <f>0.0125*B701</f>
        <v>2250</v>
      </c>
      <c r="D701" s="18">
        <v>45807</v>
      </c>
      <c r="E701" s="16" t="s">
        <v>11</v>
      </c>
      <c r="F701" s="16" t="s">
        <v>12</v>
      </c>
    </row>
    <row r="702" spans="1:12" ht="12.75">
      <c r="A702" s="16" t="s">
        <v>569</v>
      </c>
      <c r="B702" s="17">
        <v>125000</v>
      </c>
      <c r="C702" s="17">
        <f t="shared" ref="C702:C703" si="175">0.0175*B702</f>
        <v>2187.5</v>
      </c>
      <c r="D702" s="18">
        <v>45807</v>
      </c>
      <c r="E702" s="16" t="s">
        <v>60</v>
      </c>
      <c r="F702" s="16" t="s">
        <v>67</v>
      </c>
      <c r="I702" s="28" t="s">
        <v>30</v>
      </c>
    </row>
    <row r="703" spans="1:12" ht="12.75">
      <c r="A703" s="16" t="s">
        <v>727</v>
      </c>
      <c r="B703" s="17">
        <v>125000</v>
      </c>
      <c r="C703" s="17">
        <f t="shared" si="175"/>
        <v>2187.5</v>
      </c>
      <c r="D703" s="18">
        <v>45810</v>
      </c>
      <c r="E703" s="16" t="s">
        <v>15</v>
      </c>
      <c r="F703" s="16" t="s">
        <v>67</v>
      </c>
      <c r="H703" s="16" t="s">
        <v>54</v>
      </c>
    </row>
    <row r="704" spans="1:12" ht="12.75">
      <c r="A704" s="11">
        <v>45810</v>
      </c>
      <c r="B704" s="12">
        <f t="shared" ref="B704:C704" si="176">SUM(B705:B815)</f>
        <v>23278000</v>
      </c>
      <c r="C704" s="12">
        <f t="shared" si="176"/>
        <v>346040</v>
      </c>
      <c r="D704" s="13"/>
      <c r="E704" s="14"/>
      <c r="F704" s="14"/>
      <c r="G704" s="14"/>
      <c r="H704" s="15"/>
      <c r="I704" s="15"/>
      <c r="J704" s="15"/>
      <c r="K704" s="15"/>
      <c r="L704" s="15"/>
    </row>
    <row r="705" spans="1:16" ht="12.75">
      <c r="A705" s="16" t="s">
        <v>641</v>
      </c>
      <c r="B705" s="17">
        <v>250000</v>
      </c>
      <c r="C705" s="17">
        <f>0.0175*B705</f>
        <v>4375</v>
      </c>
      <c r="D705" s="18">
        <v>45810</v>
      </c>
      <c r="E705" s="16" t="s">
        <v>24</v>
      </c>
      <c r="F705" s="16" t="s">
        <v>67</v>
      </c>
      <c r="H705" s="16" t="s">
        <v>58</v>
      </c>
      <c r="I705" s="28" t="s">
        <v>30</v>
      </c>
    </row>
    <row r="706" spans="1:16" ht="12.75">
      <c r="A706" s="16" t="s">
        <v>728</v>
      </c>
      <c r="B706" s="17">
        <v>40000</v>
      </c>
      <c r="C706" s="17">
        <f t="shared" ref="C706:C707" si="177">0.0125*B706</f>
        <v>500</v>
      </c>
      <c r="D706" s="18">
        <v>45810</v>
      </c>
      <c r="E706" s="16" t="s">
        <v>11</v>
      </c>
      <c r="F706" s="16" t="s">
        <v>12</v>
      </c>
    </row>
    <row r="707" spans="1:16" ht="12.75">
      <c r="A707" s="16" t="s">
        <v>729</v>
      </c>
      <c r="B707" s="17">
        <v>613000</v>
      </c>
      <c r="C707" s="17">
        <f t="shared" si="177"/>
        <v>7662.5</v>
      </c>
      <c r="D707" s="18">
        <v>45810</v>
      </c>
      <c r="E707" s="16" t="s">
        <v>730</v>
      </c>
      <c r="F707" s="16" t="s">
        <v>12</v>
      </c>
    </row>
    <row r="708" spans="1:16" ht="12.75">
      <c r="A708" s="16" t="s">
        <v>521</v>
      </c>
      <c r="B708" s="17">
        <v>150000</v>
      </c>
      <c r="C708" s="17">
        <f t="shared" ref="C708:C709" si="178">0.0175*B708</f>
        <v>2625.0000000000005</v>
      </c>
      <c r="D708" s="18">
        <v>45810</v>
      </c>
      <c r="E708" s="16" t="s">
        <v>118</v>
      </c>
      <c r="F708" s="16" t="s">
        <v>144</v>
      </c>
      <c r="H708" s="16" t="s">
        <v>22</v>
      </c>
    </row>
    <row r="709" spans="1:16" ht="12.75">
      <c r="A709" s="16" t="s">
        <v>731</v>
      </c>
      <c r="B709" s="17">
        <v>125000</v>
      </c>
      <c r="C709" s="17">
        <f t="shared" si="178"/>
        <v>2187.5</v>
      </c>
      <c r="D709" s="18">
        <v>45810</v>
      </c>
      <c r="E709" s="16" t="s">
        <v>11</v>
      </c>
      <c r="F709" s="16" t="s">
        <v>67</v>
      </c>
      <c r="G709" s="16" t="s">
        <v>732</v>
      </c>
    </row>
    <row r="710" spans="1:16" ht="12.75">
      <c r="A710" s="16" t="s">
        <v>733</v>
      </c>
      <c r="B710" s="17">
        <v>630000</v>
      </c>
      <c r="C710" s="17">
        <f t="shared" ref="C710:C713" si="179">0.0125*B710</f>
        <v>7875</v>
      </c>
      <c r="D710" s="18">
        <v>45811</v>
      </c>
      <c r="E710" s="16" t="s">
        <v>11</v>
      </c>
      <c r="F710" s="16" t="s">
        <v>12</v>
      </c>
    </row>
    <row r="711" spans="1:16" ht="12.75">
      <c r="A711" s="16" t="s">
        <v>734</v>
      </c>
      <c r="B711" s="17">
        <v>275000</v>
      </c>
      <c r="C711" s="17">
        <f t="shared" si="179"/>
        <v>3437.5</v>
      </c>
      <c r="D711" s="18">
        <v>45811</v>
      </c>
      <c r="E711" s="16" t="s">
        <v>24</v>
      </c>
      <c r="F711" s="16" t="s">
        <v>12</v>
      </c>
      <c r="H711" s="16" t="s">
        <v>619</v>
      </c>
    </row>
    <row r="712" spans="1:16" ht="12.75">
      <c r="A712" s="16" t="s">
        <v>735</v>
      </c>
      <c r="B712" s="17">
        <v>110000</v>
      </c>
      <c r="C712" s="17">
        <f t="shared" si="179"/>
        <v>1375</v>
      </c>
      <c r="D712" s="18">
        <v>45811</v>
      </c>
      <c r="E712" s="16" t="s">
        <v>11</v>
      </c>
      <c r="F712" s="16" t="s">
        <v>12</v>
      </c>
      <c r="O712" s="16" t="s">
        <v>13</v>
      </c>
    </row>
    <row r="713" spans="1:16" ht="12.75">
      <c r="A713" s="16" t="s">
        <v>736</v>
      </c>
      <c r="B713" s="17">
        <v>200000</v>
      </c>
      <c r="C713" s="17">
        <f t="shared" si="179"/>
        <v>2500</v>
      </c>
      <c r="D713" s="18">
        <v>45811</v>
      </c>
      <c r="E713" s="16" t="s">
        <v>73</v>
      </c>
      <c r="F713" s="16" t="s">
        <v>12</v>
      </c>
      <c r="O713" s="16" t="s">
        <v>17</v>
      </c>
      <c r="P713" s="16">
        <v>11538.46</v>
      </c>
    </row>
    <row r="714" spans="1:16" ht="12.75">
      <c r="A714" s="16" t="s">
        <v>737</v>
      </c>
      <c r="B714" s="17">
        <v>55000</v>
      </c>
      <c r="C714" s="17">
        <f t="shared" ref="C714:C715" si="180">0.0175*B714</f>
        <v>962.50000000000011</v>
      </c>
      <c r="D714" s="18">
        <v>45811</v>
      </c>
      <c r="E714" s="16" t="s">
        <v>60</v>
      </c>
      <c r="F714" s="16" t="s">
        <v>28</v>
      </c>
      <c r="I714" s="28" t="s">
        <v>30</v>
      </c>
      <c r="O714" s="16" t="s">
        <v>738</v>
      </c>
      <c r="P714" s="16">
        <v>42150</v>
      </c>
    </row>
    <row r="715" spans="1:16" ht="12.75">
      <c r="A715" s="16" t="s">
        <v>739</v>
      </c>
      <c r="B715" s="17">
        <v>215000</v>
      </c>
      <c r="C715" s="17">
        <f t="shared" si="180"/>
        <v>3762.5000000000005</v>
      </c>
      <c r="D715" s="18">
        <v>45811</v>
      </c>
      <c r="E715" s="16" t="s">
        <v>60</v>
      </c>
      <c r="F715" s="16" t="s">
        <v>67</v>
      </c>
      <c r="I715" s="28" t="s">
        <v>30</v>
      </c>
      <c r="O715" s="16" t="s">
        <v>740</v>
      </c>
      <c r="P715" s="16">
        <v>3750</v>
      </c>
    </row>
    <row r="716" spans="1:16" ht="12.75">
      <c r="A716" s="16" t="s">
        <v>741</v>
      </c>
      <c r="B716" s="17">
        <v>100000</v>
      </c>
      <c r="C716" s="17">
        <f t="shared" ref="C716:C717" si="181">0.0125*B716</f>
        <v>1250</v>
      </c>
      <c r="D716" s="18">
        <v>45811</v>
      </c>
      <c r="E716" s="16" t="s">
        <v>11</v>
      </c>
      <c r="F716" s="16" t="s">
        <v>12</v>
      </c>
      <c r="O716" s="16" t="s">
        <v>19</v>
      </c>
      <c r="P716" s="16">
        <f>1875+6150</f>
        <v>8025</v>
      </c>
    </row>
    <row r="717" spans="1:16" ht="12.75">
      <c r="A717" s="16" t="s">
        <v>742</v>
      </c>
      <c r="B717" s="17">
        <v>1500000</v>
      </c>
      <c r="C717" s="17">
        <f t="shared" si="181"/>
        <v>18750</v>
      </c>
      <c r="D717" s="18">
        <v>45812</v>
      </c>
      <c r="E717" s="16" t="s">
        <v>24</v>
      </c>
      <c r="F717" s="16" t="s">
        <v>12</v>
      </c>
      <c r="H717" s="16" t="s">
        <v>619</v>
      </c>
      <c r="O717" s="16" t="s">
        <v>15</v>
      </c>
      <c r="P717" s="16">
        <v>12069.9</v>
      </c>
    </row>
    <row r="718" spans="1:16" ht="12.75">
      <c r="A718" s="16" t="s">
        <v>743</v>
      </c>
      <c r="B718" s="17">
        <v>105000</v>
      </c>
      <c r="C718" s="17">
        <f>0.0175*B718</f>
        <v>1837.5000000000002</v>
      </c>
      <c r="D718" s="18">
        <v>45812</v>
      </c>
      <c r="E718" s="16" t="s">
        <v>11</v>
      </c>
      <c r="F718" s="16" t="s">
        <v>28</v>
      </c>
    </row>
    <row r="719" spans="1:16" ht="12.75">
      <c r="A719" s="16" t="s">
        <v>744</v>
      </c>
      <c r="B719" s="17">
        <v>80000</v>
      </c>
      <c r="C719" s="17">
        <f t="shared" ref="C719:C720" si="182">0.0125*B719</f>
        <v>1000</v>
      </c>
      <c r="D719" s="18">
        <v>45812</v>
      </c>
      <c r="E719" s="16" t="s">
        <v>11</v>
      </c>
      <c r="F719" s="16" t="s">
        <v>12</v>
      </c>
      <c r="O719" s="16" t="s">
        <v>745</v>
      </c>
    </row>
    <row r="720" spans="1:16" ht="12.75">
      <c r="A720" s="16" t="s">
        <v>134</v>
      </c>
      <c r="B720" s="17">
        <v>285000</v>
      </c>
      <c r="C720" s="17">
        <f t="shared" si="182"/>
        <v>3562.5</v>
      </c>
      <c r="D720" s="18">
        <v>45812</v>
      </c>
      <c r="E720" s="16" t="s">
        <v>135</v>
      </c>
      <c r="F720" s="16" t="s">
        <v>12</v>
      </c>
      <c r="H720" s="16" t="s">
        <v>22</v>
      </c>
      <c r="O720" s="16" t="s">
        <v>17</v>
      </c>
      <c r="P720" s="16">
        <v>11538.46</v>
      </c>
    </row>
    <row r="721" spans="1:22" ht="12.75">
      <c r="A721" s="16" t="s">
        <v>746</v>
      </c>
      <c r="B721" s="17">
        <v>150000</v>
      </c>
      <c r="C721" s="17">
        <f>0.0175*B721</f>
        <v>2625.0000000000005</v>
      </c>
      <c r="D721" s="18">
        <v>45813</v>
      </c>
      <c r="E721" s="16" t="s">
        <v>60</v>
      </c>
      <c r="F721" s="16" t="s">
        <v>28</v>
      </c>
      <c r="O721" s="16" t="s">
        <v>15</v>
      </c>
      <c r="P721" s="16">
        <v>17334</v>
      </c>
    </row>
    <row r="722" spans="1:22" ht="12.75">
      <c r="A722" s="16" t="s">
        <v>56</v>
      </c>
      <c r="B722" s="17">
        <v>63000</v>
      </c>
      <c r="C722" s="17">
        <f t="shared" ref="C722:C725" si="183">0.0125*B722</f>
        <v>787.5</v>
      </c>
      <c r="D722" s="18">
        <v>45813</v>
      </c>
      <c r="E722" s="16" t="s">
        <v>15</v>
      </c>
      <c r="F722" s="16" t="s">
        <v>12</v>
      </c>
      <c r="H722" s="24" t="s">
        <v>54</v>
      </c>
      <c r="K722" s="16">
        <v>378</v>
      </c>
    </row>
    <row r="723" spans="1:22" ht="12.75">
      <c r="A723" s="16" t="s">
        <v>747</v>
      </c>
      <c r="B723" s="17">
        <v>108000</v>
      </c>
      <c r="C723" s="17">
        <f t="shared" si="183"/>
        <v>1350</v>
      </c>
      <c r="D723" s="18">
        <v>45811</v>
      </c>
      <c r="E723" s="16" t="s">
        <v>73</v>
      </c>
      <c r="F723" s="16" t="s">
        <v>12</v>
      </c>
      <c r="H723" s="24"/>
    </row>
    <row r="724" spans="1:22" ht="12.75">
      <c r="A724" s="16" t="s">
        <v>748</v>
      </c>
      <c r="B724" s="17">
        <v>240000</v>
      </c>
      <c r="C724" s="17">
        <f t="shared" si="183"/>
        <v>3000</v>
      </c>
      <c r="D724" s="18">
        <v>45813</v>
      </c>
      <c r="E724" s="16" t="s">
        <v>24</v>
      </c>
      <c r="F724" s="16" t="s">
        <v>12</v>
      </c>
      <c r="H724" s="16" t="s">
        <v>619</v>
      </c>
    </row>
    <row r="725" spans="1:22" ht="12.75">
      <c r="A725" s="16" t="s">
        <v>14</v>
      </c>
      <c r="B725" s="17">
        <v>48000</v>
      </c>
      <c r="C725" s="17">
        <f t="shared" si="183"/>
        <v>600</v>
      </c>
      <c r="D725" s="18">
        <v>45813</v>
      </c>
      <c r="E725" s="16" t="s">
        <v>15</v>
      </c>
      <c r="F725" s="16" t="s">
        <v>12</v>
      </c>
      <c r="H725" s="24" t="s">
        <v>16</v>
      </c>
      <c r="K725" s="16">
        <v>192</v>
      </c>
    </row>
    <row r="726" spans="1:22" ht="12.75">
      <c r="A726" s="16" t="s">
        <v>749</v>
      </c>
      <c r="B726" s="17">
        <v>10000</v>
      </c>
      <c r="C726" s="17">
        <f>0.0175*B726</f>
        <v>175.00000000000003</v>
      </c>
      <c r="D726" s="18">
        <v>45814</v>
      </c>
      <c r="E726" s="16" t="s">
        <v>15</v>
      </c>
      <c r="F726" s="16" t="s">
        <v>144</v>
      </c>
      <c r="H726" s="24" t="s">
        <v>54</v>
      </c>
      <c r="K726" s="16">
        <v>60</v>
      </c>
    </row>
    <row r="727" spans="1:22" ht="12.75">
      <c r="A727" s="16" t="s">
        <v>718</v>
      </c>
      <c r="B727" s="17">
        <v>110000</v>
      </c>
      <c r="C727" s="17">
        <f>0.0125*B727</f>
        <v>1375</v>
      </c>
      <c r="D727" s="18">
        <v>45814</v>
      </c>
      <c r="E727" s="16" t="s">
        <v>73</v>
      </c>
      <c r="F727" s="16" t="s">
        <v>12</v>
      </c>
    </row>
    <row r="728" spans="1:22" ht="12.75">
      <c r="A728" s="16" t="s">
        <v>750</v>
      </c>
      <c r="B728" s="17">
        <v>200000</v>
      </c>
      <c r="C728" s="17">
        <f t="shared" ref="C728:C732" si="184">0.0175*B728</f>
        <v>3500.0000000000005</v>
      </c>
      <c r="D728" s="18">
        <v>45814</v>
      </c>
      <c r="E728" s="16" t="s">
        <v>60</v>
      </c>
      <c r="F728" s="16" t="s">
        <v>28</v>
      </c>
      <c r="I728" s="28" t="s">
        <v>30</v>
      </c>
    </row>
    <row r="729" spans="1:22" ht="12.75">
      <c r="A729" s="16" t="s">
        <v>751</v>
      </c>
      <c r="B729" s="17">
        <v>50000</v>
      </c>
      <c r="C729" s="17">
        <f t="shared" si="184"/>
        <v>875.00000000000011</v>
      </c>
      <c r="D729" s="18">
        <v>45814</v>
      </c>
      <c r="E729" s="16" t="s">
        <v>15</v>
      </c>
      <c r="F729" s="16" t="s">
        <v>12</v>
      </c>
      <c r="H729" s="24" t="s">
        <v>54</v>
      </c>
      <c r="K729" s="16">
        <v>300</v>
      </c>
    </row>
    <row r="730" spans="1:22" ht="12.75">
      <c r="A730" s="16" t="s">
        <v>752</v>
      </c>
      <c r="B730" s="17">
        <v>160000</v>
      </c>
      <c r="C730" s="17">
        <f t="shared" si="184"/>
        <v>2800.0000000000005</v>
      </c>
      <c r="D730" s="18">
        <v>45814</v>
      </c>
      <c r="E730" s="16" t="s">
        <v>11</v>
      </c>
      <c r="F730" s="16" t="s">
        <v>28</v>
      </c>
      <c r="I730" s="28" t="s">
        <v>30</v>
      </c>
    </row>
    <row r="731" spans="1:22" ht="12.75">
      <c r="A731" s="16" t="s">
        <v>753</v>
      </c>
      <c r="B731" s="17">
        <v>15000</v>
      </c>
      <c r="C731" s="17">
        <f t="shared" si="184"/>
        <v>262.5</v>
      </c>
      <c r="D731" s="18">
        <v>45814</v>
      </c>
      <c r="E731" s="16" t="s">
        <v>11</v>
      </c>
      <c r="F731" s="16" t="s">
        <v>28</v>
      </c>
      <c r="I731" s="28" t="s">
        <v>30</v>
      </c>
    </row>
    <row r="732" spans="1:22" ht="12.75">
      <c r="A732" s="16" t="s">
        <v>754</v>
      </c>
      <c r="B732" s="17">
        <v>20000</v>
      </c>
      <c r="C732" s="17">
        <f t="shared" si="184"/>
        <v>350.00000000000006</v>
      </c>
      <c r="D732" s="18">
        <v>45814</v>
      </c>
      <c r="E732" s="16" t="s">
        <v>11</v>
      </c>
      <c r="F732" s="16" t="s">
        <v>28</v>
      </c>
      <c r="I732" s="28" t="s">
        <v>30</v>
      </c>
    </row>
    <row r="733" spans="1:22" ht="12.75">
      <c r="A733" s="16" t="s">
        <v>755</v>
      </c>
      <c r="B733" s="17">
        <v>100000</v>
      </c>
      <c r="C733" s="17">
        <f>0.0125*B733</f>
        <v>1250</v>
      </c>
      <c r="D733" s="18">
        <v>45814</v>
      </c>
      <c r="E733" s="16" t="s">
        <v>60</v>
      </c>
      <c r="F733" s="16" t="s">
        <v>12</v>
      </c>
    </row>
    <row r="734" spans="1:22" ht="12.75">
      <c r="A734" s="16" t="s">
        <v>756</v>
      </c>
      <c r="B734" s="17">
        <v>70000</v>
      </c>
      <c r="C734" s="17">
        <f>0.0175*B734</f>
        <v>1225.0000000000002</v>
      </c>
      <c r="D734" s="18">
        <v>45814</v>
      </c>
      <c r="E734" s="16" t="s">
        <v>461</v>
      </c>
      <c r="F734" s="16" t="s">
        <v>28</v>
      </c>
      <c r="H734" s="16" t="s">
        <v>13</v>
      </c>
      <c r="I734" s="28" t="s">
        <v>30</v>
      </c>
    </row>
    <row r="735" spans="1:22" ht="12.75">
      <c r="A735" s="16" t="s">
        <v>757</v>
      </c>
      <c r="B735" s="17">
        <v>35000</v>
      </c>
      <c r="C735" s="17">
        <f>0.0125*B735</f>
        <v>437.5</v>
      </c>
      <c r="D735" s="18">
        <v>45817</v>
      </c>
      <c r="E735" s="16" t="s">
        <v>15</v>
      </c>
      <c r="F735" s="16" t="s">
        <v>12</v>
      </c>
      <c r="K735" s="16">
        <v>175</v>
      </c>
    </row>
    <row r="736" spans="1:22" ht="12.75">
      <c r="A736" s="16" t="s">
        <v>758</v>
      </c>
      <c r="B736" s="17">
        <v>10000</v>
      </c>
      <c r="C736" s="17">
        <f t="shared" ref="C736:C737" si="185">0.0175*B736</f>
        <v>175.00000000000003</v>
      </c>
      <c r="D736" s="18">
        <v>45817</v>
      </c>
      <c r="E736" s="16" t="s">
        <v>11</v>
      </c>
      <c r="F736" s="16" t="s">
        <v>28</v>
      </c>
      <c r="V736" s="16" t="s">
        <v>759</v>
      </c>
    </row>
    <row r="737" spans="1:11" ht="12.75">
      <c r="A737" s="16" t="s">
        <v>760</v>
      </c>
      <c r="B737" s="17">
        <v>300000</v>
      </c>
      <c r="C737" s="17">
        <f t="shared" si="185"/>
        <v>5250.0000000000009</v>
      </c>
      <c r="D737" s="18">
        <v>45817</v>
      </c>
      <c r="E737" s="16" t="s">
        <v>11</v>
      </c>
      <c r="F737" s="16" t="s">
        <v>28</v>
      </c>
      <c r="I737" s="28" t="s">
        <v>30</v>
      </c>
    </row>
    <row r="738" spans="1:11" ht="12.75">
      <c r="A738" s="16" t="s">
        <v>761</v>
      </c>
      <c r="B738" s="17">
        <v>65000</v>
      </c>
      <c r="C738" s="17">
        <f t="shared" ref="C738:C741" si="186">0.0125*B738</f>
        <v>812.5</v>
      </c>
      <c r="D738" s="18">
        <v>45818</v>
      </c>
      <c r="E738" s="16" t="s">
        <v>11</v>
      </c>
      <c r="F738" s="16" t="s">
        <v>12</v>
      </c>
    </row>
    <row r="739" spans="1:11" ht="12.75">
      <c r="A739" s="16" t="s">
        <v>205</v>
      </c>
      <c r="B739" s="17">
        <v>40000</v>
      </c>
      <c r="C739" s="17">
        <f t="shared" si="186"/>
        <v>500</v>
      </c>
      <c r="D739" s="18">
        <v>45818</v>
      </c>
      <c r="E739" s="16" t="s">
        <v>11</v>
      </c>
      <c r="F739" s="16" t="s">
        <v>12</v>
      </c>
    </row>
    <row r="740" spans="1:11" ht="12.75">
      <c r="A740" s="16" t="s">
        <v>762</v>
      </c>
      <c r="B740" s="17">
        <v>105000</v>
      </c>
      <c r="C740" s="17">
        <f t="shared" si="186"/>
        <v>1312.5</v>
      </c>
      <c r="D740" s="18">
        <v>45818</v>
      </c>
      <c r="E740" s="16" t="s">
        <v>11</v>
      </c>
      <c r="F740" s="16" t="s">
        <v>12</v>
      </c>
    </row>
    <row r="741" spans="1:11" ht="12.75">
      <c r="A741" s="16" t="s">
        <v>763</v>
      </c>
      <c r="B741" s="17">
        <v>40000</v>
      </c>
      <c r="C741" s="17">
        <f t="shared" si="186"/>
        <v>500</v>
      </c>
      <c r="D741" s="18">
        <v>45818</v>
      </c>
      <c r="E741" s="16" t="s">
        <v>11</v>
      </c>
      <c r="F741" s="16" t="s">
        <v>12</v>
      </c>
    </row>
    <row r="742" spans="1:11" ht="12.75">
      <c r="A742" s="16" t="s">
        <v>764</v>
      </c>
      <c r="B742" s="17">
        <v>125000</v>
      </c>
      <c r="C742" s="17">
        <f>0.0175*B742</f>
        <v>2187.5</v>
      </c>
      <c r="D742" s="18">
        <v>45818</v>
      </c>
      <c r="E742" s="16" t="s">
        <v>75</v>
      </c>
      <c r="F742" s="16" t="s">
        <v>28</v>
      </c>
    </row>
    <row r="743" spans="1:11" ht="12.75">
      <c r="A743" s="16" t="s">
        <v>391</v>
      </c>
      <c r="B743" s="17">
        <v>175000</v>
      </c>
      <c r="C743" s="17">
        <f>0.0125*B743</f>
        <v>2187.5</v>
      </c>
      <c r="D743" s="18">
        <v>45818</v>
      </c>
      <c r="E743" s="16" t="s">
        <v>11</v>
      </c>
      <c r="F743" s="16" t="s">
        <v>12</v>
      </c>
    </row>
    <row r="744" spans="1:11" ht="12.75">
      <c r="A744" s="16" t="s">
        <v>765</v>
      </c>
      <c r="B744" s="17">
        <v>100000</v>
      </c>
      <c r="C744" s="17">
        <f>0.0175*B744</f>
        <v>1750.0000000000002</v>
      </c>
      <c r="D744" s="18">
        <v>45819</v>
      </c>
      <c r="E744" s="16" t="s">
        <v>60</v>
      </c>
      <c r="F744" s="16" t="s">
        <v>67</v>
      </c>
      <c r="I744" s="28" t="s">
        <v>30</v>
      </c>
    </row>
    <row r="745" spans="1:11" ht="12.75">
      <c r="A745" s="16" t="s">
        <v>766</v>
      </c>
      <c r="B745" s="17">
        <v>1200000</v>
      </c>
      <c r="C745" s="17">
        <f>0.0125*B745</f>
        <v>15000</v>
      </c>
      <c r="D745" s="18">
        <v>45819</v>
      </c>
      <c r="E745" s="16" t="s">
        <v>11</v>
      </c>
      <c r="F745" s="16" t="s">
        <v>12</v>
      </c>
    </row>
    <row r="746" spans="1:11" ht="12.75">
      <c r="A746" s="16" t="s">
        <v>767</v>
      </c>
      <c r="B746" s="17">
        <v>60000</v>
      </c>
      <c r="C746" s="17">
        <f t="shared" ref="C746:C747" si="187">0.0175*B746</f>
        <v>1050</v>
      </c>
      <c r="D746" s="18">
        <v>45819</v>
      </c>
      <c r="E746" s="16" t="s">
        <v>768</v>
      </c>
      <c r="F746" s="16" t="s">
        <v>28</v>
      </c>
      <c r="H746" s="16" t="s">
        <v>13</v>
      </c>
      <c r="I746" s="28" t="s">
        <v>30</v>
      </c>
    </row>
    <row r="747" spans="1:11" ht="12.75">
      <c r="A747" s="16" t="s">
        <v>769</v>
      </c>
      <c r="B747" s="17">
        <v>50000</v>
      </c>
      <c r="C747" s="17">
        <f t="shared" si="187"/>
        <v>875.00000000000011</v>
      </c>
      <c r="D747" s="18">
        <v>45819</v>
      </c>
      <c r="E747" s="16" t="s">
        <v>60</v>
      </c>
      <c r="F747" s="16" t="s">
        <v>28</v>
      </c>
      <c r="I747" s="28" t="s">
        <v>30</v>
      </c>
    </row>
    <row r="748" spans="1:11" ht="12.75">
      <c r="A748" s="16" t="s">
        <v>770</v>
      </c>
      <c r="B748" s="17">
        <v>250000</v>
      </c>
      <c r="C748" s="17">
        <f>0.0125*B748</f>
        <v>3125</v>
      </c>
      <c r="D748" s="18">
        <v>45819</v>
      </c>
      <c r="E748" s="16" t="s">
        <v>40</v>
      </c>
      <c r="F748" s="16" t="s">
        <v>12</v>
      </c>
      <c r="H748" s="16" t="s">
        <v>22</v>
      </c>
    </row>
    <row r="749" spans="1:11" ht="12.75">
      <c r="A749" s="16" t="s">
        <v>771</v>
      </c>
      <c r="B749" s="17">
        <v>310000</v>
      </c>
      <c r="C749" s="17">
        <f>0.0175*B749</f>
        <v>5425.0000000000009</v>
      </c>
      <c r="D749" s="18">
        <v>45819</v>
      </c>
      <c r="E749" s="16" t="s">
        <v>772</v>
      </c>
      <c r="F749" s="16" t="s">
        <v>28</v>
      </c>
      <c r="H749" s="16" t="s">
        <v>13</v>
      </c>
      <c r="I749" s="28" t="s">
        <v>30</v>
      </c>
    </row>
    <row r="750" spans="1:11" ht="12.75">
      <c r="A750" s="16" t="s">
        <v>773</v>
      </c>
      <c r="B750" s="17">
        <v>720000</v>
      </c>
      <c r="C750" s="17">
        <f t="shared" ref="C750:C752" si="188">0.0125*B750</f>
        <v>9000</v>
      </c>
      <c r="D750" s="18">
        <v>45819</v>
      </c>
      <c r="E750" s="16" t="s">
        <v>15</v>
      </c>
      <c r="F750" s="16" t="s">
        <v>12</v>
      </c>
      <c r="H750" s="24" t="s">
        <v>149</v>
      </c>
      <c r="I750" s="16" t="s">
        <v>774</v>
      </c>
      <c r="K750" s="16">
        <v>1800</v>
      </c>
    </row>
    <row r="751" spans="1:11" ht="12.75">
      <c r="A751" s="16" t="s">
        <v>775</v>
      </c>
      <c r="B751" s="17">
        <v>90000</v>
      </c>
      <c r="C751" s="17">
        <f t="shared" si="188"/>
        <v>1125</v>
      </c>
      <c r="D751" s="18">
        <v>45819</v>
      </c>
      <c r="E751" s="16" t="s">
        <v>11</v>
      </c>
      <c r="F751" s="16" t="s">
        <v>12</v>
      </c>
    </row>
    <row r="752" spans="1:11" ht="12.75">
      <c r="A752" s="16" t="s">
        <v>776</v>
      </c>
      <c r="B752" s="17">
        <v>75000</v>
      </c>
      <c r="C752" s="17">
        <f t="shared" si="188"/>
        <v>937.5</v>
      </c>
      <c r="D752" s="18">
        <v>45820</v>
      </c>
      <c r="E752" s="16" t="s">
        <v>135</v>
      </c>
      <c r="F752" s="16" t="s">
        <v>144</v>
      </c>
    </row>
    <row r="753" spans="1:11" ht="12.75">
      <c r="A753" s="16" t="s">
        <v>777</v>
      </c>
      <c r="B753" s="17">
        <v>105000</v>
      </c>
      <c r="C753" s="17">
        <f t="shared" ref="C753:C754" si="189">0.0175*B753</f>
        <v>1837.5000000000002</v>
      </c>
      <c r="D753" s="18">
        <v>45820</v>
      </c>
      <c r="E753" s="16" t="s">
        <v>11</v>
      </c>
      <c r="F753" s="16" t="s">
        <v>41</v>
      </c>
      <c r="I753" s="28" t="s">
        <v>30</v>
      </c>
    </row>
    <row r="754" spans="1:11" ht="12.75">
      <c r="A754" s="16" t="s">
        <v>778</v>
      </c>
      <c r="B754" s="17">
        <v>100000</v>
      </c>
      <c r="C754" s="17">
        <f t="shared" si="189"/>
        <v>1750.0000000000002</v>
      </c>
      <c r="D754" s="18">
        <v>45820</v>
      </c>
      <c r="E754" s="16" t="s">
        <v>60</v>
      </c>
      <c r="F754" s="16" t="s">
        <v>28</v>
      </c>
    </row>
    <row r="755" spans="1:11" ht="12.75">
      <c r="A755" s="16" t="s">
        <v>779</v>
      </c>
      <c r="B755" s="17">
        <v>85000</v>
      </c>
      <c r="C755" s="17">
        <f t="shared" ref="C755:C756" si="190">0.0125*B755</f>
        <v>1062.5</v>
      </c>
      <c r="D755" s="18">
        <v>45820</v>
      </c>
      <c r="E755" s="16" t="s">
        <v>15</v>
      </c>
      <c r="F755" s="16" t="s">
        <v>12</v>
      </c>
      <c r="H755" s="24" t="s">
        <v>35</v>
      </c>
      <c r="K755" s="16">
        <v>170</v>
      </c>
    </row>
    <row r="756" spans="1:11" ht="12.75">
      <c r="A756" s="16" t="s">
        <v>780</v>
      </c>
      <c r="B756" s="17">
        <v>70000</v>
      </c>
      <c r="C756" s="17">
        <f t="shared" si="190"/>
        <v>875</v>
      </c>
      <c r="D756" s="18">
        <v>45820</v>
      </c>
      <c r="E756" s="16" t="s">
        <v>24</v>
      </c>
      <c r="F756" s="16" t="s">
        <v>12</v>
      </c>
      <c r="H756" s="16" t="s">
        <v>619</v>
      </c>
    </row>
    <row r="757" spans="1:11" ht="12.75">
      <c r="A757" s="16" t="s">
        <v>781</v>
      </c>
      <c r="B757" s="17">
        <v>125000</v>
      </c>
      <c r="C757" s="17">
        <f>0.0175*B757</f>
        <v>2187.5</v>
      </c>
      <c r="D757" s="18">
        <v>45820</v>
      </c>
      <c r="E757" s="16" t="s">
        <v>24</v>
      </c>
      <c r="F757" s="16" t="s">
        <v>28</v>
      </c>
      <c r="H757" s="16" t="s">
        <v>642</v>
      </c>
      <c r="I757" s="28" t="s">
        <v>30</v>
      </c>
    </row>
    <row r="758" spans="1:11" ht="12.75">
      <c r="A758" s="16" t="s">
        <v>782</v>
      </c>
      <c r="B758" s="17">
        <v>80000</v>
      </c>
      <c r="C758" s="17">
        <f>0.0125*B758:B759</f>
        <v>1000</v>
      </c>
      <c r="D758" s="18">
        <v>45820</v>
      </c>
      <c r="E758" s="16" t="s">
        <v>60</v>
      </c>
      <c r="F758" s="16" t="s">
        <v>12</v>
      </c>
    </row>
    <row r="759" spans="1:11" ht="12.75">
      <c r="A759" s="16" t="s">
        <v>783</v>
      </c>
      <c r="B759" s="17">
        <v>100000</v>
      </c>
      <c r="C759" s="17">
        <f t="shared" ref="C759:C760" si="191">0.0175*B759</f>
        <v>1750.0000000000002</v>
      </c>
      <c r="D759" s="18">
        <v>45820</v>
      </c>
      <c r="E759" s="16" t="s">
        <v>116</v>
      </c>
      <c r="F759" s="16" t="s">
        <v>28</v>
      </c>
      <c r="H759" s="16" t="s">
        <v>13</v>
      </c>
      <c r="I759" s="28" t="s">
        <v>30</v>
      </c>
    </row>
    <row r="760" spans="1:11" ht="12.75">
      <c r="A760" s="16" t="s">
        <v>784</v>
      </c>
      <c r="B760" s="17">
        <v>80000</v>
      </c>
      <c r="C760" s="17">
        <f t="shared" si="191"/>
        <v>1400.0000000000002</v>
      </c>
      <c r="D760" s="18">
        <v>45821</v>
      </c>
      <c r="E760" s="16" t="s">
        <v>60</v>
      </c>
      <c r="F760" s="16" t="s">
        <v>28</v>
      </c>
      <c r="I760" s="28" t="s">
        <v>30</v>
      </c>
    </row>
    <row r="761" spans="1:11" ht="12.75">
      <c r="A761" s="16" t="s">
        <v>785</v>
      </c>
      <c r="B761" s="17">
        <v>38000</v>
      </c>
      <c r="C761" s="17">
        <f t="shared" ref="C761:C762" si="192">0.0125*B761</f>
        <v>475</v>
      </c>
      <c r="D761" s="18">
        <v>45821</v>
      </c>
      <c r="E761" s="16" t="s">
        <v>11</v>
      </c>
      <c r="F761" s="16" t="s">
        <v>12</v>
      </c>
    </row>
    <row r="762" spans="1:11" ht="12.75">
      <c r="A762" s="16" t="s">
        <v>786</v>
      </c>
      <c r="B762" s="17">
        <v>225000</v>
      </c>
      <c r="C762" s="17">
        <f t="shared" si="192"/>
        <v>2812.5</v>
      </c>
      <c r="D762" s="18">
        <v>45821</v>
      </c>
      <c r="E762" s="16" t="s">
        <v>11</v>
      </c>
      <c r="F762" s="16" t="s">
        <v>12</v>
      </c>
    </row>
    <row r="763" spans="1:11" ht="12.75">
      <c r="A763" s="16" t="s">
        <v>787</v>
      </c>
      <c r="B763" s="17">
        <v>225000</v>
      </c>
      <c r="C763" s="17">
        <f t="shared" ref="C763:C766" si="193">0.0175*B763</f>
        <v>3937.5000000000005</v>
      </c>
      <c r="D763" s="18">
        <v>45821</v>
      </c>
      <c r="E763" s="16" t="s">
        <v>75</v>
      </c>
      <c r="F763" s="16" t="s">
        <v>28</v>
      </c>
      <c r="I763" s="28" t="s">
        <v>30</v>
      </c>
    </row>
    <row r="764" spans="1:11" ht="12.75">
      <c r="A764" s="16" t="s">
        <v>788</v>
      </c>
      <c r="B764" s="17">
        <v>275000</v>
      </c>
      <c r="C764" s="17">
        <f t="shared" si="193"/>
        <v>4812.5000000000009</v>
      </c>
      <c r="D764" s="18">
        <v>45821</v>
      </c>
      <c r="E764" s="16" t="s">
        <v>60</v>
      </c>
      <c r="F764" s="16" t="s">
        <v>28</v>
      </c>
      <c r="H764" s="16"/>
      <c r="I764" s="28" t="s">
        <v>30</v>
      </c>
    </row>
    <row r="765" spans="1:11" ht="12.75">
      <c r="A765" s="16" t="s">
        <v>789</v>
      </c>
      <c r="B765" s="17">
        <v>210000</v>
      </c>
      <c r="C765" s="17">
        <f t="shared" si="193"/>
        <v>3675.0000000000005</v>
      </c>
      <c r="D765" s="18">
        <v>45821</v>
      </c>
      <c r="E765" s="16" t="s">
        <v>15</v>
      </c>
      <c r="F765" s="16" t="s">
        <v>28</v>
      </c>
      <c r="H765" s="24" t="s">
        <v>51</v>
      </c>
      <c r="I765" s="28" t="s">
        <v>30</v>
      </c>
      <c r="K765" s="16">
        <v>1050</v>
      </c>
    </row>
    <row r="766" spans="1:11" ht="12.75">
      <c r="A766" s="16" t="s">
        <v>790</v>
      </c>
      <c r="B766" s="17">
        <v>60000</v>
      </c>
      <c r="C766" s="17">
        <f t="shared" si="193"/>
        <v>1050</v>
      </c>
      <c r="D766" s="18">
        <v>45821</v>
      </c>
      <c r="E766" s="16" t="s">
        <v>11</v>
      </c>
      <c r="F766" s="16" t="s">
        <v>28</v>
      </c>
      <c r="I766" s="28" t="s">
        <v>30</v>
      </c>
    </row>
    <row r="767" spans="1:11" ht="12.75">
      <c r="A767" s="16" t="s">
        <v>791</v>
      </c>
      <c r="B767" s="17">
        <v>80000</v>
      </c>
      <c r="C767" s="17">
        <f>0.0125*B767</f>
        <v>1000</v>
      </c>
      <c r="D767" s="18">
        <v>45824</v>
      </c>
      <c r="E767" s="16" t="s">
        <v>11</v>
      </c>
      <c r="F767" s="16" t="s">
        <v>12</v>
      </c>
    </row>
    <row r="768" spans="1:11" ht="12.75">
      <c r="A768" s="16" t="s">
        <v>792</v>
      </c>
      <c r="B768" s="17">
        <v>200000</v>
      </c>
      <c r="C768" s="17">
        <f t="shared" ref="C768:C771" si="194">0.0175*B768</f>
        <v>3500.0000000000005</v>
      </c>
      <c r="D768" s="18">
        <v>45825</v>
      </c>
      <c r="E768" s="16" t="s">
        <v>11</v>
      </c>
      <c r="F768" s="16" t="s">
        <v>28</v>
      </c>
      <c r="I768" s="28" t="s">
        <v>30</v>
      </c>
    </row>
    <row r="769" spans="1:11" ht="12.75">
      <c r="A769" s="16" t="s">
        <v>793</v>
      </c>
      <c r="B769" s="17">
        <v>80000</v>
      </c>
      <c r="C769" s="17">
        <f t="shared" si="194"/>
        <v>1400.0000000000002</v>
      </c>
      <c r="D769" s="18">
        <v>45825</v>
      </c>
      <c r="E769" s="16" t="s">
        <v>11</v>
      </c>
      <c r="F769" s="16" t="s">
        <v>28</v>
      </c>
      <c r="I769" s="28" t="s">
        <v>30</v>
      </c>
    </row>
    <row r="770" spans="1:11" ht="12.75">
      <c r="A770" s="16" t="s">
        <v>794</v>
      </c>
      <c r="B770" s="17">
        <v>175000</v>
      </c>
      <c r="C770" s="17">
        <f t="shared" si="194"/>
        <v>3062.5000000000005</v>
      </c>
      <c r="D770" s="18">
        <v>45825</v>
      </c>
      <c r="E770" s="16" t="s">
        <v>118</v>
      </c>
      <c r="F770" s="16" t="s">
        <v>28</v>
      </c>
      <c r="H770" s="16" t="s">
        <v>13</v>
      </c>
      <c r="I770" s="28" t="s">
        <v>30</v>
      </c>
    </row>
    <row r="771" spans="1:11" ht="12.75">
      <c r="A771" s="16" t="s">
        <v>795</v>
      </c>
      <c r="B771" s="17">
        <v>250000</v>
      </c>
      <c r="C771" s="17">
        <f t="shared" si="194"/>
        <v>4375</v>
      </c>
      <c r="D771" s="18">
        <v>45825</v>
      </c>
      <c r="E771" s="16" t="s">
        <v>15</v>
      </c>
      <c r="F771" s="16" t="s">
        <v>28</v>
      </c>
      <c r="H771" s="24" t="s">
        <v>16</v>
      </c>
      <c r="I771" s="28" t="s">
        <v>30</v>
      </c>
      <c r="K771" s="16">
        <v>1000</v>
      </c>
    </row>
    <row r="772" spans="1:11" ht="12.75">
      <c r="A772" s="16" t="s">
        <v>718</v>
      </c>
      <c r="B772" s="17">
        <v>60000</v>
      </c>
      <c r="C772" s="17">
        <f t="shared" ref="C772:C775" si="195">0.0125*B772</f>
        <v>750</v>
      </c>
      <c r="D772" s="18">
        <v>45825</v>
      </c>
      <c r="E772" s="16" t="s">
        <v>73</v>
      </c>
      <c r="F772" s="16" t="s">
        <v>144</v>
      </c>
    </row>
    <row r="773" spans="1:11" ht="12.75">
      <c r="A773" s="16" t="s">
        <v>217</v>
      </c>
      <c r="B773" s="17">
        <v>250000</v>
      </c>
      <c r="C773" s="17">
        <f t="shared" si="195"/>
        <v>3125</v>
      </c>
      <c r="D773" s="18">
        <v>45825</v>
      </c>
      <c r="E773" s="16" t="s">
        <v>11</v>
      </c>
      <c r="F773" s="16" t="s">
        <v>12</v>
      </c>
    </row>
    <row r="774" spans="1:11" ht="12.75">
      <c r="A774" s="16" t="s">
        <v>796</v>
      </c>
      <c r="B774" s="17">
        <v>300000</v>
      </c>
      <c r="C774" s="17">
        <f t="shared" si="195"/>
        <v>3750</v>
      </c>
      <c r="D774" s="18">
        <v>45826</v>
      </c>
      <c r="E774" s="16" t="s">
        <v>24</v>
      </c>
      <c r="F774" s="16" t="s">
        <v>12</v>
      </c>
      <c r="H774" s="16" t="s">
        <v>797</v>
      </c>
    </row>
    <row r="775" spans="1:11" ht="12.75">
      <c r="A775" s="16" t="s">
        <v>798</v>
      </c>
      <c r="B775" s="17">
        <v>35000</v>
      </c>
      <c r="C775" s="17">
        <f t="shared" si="195"/>
        <v>437.5</v>
      </c>
      <c r="D775" s="18">
        <v>45826</v>
      </c>
      <c r="E775" s="16" t="s">
        <v>24</v>
      </c>
      <c r="F775" s="16" t="s">
        <v>144</v>
      </c>
      <c r="H775" s="16" t="s">
        <v>25</v>
      </c>
    </row>
    <row r="776" spans="1:11" ht="12.75">
      <c r="A776" s="16" t="s">
        <v>799</v>
      </c>
      <c r="B776" s="17">
        <v>500000</v>
      </c>
      <c r="C776" s="17">
        <f>0.0175*B776</f>
        <v>8750</v>
      </c>
      <c r="D776" s="18">
        <v>45826</v>
      </c>
      <c r="E776" s="16" t="s">
        <v>118</v>
      </c>
      <c r="F776" s="16" t="s">
        <v>28</v>
      </c>
      <c r="H776" s="16" t="s">
        <v>13</v>
      </c>
      <c r="I776" s="28" t="s">
        <v>30</v>
      </c>
    </row>
    <row r="777" spans="1:11" ht="12.75">
      <c r="A777" s="16" t="s">
        <v>800</v>
      </c>
      <c r="B777" s="17">
        <v>80000</v>
      </c>
      <c r="C777" s="17">
        <f t="shared" ref="C777:C779" si="196">0.0125*B777</f>
        <v>1000</v>
      </c>
      <c r="D777" s="18">
        <v>45826</v>
      </c>
      <c r="E777" s="16" t="s">
        <v>11</v>
      </c>
      <c r="F777" s="16" t="s">
        <v>12</v>
      </c>
    </row>
    <row r="778" spans="1:11" ht="12.75">
      <c r="A778" s="16" t="s">
        <v>801</v>
      </c>
      <c r="B778" s="17">
        <v>675000</v>
      </c>
      <c r="C778" s="17">
        <f t="shared" si="196"/>
        <v>8437.5</v>
      </c>
      <c r="D778" s="18">
        <v>45826</v>
      </c>
      <c r="E778" s="16" t="s">
        <v>11</v>
      </c>
      <c r="F778" s="16" t="s">
        <v>12</v>
      </c>
    </row>
    <row r="779" spans="1:11" ht="12.75">
      <c r="A779" s="16" t="s">
        <v>802</v>
      </c>
      <c r="B779" s="17">
        <v>130000</v>
      </c>
      <c r="C779" s="17">
        <f t="shared" si="196"/>
        <v>1625</v>
      </c>
      <c r="D779" s="18">
        <v>45828</v>
      </c>
      <c r="E779" s="16" t="s">
        <v>21</v>
      </c>
      <c r="F779" s="16" t="s">
        <v>12</v>
      </c>
      <c r="H779" s="16" t="s">
        <v>22</v>
      </c>
    </row>
    <row r="780" spans="1:11" ht="12.75">
      <c r="A780" s="16" t="s">
        <v>803</v>
      </c>
      <c r="B780" s="17">
        <v>300000</v>
      </c>
      <c r="C780" s="17">
        <f>0.0175*B780</f>
        <v>5250.0000000000009</v>
      </c>
      <c r="D780" s="18">
        <v>45828</v>
      </c>
      <c r="E780" s="16" t="s">
        <v>804</v>
      </c>
      <c r="F780" s="16" t="s">
        <v>28</v>
      </c>
      <c r="H780" s="16" t="s">
        <v>13</v>
      </c>
      <c r="I780" s="28" t="s">
        <v>30</v>
      </c>
    </row>
    <row r="781" spans="1:11" ht="12.75">
      <c r="A781" s="16" t="s">
        <v>499</v>
      </c>
      <c r="B781" s="17">
        <v>200000</v>
      </c>
      <c r="C781" s="17">
        <f t="shared" ref="C781:C782" si="197">0.0125*B781</f>
        <v>2500</v>
      </c>
      <c r="D781" s="18">
        <v>45828</v>
      </c>
      <c r="E781" s="16" t="s">
        <v>15</v>
      </c>
      <c r="F781" s="16" t="s">
        <v>12</v>
      </c>
      <c r="H781" s="24" t="s">
        <v>98</v>
      </c>
      <c r="K781" s="16">
        <v>600</v>
      </c>
    </row>
    <row r="782" spans="1:11" ht="12.75">
      <c r="A782" s="16" t="s">
        <v>87</v>
      </c>
      <c r="B782" s="17">
        <v>245000</v>
      </c>
      <c r="C782" s="17">
        <f t="shared" si="197"/>
        <v>3062.5</v>
      </c>
      <c r="D782" s="18">
        <v>45828</v>
      </c>
      <c r="E782" s="16" t="s">
        <v>11</v>
      </c>
      <c r="F782" s="16" t="s">
        <v>12</v>
      </c>
    </row>
    <row r="783" spans="1:11" ht="12.75">
      <c r="A783" s="16" t="s">
        <v>805</v>
      </c>
      <c r="B783" s="17">
        <v>150000</v>
      </c>
      <c r="C783" s="17">
        <f>0.0175*B783</f>
        <v>2625.0000000000005</v>
      </c>
      <c r="D783" s="18">
        <v>45828</v>
      </c>
      <c r="E783" s="16" t="s">
        <v>11</v>
      </c>
      <c r="F783" s="16" t="s">
        <v>28</v>
      </c>
      <c r="I783" s="28" t="s">
        <v>30</v>
      </c>
    </row>
    <row r="784" spans="1:11" ht="12.75">
      <c r="A784" s="16" t="s">
        <v>287</v>
      </c>
      <c r="B784" s="17">
        <v>325000</v>
      </c>
      <c r="C784" s="17">
        <f>0.0125*B784</f>
        <v>4062.5</v>
      </c>
      <c r="D784" s="18">
        <v>45831</v>
      </c>
      <c r="E784" s="16" t="s">
        <v>11</v>
      </c>
      <c r="F784" s="16" t="s">
        <v>12</v>
      </c>
    </row>
    <row r="785" spans="1:11" ht="12.75">
      <c r="A785" s="16" t="s">
        <v>806</v>
      </c>
      <c r="B785" s="17">
        <v>200000</v>
      </c>
      <c r="C785" s="17">
        <f t="shared" ref="C785:C786" si="198">0.0175*B785</f>
        <v>3500.0000000000005</v>
      </c>
      <c r="D785" s="18">
        <v>45831</v>
      </c>
      <c r="E785" s="16" t="s">
        <v>135</v>
      </c>
      <c r="F785" s="16" t="s">
        <v>28</v>
      </c>
      <c r="H785" s="16" t="s">
        <v>13</v>
      </c>
      <c r="I785" s="28" t="s">
        <v>30</v>
      </c>
    </row>
    <row r="786" spans="1:11" ht="12.75">
      <c r="A786" s="16" t="s">
        <v>807</v>
      </c>
      <c r="B786" s="17">
        <v>200000</v>
      </c>
      <c r="C786" s="17">
        <f t="shared" si="198"/>
        <v>3500.0000000000005</v>
      </c>
      <c r="D786" s="18">
        <v>45831</v>
      </c>
      <c r="E786" s="16" t="s">
        <v>135</v>
      </c>
      <c r="F786" s="16" t="s">
        <v>28</v>
      </c>
      <c r="H786" s="16" t="s">
        <v>13</v>
      </c>
      <c r="I786" s="28" t="s">
        <v>30</v>
      </c>
    </row>
    <row r="787" spans="1:11" ht="12.75">
      <c r="A787" s="16" t="s">
        <v>808</v>
      </c>
      <c r="B787" s="17">
        <v>410000</v>
      </c>
      <c r="C787" s="17">
        <f t="shared" ref="C787:C788" si="199">0.0125*B787</f>
        <v>5125</v>
      </c>
      <c r="D787" s="18">
        <v>45831</v>
      </c>
      <c r="E787" s="16" t="s">
        <v>15</v>
      </c>
      <c r="F787" s="16" t="s">
        <v>12</v>
      </c>
      <c r="H787" s="24" t="s">
        <v>149</v>
      </c>
      <c r="K787" s="16">
        <v>1025</v>
      </c>
    </row>
    <row r="788" spans="1:11" ht="12.75">
      <c r="A788" s="16" t="s">
        <v>809</v>
      </c>
      <c r="B788" s="17">
        <v>50000</v>
      </c>
      <c r="C788" s="17">
        <f t="shared" si="199"/>
        <v>625</v>
      </c>
      <c r="D788" s="18">
        <v>45831</v>
      </c>
      <c r="E788" s="16" t="s">
        <v>11</v>
      </c>
      <c r="F788" s="16" t="s">
        <v>12</v>
      </c>
    </row>
    <row r="789" spans="1:11" ht="12.75">
      <c r="A789" s="16" t="s">
        <v>680</v>
      </c>
      <c r="B789" s="17">
        <v>125000</v>
      </c>
      <c r="C789" s="17">
        <f t="shared" ref="C789:C791" si="200">0.0175*B789</f>
        <v>2187.5</v>
      </c>
      <c r="D789" s="18">
        <v>45831</v>
      </c>
      <c r="E789" s="16" t="s">
        <v>60</v>
      </c>
      <c r="F789" s="16" t="s">
        <v>67</v>
      </c>
      <c r="I789" s="28" t="s">
        <v>30</v>
      </c>
    </row>
    <row r="790" spans="1:11" ht="12.75">
      <c r="A790" s="16" t="s">
        <v>810</v>
      </c>
      <c r="B790" s="17">
        <v>200000</v>
      </c>
      <c r="C790" s="17">
        <f t="shared" si="200"/>
        <v>3500.0000000000005</v>
      </c>
      <c r="D790" s="18">
        <v>45832</v>
      </c>
      <c r="E790" s="16" t="s">
        <v>60</v>
      </c>
      <c r="F790" s="16" t="s">
        <v>28</v>
      </c>
      <c r="I790" s="28" t="s">
        <v>30</v>
      </c>
    </row>
    <row r="791" spans="1:11" ht="12.75">
      <c r="A791" s="16" t="s">
        <v>703</v>
      </c>
      <c r="B791" s="17">
        <v>75000</v>
      </c>
      <c r="C791" s="17">
        <f t="shared" si="200"/>
        <v>1312.5000000000002</v>
      </c>
      <c r="D791" s="18">
        <v>45832</v>
      </c>
      <c r="E791" s="16" t="s">
        <v>11</v>
      </c>
      <c r="F791" s="16" t="s">
        <v>67</v>
      </c>
      <c r="I791" s="28" t="s">
        <v>30</v>
      </c>
    </row>
    <row r="792" spans="1:11" ht="12.75">
      <c r="A792" s="16" t="s">
        <v>811</v>
      </c>
      <c r="B792" s="17">
        <v>40000</v>
      </c>
      <c r="C792" s="17">
        <f t="shared" ref="C792:C793" si="201">0.0125*B792</f>
        <v>500</v>
      </c>
      <c r="D792" s="18">
        <v>45832</v>
      </c>
      <c r="E792" s="16" t="s">
        <v>24</v>
      </c>
      <c r="F792" s="16" t="s">
        <v>144</v>
      </c>
      <c r="H792" s="16" t="s">
        <v>25</v>
      </c>
    </row>
    <row r="793" spans="1:11" ht="12.75">
      <c r="A793" s="16" t="s">
        <v>812</v>
      </c>
      <c r="B793" s="17">
        <v>100000</v>
      </c>
      <c r="C793" s="17">
        <f t="shared" si="201"/>
        <v>1250</v>
      </c>
      <c r="D793" s="18">
        <v>45832</v>
      </c>
      <c r="E793" s="16" t="s">
        <v>11</v>
      </c>
      <c r="F793" s="16" t="s">
        <v>12</v>
      </c>
    </row>
    <row r="794" spans="1:11" ht="12.75">
      <c r="A794" s="16" t="s">
        <v>813</v>
      </c>
      <c r="B794" s="17">
        <v>100000</v>
      </c>
      <c r="C794" s="17">
        <f t="shared" ref="C794:C795" si="202">0.0175*B794</f>
        <v>1750.0000000000002</v>
      </c>
      <c r="D794" s="18">
        <v>45832</v>
      </c>
      <c r="E794" s="16" t="s">
        <v>11</v>
      </c>
      <c r="F794" s="16" t="s">
        <v>28</v>
      </c>
      <c r="I794" s="28" t="s">
        <v>30</v>
      </c>
    </row>
    <row r="795" spans="1:11" ht="12.75">
      <c r="A795" s="16" t="s">
        <v>814</v>
      </c>
      <c r="B795" s="17">
        <v>133000</v>
      </c>
      <c r="C795" s="17">
        <f t="shared" si="202"/>
        <v>2327.5</v>
      </c>
      <c r="D795" s="18">
        <v>45833</v>
      </c>
      <c r="E795" s="16" t="s">
        <v>11</v>
      </c>
      <c r="F795" s="16" t="s">
        <v>28</v>
      </c>
      <c r="I795" s="28" t="s">
        <v>30</v>
      </c>
    </row>
    <row r="796" spans="1:11" ht="12.75">
      <c r="A796" s="16" t="s">
        <v>63</v>
      </c>
      <c r="B796" s="17">
        <v>300000</v>
      </c>
      <c r="C796" s="17">
        <f t="shared" ref="C796:C797" si="203">0.0125*B796</f>
        <v>3750</v>
      </c>
      <c r="D796" s="18">
        <v>45833</v>
      </c>
      <c r="E796" s="16" t="s">
        <v>60</v>
      </c>
      <c r="F796" s="16" t="s">
        <v>12</v>
      </c>
    </row>
    <row r="797" spans="1:11" ht="12.75">
      <c r="A797" s="16" t="s">
        <v>184</v>
      </c>
      <c r="B797" s="17">
        <v>210000</v>
      </c>
      <c r="C797" s="17">
        <f t="shared" si="203"/>
        <v>2625</v>
      </c>
      <c r="D797" s="18">
        <v>45833</v>
      </c>
      <c r="E797" s="16" t="s">
        <v>60</v>
      </c>
      <c r="F797" s="16" t="s">
        <v>12</v>
      </c>
    </row>
    <row r="798" spans="1:11" ht="12.75">
      <c r="A798" s="16" t="s">
        <v>815</v>
      </c>
      <c r="B798" s="17">
        <v>1250000</v>
      </c>
      <c r="C798" s="17">
        <f t="shared" ref="C798:C801" si="204">0.0175*B798</f>
        <v>21875.000000000004</v>
      </c>
      <c r="D798" s="18">
        <v>45833</v>
      </c>
      <c r="E798" s="16" t="s">
        <v>11</v>
      </c>
      <c r="F798" s="16" t="s">
        <v>41</v>
      </c>
    </row>
    <row r="799" spans="1:11" ht="12.75">
      <c r="A799" s="16" t="s">
        <v>816</v>
      </c>
      <c r="B799" s="17">
        <v>325000</v>
      </c>
      <c r="C799" s="17">
        <f t="shared" si="204"/>
        <v>5687.5000000000009</v>
      </c>
      <c r="D799" s="18">
        <v>45833</v>
      </c>
      <c r="E799" s="16" t="s">
        <v>817</v>
      </c>
      <c r="F799" s="16" t="s">
        <v>41</v>
      </c>
      <c r="I799" s="28" t="s">
        <v>30</v>
      </c>
    </row>
    <row r="800" spans="1:11" ht="12.75">
      <c r="A800" s="16" t="s">
        <v>818</v>
      </c>
      <c r="B800" s="17">
        <v>50000</v>
      </c>
      <c r="C800" s="17">
        <f t="shared" si="204"/>
        <v>875.00000000000011</v>
      </c>
      <c r="D800" s="18">
        <v>45834</v>
      </c>
      <c r="E800" s="16" t="s">
        <v>75</v>
      </c>
      <c r="F800" s="16" t="s">
        <v>28</v>
      </c>
      <c r="I800" s="28" t="s">
        <v>30</v>
      </c>
    </row>
    <row r="801" spans="1:12" ht="12.75">
      <c r="A801" s="16" t="s">
        <v>819</v>
      </c>
      <c r="B801" s="17">
        <v>155000</v>
      </c>
      <c r="C801" s="17">
        <f t="shared" si="204"/>
        <v>2712.5000000000005</v>
      </c>
      <c r="D801" s="18">
        <v>45834</v>
      </c>
      <c r="E801" s="16" t="s">
        <v>11</v>
      </c>
      <c r="F801" s="16" t="s">
        <v>28</v>
      </c>
      <c r="I801" s="28" t="s">
        <v>30</v>
      </c>
    </row>
    <row r="802" spans="1:12" ht="12.75">
      <c r="A802" s="16" t="s">
        <v>820</v>
      </c>
      <c r="B802" s="17">
        <v>450000</v>
      </c>
      <c r="C802" s="17">
        <f>0.0125*B802</f>
        <v>5625</v>
      </c>
      <c r="D802" s="18">
        <v>45834</v>
      </c>
      <c r="E802" s="16" t="s">
        <v>75</v>
      </c>
      <c r="F802" s="16" t="s">
        <v>12</v>
      </c>
    </row>
    <row r="803" spans="1:12" ht="12.75">
      <c r="A803" s="16" t="s">
        <v>821</v>
      </c>
      <c r="B803" s="17">
        <v>25000</v>
      </c>
      <c r="C803" s="17">
        <f t="shared" ref="C803:C806" si="205">0.0175*B803</f>
        <v>437.50000000000006</v>
      </c>
      <c r="D803" s="18">
        <v>45834</v>
      </c>
      <c r="E803" s="16" t="s">
        <v>15</v>
      </c>
      <c r="F803" s="16" t="s">
        <v>28</v>
      </c>
      <c r="H803" s="24" t="s">
        <v>51</v>
      </c>
      <c r="I803" s="28" t="s">
        <v>30</v>
      </c>
      <c r="K803" s="16">
        <v>125</v>
      </c>
    </row>
    <row r="804" spans="1:12" ht="12.75">
      <c r="A804" s="16" t="s">
        <v>822</v>
      </c>
      <c r="B804" s="17">
        <v>450000</v>
      </c>
      <c r="C804" s="17">
        <f t="shared" si="205"/>
        <v>7875.0000000000009</v>
      </c>
      <c r="D804" s="18">
        <v>45834</v>
      </c>
      <c r="E804" s="16" t="s">
        <v>21</v>
      </c>
      <c r="F804" s="16" t="s">
        <v>28</v>
      </c>
      <c r="H804" s="16" t="s">
        <v>13</v>
      </c>
      <c r="I804" s="28" t="s">
        <v>30</v>
      </c>
    </row>
    <row r="805" spans="1:12" ht="12.75">
      <c r="A805" s="16" t="s">
        <v>823</v>
      </c>
      <c r="B805" s="17">
        <v>220000</v>
      </c>
      <c r="C805" s="17">
        <f t="shared" si="205"/>
        <v>3850.0000000000005</v>
      </c>
      <c r="D805" s="18">
        <v>45834</v>
      </c>
      <c r="E805" s="16" t="s">
        <v>60</v>
      </c>
      <c r="F805" s="16" t="s">
        <v>28</v>
      </c>
      <c r="I805" s="28" t="s">
        <v>30</v>
      </c>
    </row>
    <row r="806" spans="1:12" ht="12.75">
      <c r="A806" s="16" t="s">
        <v>824</v>
      </c>
      <c r="B806" s="17">
        <v>60000</v>
      </c>
      <c r="C806" s="17">
        <f t="shared" si="205"/>
        <v>1050</v>
      </c>
      <c r="D806" s="18">
        <v>45835</v>
      </c>
      <c r="E806" s="16" t="s">
        <v>60</v>
      </c>
      <c r="F806" s="16" t="s">
        <v>41</v>
      </c>
    </row>
    <row r="807" spans="1:12" ht="12.75">
      <c r="A807" s="16" t="s">
        <v>825</v>
      </c>
      <c r="B807" s="17">
        <v>160000</v>
      </c>
      <c r="C807" s="17">
        <f>0.0125*B807</f>
        <v>2000</v>
      </c>
      <c r="D807" s="18">
        <v>45835</v>
      </c>
      <c r="E807" s="16" t="s">
        <v>11</v>
      </c>
      <c r="F807" s="16" t="s">
        <v>12</v>
      </c>
    </row>
    <row r="808" spans="1:12" ht="12.75">
      <c r="A808" s="16" t="s">
        <v>826</v>
      </c>
      <c r="B808" s="17">
        <v>850000</v>
      </c>
      <c r="C808" s="17">
        <f t="shared" ref="C808:C809" si="206">0.0175*B808</f>
        <v>14875.000000000002</v>
      </c>
      <c r="D808" s="18">
        <v>45835</v>
      </c>
      <c r="E808" s="16" t="s">
        <v>118</v>
      </c>
      <c r="F808" s="16" t="s">
        <v>28</v>
      </c>
      <c r="I808" s="28" t="s">
        <v>30</v>
      </c>
    </row>
    <row r="809" spans="1:12" ht="12.75">
      <c r="A809" s="16" t="s">
        <v>827</v>
      </c>
      <c r="B809" s="17">
        <v>100000</v>
      </c>
      <c r="C809" s="17">
        <f t="shared" si="206"/>
        <v>1750.0000000000002</v>
      </c>
      <c r="D809" s="18">
        <v>45835</v>
      </c>
      <c r="E809" s="16" t="s">
        <v>15</v>
      </c>
      <c r="F809" s="16" t="s">
        <v>28</v>
      </c>
      <c r="I809" s="28" t="s">
        <v>30</v>
      </c>
    </row>
    <row r="810" spans="1:12" ht="12.75">
      <c r="A810" s="16" t="s">
        <v>828</v>
      </c>
      <c r="B810" s="17">
        <v>80000</v>
      </c>
      <c r="C810" s="17">
        <f>0.0125*B810</f>
        <v>1000</v>
      </c>
      <c r="D810" s="18">
        <v>45835</v>
      </c>
      <c r="E810" s="16" t="s">
        <v>11</v>
      </c>
      <c r="F810" s="16" t="s">
        <v>12</v>
      </c>
    </row>
    <row r="811" spans="1:12" ht="12.75">
      <c r="A811" s="16" t="s">
        <v>829</v>
      </c>
      <c r="B811" s="17">
        <v>850000</v>
      </c>
      <c r="C811" s="17">
        <f t="shared" ref="C811:C812" si="207">0.0175*B811</f>
        <v>14875.000000000002</v>
      </c>
      <c r="D811" s="18">
        <v>45835</v>
      </c>
      <c r="E811" s="16" t="s">
        <v>830</v>
      </c>
      <c r="F811" s="16" t="s">
        <v>28</v>
      </c>
      <c r="I811" s="28" t="s">
        <v>30</v>
      </c>
    </row>
    <row r="812" spans="1:12" ht="12.75">
      <c r="A812" s="16" t="s">
        <v>831</v>
      </c>
      <c r="B812" s="17">
        <v>150000</v>
      </c>
      <c r="C812" s="17">
        <f t="shared" si="207"/>
        <v>2625.0000000000005</v>
      </c>
      <c r="D812" s="18">
        <v>45835</v>
      </c>
      <c r="E812" s="16" t="s">
        <v>180</v>
      </c>
      <c r="F812" s="16" t="s">
        <v>28</v>
      </c>
      <c r="I812" s="28" t="s">
        <v>30</v>
      </c>
    </row>
    <row r="813" spans="1:12" ht="12.75">
      <c r="A813" s="16" t="s">
        <v>832</v>
      </c>
      <c r="B813" s="17">
        <v>215000</v>
      </c>
      <c r="C813" s="17">
        <f t="shared" ref="C813:C814" si="208">0.0125*B813</f>
        <v>2687.5</v>
      </c>
      <c r="D813" s="18">
        <v>45838</v>
      </c>
      <c r="E813" s="16" t="s">
        <v>15</v>
      </c>
      <c r="F813" s="16" t="s">
        <v>12</v>
      </c>
      <c r="H813" s="24" t="s">
        <v>54</v>
      </c>
      <c r="K813" s="16">
        <v>1290</v>
      </c>
    </row>
    <row r="814" spans="1:12" ht="12.75">
      <c r="A814" s="16" t="s">
        <v>833</v>
      </c>
      <c r="B814" s="17">
        <v>75000</v>
      </c>
      <c r="C814" s="17">
        <f t="shared" si="208"/>
        <v>937.5</v>
      </c>
      <c r="D814" s="18">
        <v>45838</v>
      </c>
      <c r="E814" s="16" t="s">
        <v>11</v>
      </c>
      <c r="F814" s="16" t="s">
        <v>12</v>
      </c>
    </row>
    <row r="815" spans="1:12" ht="12.75">
      <c r="A815" s="16" t="s">
        <v>834</v>
      </c>
      <c r="B815" s="17">
        <v>30000</v>
      </c>
      <c r="C815" s="17">
        <f>0.0175*B815</f>
        <v>525</v>
      </c>
      <c r="D815" s="18">
        <v>45833</v>
      </c>
      <c r="E815" s="16" t="s">
        <v>11</v>
      </c>
      <c r="F815" s="16" t="s">
        <v>28</v>
      </c>
    </row>
    <row r="816" spans="1:12" ht="12.75">
      <c r="A816" s="11">
        <v>45839</v>
      </c>
      <c r="B816" s="12">
        <f t="shared" ref="B816:C816" si="209">SUM(B817:B948)</f>
        <v>33787700</v>
      </c>
      <c r="C816" s="12">
        <f t="shared" si="209"/>
        <v>497464.75</v>
      </c>
      <c r="D816" s="13"/>
      <c r="E816" s="14"/>
      <c r="F816" s="14"/>
      <c r="G816" s="14"/>
      <c r="H816" s="15"/>
      <c r="I816" s="15"/>
      <c r="J816" s="15"/>
      <c r="K816" s="15"/>
      <c r="L816" s="15"/>
    </row>
    <row r="817" spans="1:11" ht="12.75">
      <c r="A817" s="16" t="s">
        <v>150</v>
      </c>
      <c r="B817" s="17">
        <v>20000</v>
      </c>
      <c r="C817" s="17">
        <f t="shared" ref="C817:C818" si="210">0.0125*B817</f>
        <v>250</v>
      </c>
      <c r="D817" s="18">
        <v>45839</v>
      </c>
      <c r="E817" s="16" t="s">
        <v>11</v>
      </c>
      <c r="F817" s="16" t="s">
        <v>12</v>
      </c>
    </row>
    <row r="818" spans="1:11" ht="12.75">
      <c r="A818" s="16" t="s">
        <v>835</v>
      </c>
      <c r="B818" s="17">
        <v>450000</v>
      </c>
      <c r="C818" s="17">
        <f t="shared" si="210"/>
        <v>5625</v>
      </c>
      <c r="D818" s="18">
        <v>45839</v>
      </c>
      <c r="E818" s="16" t="s">
        <v>24</v>
      </c>
      <c r="F818" s="16" t="s">
        <v>12</v>
      </c>
      <c r="H818" s="16" t="s">
        <v>797</v>
      </c>
    </row>
    <row r="819" spans="1:11" ht="12.75">
      <c r="A819" s="16" t="s">
        <v>836</v>
      </c>
      <c r="B819" s="17">
        <v>70000</v>
      </c>
      <c r="C819" s="17">
        <f>0.0175*B819</f>
        <v>1225.0000000000002</v>
      </c>
      <c r="D819" s="18">
        <v>45839</v>
      </c>
      <c r="E819" s="16" t="s">
        <v>11</v>
      </c>
      <c r="F819" s="16" t="s">
        <v>67</v>
      </c>
    </row>
    <row r="820" spans="1:11" ht="12.75">
      <c r="A820" s="16" t="s">
        <v>837</v>
      </c>
      <c r="B820" s="17">
        <v>170000</v>
      </c>
      <c r="C820" s="17">
        <f t="shared" ref="C820:C821" si="211">0.0125*B820</f>
        <v>2125</v>
      </c>
      <c r="D820" s="18">
        <v>45839</v>
      </c>
      <c r="E820" s="16" t="s">
        <v>60</v>
      </c>
      <c r="F820" s="16" t="s">
        <v>144</v>
      </c>
    </row>
    <row r="821" spans="1:11" ht="12.75">
      <c r="A821" s="16" t="s">
        <v>838</v>
      </c>
      <c r="B821" s="17">
        <v>350000</v>
      </c>
      <c r="C821" s="17">
        <f t="shared" si="211"/>
        <v>4375</v>
      </c>
      <c r="D821" s="18">
        <v>45839</v>
      </c>
      <c r="E821" s="16" t="s">
        <v>11</v>
      </c>
      <c r="F821" s="16" t="s">
        <v>12</v>
      </c>
    </row>
    <row r="822" spans="1:11" ht="12.75">
      <c r="A822" s="16" t="s">
        <v>839</v>
      </c>
      <c r="B822" s="17">
        <v>400000</v>
      </c>
      <c r="C822" s="17">
        <f t="shared" ref="C822:C824" si="212">0.0175*B822</f>
        <v>7000.0000000000009</v>
      </c>
      <c r="D822" s="18">
        <v>45839</v>
      </c>
      <c r="E822" s="16" t="s">
        <v>69</v>
      </c>
      <c r="F822" s="16" t="s">
        <v>28</v>
      </c>
      <c r="H822" s="16" t="s">
        <v>13</v>
      </c>
      <c r="I822" s="28" t="s">
        <v>30</v>
      </c>
    </row>
    <row r="823" spans="1:11" ht="12.75">
      <c r="A823" s="16" t="s">
        <v>840</v>
      </c>
      <c r="B823" s="17">
        <v>10000</v>
      </c>
      <c r="C823" s="17">
        <f t="shared" si="212"/>
        <v>175.00000000000003</v>
      </c>
      <c r="D823" s="18">
        <v>45839</v>
      </c>
      <c r="E823" s="16" t="s">
        <v>11</v>
      </c>
      <c r="F823" s="16" t="s">
        <v>28</v>
      </c>
      <c r="I823" s="28" t="s">
        <v>30</v>
      </c>
    </row>
    <row r="824" spans="1:11" ht="12.75">
      <c r="A824" s="16" t="s">
        <v>841</v>
      </c>
      <c r="B824" s="17">
        <v>25000</v>
      </c>
      <c r="C824" s="17">
        <f t="shared" si="212"/>
        <v>437.50000000000006</v>
      </c>
      <c r="D824" s="18">
        <v>45839</v>
      </c>
      <c r="E824" s="16" t="s">
        <v>11</v>
      </c>
      <c r="F824" s="16" t="s">
        <v>67</v>
      </c>
      <c r="I824" s="28" t="s">
        <v>30</v>
      </c>
    </row>
    <row r="825" spans="1:11" ht="12.75">
      <c r="A825" s="16" t="s">
        <v>842</v>
      </c>
      <c r="B825" s="17">
        <v>150000</v>
      </c>
      <c r="C825" s="17">
        <f t="shared" ref="C825:C829" si="213">0.0125*B825</f>
        <v>1875</v>
      </c>
      <c r="D825" s="18">
        <v>45840</v>
      </c>
      <c r="E825" s="16" t="s">
        <v>15</v>
      </c>
      <c r="F825" s="16" t="s">
        <v>12</v>
      </c>
      <c r="H825" s="24" t="s">
        <v>51</v>
      </c>
      <c r="K825" s="16">
        <v>750</v>
      </c>
    </row>
    <row r="826" spans="1:11" ht="12.75">
      <c r="A826" s="16" t="s">
        <v>353</v>
      </c>
      <c r="B826" s="17">
        <v>400000</v>
      </c>
      <c r="C826" s="17">
        <f t="shared" si="213"/>
        <v>5000</v>
      </c>
      <c r="D826" s="18">
        <v>45840</v>
      </c>
      <c r="E826" s="16" t="s">
        <v>11</v>
      </c>
      <c r="F826" s="16" t="s">
        <v>12</v>
      </c>
    </row>
    <row r="827" spans="1:11" ht="12.75">
      <c r="A827" s="16" t="s">
        <v>843</v>
      </c>
      <c r="B827" s="17">
        <v>110000</v>
      </c>
      <c r="C827" s="17">
        <f t="shared" si="213"/>
        <v>1375</v>
      </c>
      <c r="D827" s="18">
        <v>45840</v>
      </c>
      <c r="E827" s="16" t="s">
        <v>11</v>
      </c>
      <c r="F827" s="16" t="s">
        <v>12</v>
      </c>
    </row>
    <row r="828" spans="1:11" ht="12.75">
      <c r="A828" s="16" t="s">
        <v>844</v>
      </c>
      <c r="B828" s="17">
        <v>1435000</v>
      </c>
      <c r="C828" s="17">
        <f t="shared" si="213"/>
        <v>17937.5</v>
      </c>
      <c r="D828" s="18">
        <v>45840</v>
      </c>
      <c r="E828" s="16" t="s">
        <v>11</v>
      </c>
      <c r="F828" s="16" t="s">
        <v>12</v>
      </c>
    </row>
    <row r="829" spans="1:11" ht="12.75">
      <c r="A829" s="16" t="s">
        <v>845</v>
      </c>
      <c r="B829" s="17">
        <v>200000</v>
      </c>
      <c r="C829" s="17">
        <f t="shared" si="213"/>
        <v>2500</v>
      </c>
      <c r="D829" s="18">
        <v>45841</v>
      </c>
      <c r="E829" s="16" t="s">
        <v>40</v>
      </c>
      <c r="F829" s="16" t="s">
        <v>12</v>
      </c>
    </row>
    <row r="830" spans="1:11" ht="12.75">
      <c r="A830" s="16" t="s">
        <v>846</v>
      </c>
      <c r="B830" s="17">
        <v>100000</v>
      </c>
      <c r="C830" s="17">
        <f t="shared" ref="C830:C834" si="214">0.0175*B830</f>
        <v>1750.0000000000002</v>
      </c>
      <c r="D830" s="18">
        <v>45841</v>
      </c>
      <c r="E830" s="16" t="s">
        <v>11</v>
      </c>
      <c r="F830" s="16" t="s">
        <v>28</v>
      </c>
    </row>
    <row r="831" spans="1:11" ht="12.75">
      <c r="A831" s="16" t="s">
        <v>847</v>
      </c>
      <c r="B831" s="17">
        <v>300000</v>
      </c>
      <c r="C831" s="17">
        <f t="shared" si="214"/>
        <v>5250.0000000000009</v>
      </c>
      <c r="D831" s="18">
        <v>45841</v>
      </c>
      <c r="E831" s="16" t="s">
        <v>11</v>
      </c>
      <c r="F831" s="16" t="s">
        <v>28</v>
      </c>
    </row>
    <row r="832" spans="1:11" ht="12.75">
      <c r="A832" s="16" t="s">
        <v>848</v>
      </c>
      <c r="B832" s="17">
        <v>40000</v>
      </c>
      <c r="C832" s="17">
        <f t="shared" si="214"/>
        <v>700.00000000000011</v>
      </c>
      <c r="D832" s="18">
        <v>45841</v>
      </c>
      <c r="E832" s="16" t="s">
        <v>15</v>
      </c>
      <c r="F832" s="16" t="s">
        <v>28</v>
      </c>
      <c r="H832" s="24" t="s">
        <v>16</v>
      </c>
      <c r="K832" s="16">
        <v>160</v>
      </c>
    </row>
    <row r="833" spans="1:11" ht="12.75">
      <c r="A833" s="16" t="s">
        <v>698</v>
      </c>
      <c r="B833" s="17">
        <v>100000</v>
      </c>
      <c r="C833" s="17">
        <f t="shared" si="214"/>
        <v>1750.0000000000002</v>
      </c>
      <c r="D833" s="18">
        <v>45841</v>
      </c>
      <c r="E833" s="16" t="s">
        <v>118</v>
      </c>
      <c r="F833" s="16" t="s">
        <v>67</v>
      </c>
      <c r="H833" s="16" t="s">
        <v>22</v>
      </c>
    </row>
    <row r="834" spans="1:11" ht="12.75">
      <c r="A834" s="16" t="s">
        <v>849</v>
      </c>
      <c r="B834" s="17">
        <v>250000</v>
      </c>
      <c r="C834" s="17">
        <f t="shared" si="214"/>
        <v>4375</v>
      </c>
      <c r="D834" s="18">
        <v>45841</v>
      </c>
      <c r="E834" s="16" t="s">
        <v>15</v>
      </c>
      <c r="F834" s="16" t="s">
        <v>41</v>
      </c>
      <c r="H834" s="24" t="s">
        <v>51</v>
      </c>
      <c r="K834" s="16">
        <v>625</v>
      </c>
    </row>
    <row r="835" spans="1:11" ht="12.75">
      <c r="A835" s="16" t="s">
        <v>471</v>
      </c>
      <c r="B835" s="17">
        <v>150000</v>
      </c>
      <c r="C835" s="17">
        <f t="shared" ref="C835:C836" si="215">0.0125*B835</f>
        <v>1875</v>
      </c>
      <c r="D835" s="18">
        <v>45841</v>
      </c>
      <c r="E835" s="16" t="s">
        <v>11</v>
      </c>
      <c r="F835" s="16" t="s">
        <v>12</v>
      </c>
    </row>
    <row r="836" spans="1:11" ht="12.75">
      <c r="A836" s="16" t="s">
        <v>850</v>
      </c>
      <c r="B836" s="17">
        <v>70000</v>
      </c>
      <c r="C836" s="17">
        <f t="shared" si="215"/>
        <v>875</v>
      </c>
      <c r="D836" s="18">
        <v>45845</v>
      </c>
      <c r="E836" s="16" t="s">
        <v>11</v>
      </c>
      <c r="F836" s="16" t="s">
        <v>12</v>
      </c>
    </row>
    <row r="837" spans="1:11" ht="12.75">
      <c r="A837" s="16" t="s">
        <v>851</v>
      </c>
      <c r="B837" s="17">
        <v>35000</v>
      </c>
      <c r="C837" s="17">
        <f>0.0175*B837</f>
        <v>612.50000000000011</v>
      </c>
      <c r="D837" s="18">
        <v>45845</v>
      </c>
      <c r="E837" s="16" t="s">
        <v>60</v>
      </c>
      <c r="F837" s="16" t="s">
        <v>28</v>
      </c>
      <c r="I837" s="28" t="s">
        <v>30</v>
      </c>
    </row>
    <row r="838" spans="1:11" ht="12.75">
      <c r="A838" s="16" t="s">
        <v>852</v>
      </c>
      <c r="B838" s="17">
        <v>120000</v>
      </c>
      <c r="C838" s="17">
        <f t="shared" ref="C838:C839" si="216">0.0125*B838</f>
        <v>1500</v>
      </c>
      <c r="D838" s="18">
        <v>45846</v>
      </c>
      <c r="E838" s="16" t="s">
        <v>11</v>
      </c>
      <c r="F838" s="16" t="s">
        <v>67</v>
      </c>
    </row>
    <row r="839" spans="1:11" ht="12.75">
      <c r="A839" s="16" t="s">
        <v>237</v>
      </c>
      <c r="B839" s="17">
        <v>950000</v>
      </c>
      <c r="C839" s="17">
        <f t="shared" si="216"/>
        <v>11875</v>
      </c>
      <c r="D839" s="18">
        <v>45846</v>
      </c>
      <c r="E839" s="16" t="s">
        <v>853</v>
      </c>
      <c r="F839" s="16" t="s">
        <v>12</v>
      </c>
      <c r="H839" s="16" t="s">
        <v>797</v>
      </c>
    </row>
    <row r="840" spans="1:11" ht="12.75">
      <c r="A840" s="16" t="s">
        <v>854</v>
      </c>
      <c r="B840" s="17">
        <v>75000</v>
      </c>
      <c r="C840" s="17">
        <f>0.0175*B840</f>
        <v>1312.5000000000002</v>
      </c>
      <c r="D840" s="18">
        <v>45846</v>
      </c>
      <c r="E840" s="16" t="s">
        <v>15</v>
      </c>
      <c r="F840" s="16" t="s">
        <v>41</v>
      </c>
      <c r="H840" s="24" t="s">
        <v>98</v>
      </c>
    </row>
    <row r="841" spans="1:11" ht="12.75">
      <c r="A841" s="16" t="s">
        <v>747</v>
      </c>
      <c r="B841" s="17">
        <v>140000</v>
      </c>
      <c r="C841" s="17">
        <f>0.0125*B841</f>
        <v>1750</v>
      </c>
      <c r="D841" s="18">
        <v>45846</v>
      </c>
      <c r="E841" s="16" t="s">
        <v>73</v>
      </c>
      <c r="F841" s="16" t="s">
        <v>12</v>
      </c>
    </row>
    <row r="842" spans="1:11" ht="12.75">
      <c r="A842" s="16" t="s">
        <v>855</v>
      </c>
      <c r="B842" s="17">
        <v>200000</v>
      </c>
      <c r="C842" s="17">
        <f t="shared" ref="C842:C844" si="217">0.0175*B842</f>
        <v>3500.0000000000005</v>
      </c>
      <c r="D842" s="18">
        <v>45846</v>
      </c>
      <c r="E842" s="16" t="s">
        <v>60</v>
      </c>
      <c r="F842" s="16" t="s">
        <v>28</v>
      </c>
      <c r="I842" s="28" t="s">
        <v>30</v>
      </c>
    </row>
    <row r="843" spans="1:11" ht="12.75">
      <c r="A843" s="16" t="s">
        <v>856</v>
      </c>
      <c r="B843" s="17">
        <v>150000</v>
      </c>
      <c r="C843" s="17">
        <f t="shared" si="217"/>
        <v>2625.0000000000005</v>
      </c>
      <c r="D843" s="18">
        <v>45846</v>
      </c>
      <c r="E843" s="16" t="s">
        <v>11</v>
      </c>
      <c r="F843" s="16" t="s">
        <v>28</v>
      </c>
    </row>
    <row r="844" spans="1:11" ht="12.75">
      <c r="A844" s="16" t="s">
        <v>857</v>
      </c>
      <c r="B844" s="17">
        <v>750000</v>
      </c>
      <c r="C844" s="17">
        <f t="shared" si="217"/>
        <v>13125.000000000002</v>
      </c>
      <c r="D844" s="18">
        <v>45846</v>
      </c>
      <c r="E844" s="16" t="s">
        <v>11</v>
      </c>
      <c r="F844" s="16" t="s">
        <v>28</v>
      </c>
      <c r="I844" s="28" t="s">
        <v>30</v>
      </c>
    </row>
    <row r="845" spans="1:11" ht="12.75">
      <c r="A845" s="16" t="s">
        <v>94</v>
      </c>
      <c r="B845" s="17">
        <v>80000</v>
      </c>
      <c r="C845" s="17">
        <f t="shared" ref="C845:C846" si="218">0.0125*B845</f>
        <v>1000</v>
      </c>
      <c r="D845" s="18">
        <v>45846</v>
      </c>
      <c r="E845" s="16" t="s">
        <v>15</v>
      </c>
      <c r="F845" s="16" t="s">
        <v>12</v>
      </c>
      <c r="H845" s="24" t="s">
        <v>16</v>
      </c>
      <c r="K845" s="16">
        <v>320</v>
      </c>
    </row>
    <row r="846" spans="1:11" ht="12.75">
      <c r="A846" s="16" t="s">
        <v>858</v>
      </c>
      <c r="B846" s="17">
        <v>150000</v>
      </c>
      <c r="C846" s="17">
        <f t="shared" si="218"/>
        <v>1875</v>
      </c>
      <c r="D846" s="18">
        <v>45846</v>
      </c>
      <c r="E846" s="16" t="s">
        <v>24</v>
      </c>
      <c r="F846" s="16" t="s">
        <v>12</v>
      </c>
    </row>
    <row r="847" spans="1:11" ht="12.75">
      <c r="A847" s="16" t="s">
        <v>859</v>
      </c>
      <c r="B847" s="17">
        <v>500000</v>
      </c>
      <c r="C847" s="17">
        <f t="shared" ref="C847:C848" si="219">0.0175*B847</f>
        <v>8750</v>
      </c>
      <c r="D847" s="18">
        <v>45846</v>
      </c>
      <c r="E847" s="16" t="s">
        <v>279</v>
      </c>
      <c r="F847" s="16" t="s">
        <v>67</v>
      </c>
    </row>
    <row r="848" spans="1:11" ht="12.75">
      <c r="A848" s="16" t="s">
        <v>860</v>
      </c>
      <c r="B848" s="17">
        <v>350000</v>
      </c>
      <c r="C848" s="17">
        <f t="shared" si="219"/>
        <v>6125.0000000000009</v>
      </c>
      <c r="D848" s="18">
        <v>45847</v>
      </c>
      <c r="E848" s="16" t="s">
        <v>24</v>
      </c>
      <c r="F848" s="16" t="s">
        <v>28</v>
      </c>
      <c r="H848" s="16" t="s">
        <v>642</v>
      </c>
      <c r="I848" s="28" t="s">
        <v>30</v>
      </c>
    </row>
    <row r="849" spans="1:11" ht="12.75">
      <c r="A849" s="16" t="s">
        <v>861</v>
      </c>
      <c r="B849" s="17">
        <v>125000</v>
      </c>
      <c r="C849" s="17">
        <f>0.0125*B849</f>
        <v>1562.5</v>
      </c>
      <c r="D849" s="18">
        <v>45847</v>
      </c>
      <c r="E849" s="16" t="s">
        <v>15</v>
      </c>
      <c r="F849" s="16" t="s">
        <v>12</v>
      </c>
      <c r="H849" s="24" t="s">
        <v>149</v>
      </c>
      <c r="K849" s="16">
        <v>312.5</v>
      </c>
    </row>
    <row r="850" spans="1:11" ht="12.75">
      <c r="A850" s="16" t="s">
        <v>862</v>
      </c>
      <c r="B850" s="17">
        <v>100000</v>
      </c>
      <c r="C850" s="17">
        <f t="shared" ref="C850:C852" si="220">0.0175*B850</f>
        <v>1750.0000000000002</v>
      </c>
      <c r="D850" s="18">
        <v>45847</v>
      </c>
      <c r="E850" s="16" t="s">
        <v>135</v>
      </c>
      <c r="F850" s="16" t="s">
        <v>28</v>
      </c>
      <c r="H850" s="16" t="s">
        <v>13</v>
      </c>
      <c r="I850" s="28" t="s">
        <v>30</v>
      </c>
    </row>
    <row r="851" spans="1:11" ht="12.75">
      <c r="A851" s="16" t="s">
        <v>331</v>
      </c>
      <c r="B851" s="17">
        <v>100000</v>
      </c>
      <c r="C851" s="17">
        <f t="shared" si="220"/>
        <v>1750.0000000000002</v>
      </c>
      <c r="D851" s="18">
        <v>45848</v>
      </c>
      <c r="E851" s="16" t="s">
        <v>180</v>
      </c>
      <c r="F851" s="16" t="s">
        <v>67</v>
      </c>
      <c r="H851" s="16" t="s">
        <v>13</v>
      </c>
      <c r="I851" s="28" t="s">
        <v>30</v>
      </c>
    </row>
    <row r="852" spans="1:11" ht="12.75">
      <c r="A852" s="16" t="s">
        <v>863</v>
      </c>
      <c r="B852" s="17">
        <v>50000</v>
      </c>
      <c r="C852" s="17">
        <f t="shared" si="220"/>
        <v>875.00000000000011</v>
      </c>
      <c r="D852" s="18">
        <v>45848</v>
      </c>
      <c r="E852" s="16" t="s">
        <v>118</v>
      </c>
      <c r="F852" s="16" t="s">
        <v>28</v>
      </c>
      <c r="H852" s="16" t="s">
        <v>13</v>
      </c>
      <c r="I852" s="28" t="s">
        <v>30</v>
      </c>
    </row>
    <row r="853" spans="1:11" ht="12.75">
      <c r="A853" s="16" t="s">
        <v>280</v>
      </c>
      <c r="B853" s="17">
        <v>105000</v>
      </c>
      <c r="C853" s="17">
        <f>0.0125*B853</f>
        <v>1312.5</v>
      </c>
      <c r="D853" s="18">
        <v>45848</v>
      </c>
      <c r="E853" s="16" t="s">
        <v>15</v>
      </c>
      <c r="F853" s="16" t="s">
        <v>12</v>
      </c>
      <c r="H853" s="24" t="s">
        <v>282</v>
      </c>
      <c r="K853" s="16">
        <v>105</v>
      </c>
    </row>
    <row r="854" spans="1:11" ht="12.75">
      <c r="A854" s="16" t="s">
        <v>864</v>
      </c>
      <c r="B854" s="17">
        <v>133700</v>
      </c>
      <c r="C854" s="17">
        <f t="shared" ref="C854:C856" si="221">0.0175*B854</f>
        <v>2339.75</v>
      </c>
      <c r="D854" s="18">
        <v>45848</v>
      </c>
      <c r="E854" s="16" t="s">
        <v>24</v>
      </c>
      <c r="F854" s="16" t="s">
        <v>28</v>
      </c>
      <c r="H854" s="16" t="s">
        <v>497</v>
      </c>
      <c r="I854" s="28" t="s">
        <v>30</v>
      </c>
    </row>
    <row r="855" spans="1:11" ht="12.75">
      <c r="A855" s="16" t="s">
        <v>865</v>
      </c>
      <c r="B855" s="17">
        <v>100000</v>
      </c>
      <c r="C855" s="17">
        <f t="shared" si="221"/>
        <v>1750.0000000000002</v>
      </c>
      <c r="D855" s="18">
        <v>45849</v>
      </c>
      <c r="E855" s="16" t="s">
        <v>11</v>
      </c>
      <c r="F855" s="16" t="s">
        <v>28</v>
      </c>
      <c r="I855" s="28" t="s">
        <v>30</v>
      </c>
    </row>
    <row r="856" spans="1:11" ht="12.75">
      <c r="A856" s="16" t="s">
        <v>866</v>
      </c>
      <c r="B856" s="17">
        <v>750000</v>
      </c>
      <c r="C856" s="17">
        <f t="shared" si="221"/>
        <v>13125.000000000002</v>
      </c>
      <c r="D856" s="18">
        <v>45849</v>
      </c>
      <c r="E856" s="16" t="s">
        <v>118</v>
      </c>
      <c r="F856" s="16" t="s">
        <v>28</v>
      </c>
      <c r="H856" s="16" t="s">
        <v>13</v>
      </c>
      <c r="I856" s="28" t="s">
        <v>30</v>
      </c>
    </row>
    <row r="857" spans="1:11" ht="12.75">
      <c r="A857" s="16" t="s">
        <v>867</v>
      </c>
      <c r="B857" s="17">
        <v>125000</v>
      </c>
      <c r="C857" s="17">
        <f t="shared" ref="C857:C858" si="222">0.0125*B857</f>
        <v>1562.5</v>
      </c>
      <c r="D857" s="18">
        <v>45849</v>
      </c>
      <c r="E857" s="16" t="s">
        <v>11</v>
      </c>
      <c r="F857" s="16" t="s">
        <v>12</v>
      </c>
    </row>
    <row r="858" spans="1:11" ht="12.75">
      <c r="A858" s="16" t="s">
        <v>868</v>
      </c>
      <c r="B858" s="17">
        <v>600000</v>
      </c>
      <c r="C858" s="17">
        <f t="shared" si="222"/>
        <v>7500</v>
      </c>
      <c r="D858" s="18">
        <v>45849</v>
      </c>
      <c r="E858" s="16" t="s">
        <v>11</v>
      </c>
      <c r="F858" s="16" t="s">
        <v>12</v>
      </c>
    </row>
    <row r="859" spans="1:11" ht="12.75">
      <c r="A859" s="16" t="s">
        <v>869</v>
      </c>
      <c r="B859" s="17">
        <v>110000</v>
      </c>
      <c r="C859" s="17">
        <f>0.0175*B859</f>
        <v>1925.0000000000002</v>
      </c>
      <c r="D859" s="18">
        <v>45849</v>
      </c>
      <c r="E859" s="16" t="s">
        <v>11</v>
      </c>
      <c r="F859" s="16" t="s">
        <v>28</v>
      </c>
      <c r="I859" s="28" t="s">
        <v>30</v>
      </c>
    </row>
    <row r="860" spans="1:11" ht="12.75">
      <c r="A860" s="16" t="s">
        <v>870</v>
      </c>
      <c r="B860" s="17">
        <v>250000</v>
      </c>
      <c r="C860" s="17">
        <f>0.0125*B860</f>
        <v>3125</v>
      </c>
      <c r="D860" s="18">
        <v>45849</v>
      </c>
      <c r="E860" s="16" t="s">
        <v>15</v>
      </c>
      <c r="F860" s="16" t="s">
        <v>12</v>
      </c>
      <c r="H860" s="24" t="s">
        <v>35</v>
      </c>
      <c r="K860" s="16">
        <v>500</v>
      </c>
    </row>
    <row r="861" spans="1:11" ht="12.75">
      <c r="A861" s="16" t="s">
        <v>871</v>
      </c>
      <c r="B861" s="17">
        <v>150000</v>
      </c>
      <c r="C861" s="17">
        <f t="shared" ref="C861:C862" si="223">0.0175*B861</f>
        <v>2625.0000000000005</v>
      </c>
      <c r="D861" s="18">
        <v>45849</v>
      </c>
      <c r="E861" s="16" t="s">
        <v>180</v>
      </c>
      <c r="F861" s="16" t="s">
        <v>28</v>
      </c>
      <c r="H861" s="16" t="s">
        <v>13</v>
      </c>
      <c r="I861" s="28" t="s">
        <v>30</v>
      </c>
    </row>
    <row r="862" spans="1:11" ht="12.75">
      <c r="A862" s="16" t="s">
        <v>872</v>
      </c>
      <c r="B862" s="17">
        <v>140000</v>
      </c>
      <c r="C862" s="17">
        <f t="shared" si="223"/>
        <v>2450.0000000000005</v>
      </c>
      <c r="D862" s="18">
        <v>45852</v>
      </c>
      <c r="E862" s="16" t="s">
        <v>376</v>
      </c>
      <c r="F862" s="16" t="s">
        <v>28</v>
      </c>
      <c r="H862" s="16" t="s">
        <v>13</v>
      </c>
      <c r="I862" s="28" t="s">
        <v>30</v>
      </c>
    </row>
    <row r="863" spans="1:11" ht="12.75">
      <c r="A863" s="16" t="s">
        <v>873</v>
      </c>
      <c r="B863" s="17">
        <v>30000</v>
      </c>
      <c r="C863" s="17">
        <f t="shared" ref="C863:C865" si="224">0.0125*B863</f>
        <v>375</v>
      </c>
      <c r="D863" s="18">
        <v>45852</v>
      </c>
      <c r="E863" s="16" t="s">
        <v>15</v>
      </c>
      <c r="F863" s="16" t="s">
        <v>144</v>
      </c>
      <c r="H863" s="24" t="s">
        <v>98</v>
      </c>
      <c r="K863" s="16">
        <v>90</v>
      </c>
    </row>
    <row r="864" spans="1:11" ht="12.75">
      <c r="A864" s="16" t="s">
        <v>874</v>
      </c>
      <c r="B864" s="17">
        <v>150000</v>
      </c>
      <c r="C864" s="17">
        <f t="shared" si="224"/>
        <v>1875</v>
      </c>
      <c r="D864" s="18">
        <v>45852</v>
      </c>
      <c r="E864" s="16" t="s">
        <v>15</v>
      </c>
      <c r="F864" s="16" t="s">
        <v>12</v>
      </c>
      <c r="H864" s="24" t="s">
        <v>98</v>
      </c>
      <c r="K864" s="16">
        <v>450</v>
      </c>
    </row>
    <row r="865" spans="1:11" ht="12.75">
      <c r="A865" s="16" t="s">
        <v>671</v>
      </c>
      <c r="B865" s="17">
        <v>70000</v>
      </c>
      <c r="C865" s="17">
        <f t="shared" si="224"/>
        <v>875</v>
      </c>
      <c r="D865" s="18">
        <v>45852</v>
      </c>
      <c r="E865" s="16" t="s">
        <v>15</v>
      </c>
      <c r="F865" s="16" t="s">
        <v>144</v>
      </c>
      <c r="H865" s="24" t="s">
        <v>16</v>
      </c>
      <c r="K865" s="16">
        <v>280</v>
      </c>
    </row>
    <row r="866" spans="1:11" ht="12.75">
      <c r="A866" s="16" t="s">
        <v>875</v>
      </c>
      <c r="B866" s="17">
        <v>1000000</v>
      </c>
      <c r="C866" s="17">
        <f t="shared" ref="C866:C868" si="225">0.0175*B866</f>
        <v>17500</v>
      </c>
      <c r="D866" s="18">
        <v>45852</v>
      </c>
      <c r="E866" s="16" t="s">
        <v>40</v>
      </c>
      <c r="F866" s="16" t="s">
        <v>41</v>
      </c>
    </row>
    <row r="867" spans="1:11" ht="12.75">
      <c r="A867" s="16" t="s">
        <v>876</v>
      </c>
      <c r="B867" s="17">
        <v>300000</v>
      </c>
      <c r="C867" s="17">
        <f t="shared" si="225"/>
        <v>5250.0000000000009</v>
      </c>
      <c r="D867" s="18">
        <v>45852</v>
      </c>
      <c r="E867" s="16" t="s">
        <v>11</v>
      </c>
      <c r="F867" s="16" t="s">
        <v>28</v>
      </c>
      <c r="I867" s="28" t="s">
        <v>30</v>
      </c>
    </row>
    <row r="868" spans="1:11" ht="12.75">
      <c r="A868" s="16" t="s">
        <v>877</v>
      </c>
      <c r="B868" s="17">
        <v>1000000</v>
      </c>
      <c r="C868" s="17">
        <f t="shared" si="225"/>
        <v>17500</v>
      </c>
      <c r="D868" s="18">
        <v>45852</v>
      </c>
      <c r="E868" s="16" t="s">
        <v>118</v>
      </c>
      <c r="F868" s="16" t="s">
        <v>28</v>
      </c>
      <c r="H868" s="16" t="s">
        <v>13</v>
      </c>
      <c r="I868" s="28" t="s">
        <v>30</v>
      </c>
    </row>
    <row r="869" spans="1:11" ht="12.75">
      <c r="A869" s="16" t="s">
        <v>878</v>
      </c>
      <c r="B869" s="17">
        <v>400000</v>
      </c>
      <c r="C869" s="17">
        <f>0.0125*B869</f>
        <v>5000</v>
      </c>
      <c r="D869" s="18">
        <v>45852</v>
      </c>
      <c r="E869" s="16" t="s">
        <v>24</v>
      </c>
      <c r="F869" s="16" t="s">
        <v>144</v>
      </c>
      <c r="H869" s="16" t="s">
        <v>797</v>
      </c>
    </row>
    <row r="870" spans="1:11" ht="12.75">
      <c r="A870" s="16" t="s">
        <v>879</v>
      </c>
      <c r="B870" s="17">
        <v>175000</v>
      </c>
      <c r="C870" s="17">
        <f t="shared" ref="C870:C871" si="226">0.0175*B870</f>
        <v>3062.5000000000005</v>
      </c>
      <c r="D870" s="18">
        <v>45852</v>
      </c>
      <c r="E870" s="16" t="s">
        <v>24</v>
      </c>
      <c r="F870" s="16" t="s">
        <v>28</v>
      </c>
      <c r="H870" s="16" t="s">
        <v>642</v>
      </c>
      <c r="I870" s="28" t="s">
        <v>30</v>
      </c>
    </row>
    <row r="871" spans="1:11" ht="12.75">
      <c r="A871" s="16" t="s">
        <v>880</v>
      </c>
      <c r="B871" s="17">
        <v>250000</v>
      </c>
      <c r="C871" s="17">
        <f t="shared" si="226"/>
        <v>4375</v>
      </c>
      <c r="D871" s="18">
        <v>45853</v>
      </c>
      <c r="E871" s="16" t="s">
        <v>24</v>
      </c>
      <c r="F871" s="16" t="s">
        <v>28</v>
      </c>
      <c r="H871" s="16" t="s">
        <v>642</v>
      </c>
      <c r="I871" s="28" t="s">
        <v>30</v>
      </c>
    </row>
    <row r="872" spans="1:11" ht="12.75">
      <c r="A872" s="16" t="s">
        <v>475</v>
      </c>
      <c r="B872" s="17">
        <v>550000</v>
      </c>
      <c r="C872" s="17">
        <f>0.0125*B872</f>
        <v>6875</v>
      </c>
      <c r="D872" s="18">
        <v>45853</v>
      </c>
      <c r="E872" s="16" t="s">
        <v>75</v>
      </c>
      <c r="F872" s="16" t="s">
        <v>12</v>
      </c>
    </row>
    <row r="873" spans="1:11" ht="12.75">
      <c r="A873" s="16" t="s">
        <v>821</v>
      </c>
      <c r="B873" s="17">
        <v>10000</v>
      </c>
      <c r="C873" s="17">
        <f t="shared" ref="C873:C874" si="227">0.0175*B873</f>
        <v>175.00000000000003</v>
      </c>
      <c r="D873" s="18">
        <v>45853</v>
      </c>
      <c r="E873" s="16" t="s">
        <v>11</v>
      </c>
      <c r="F873" s="16" t="s">
        <v>67</v>
      </c>
      <c r="I873" s="28" t="s">
        <v>30</v>
      </c>
    </row>
    <row r="874" spans="1:11" ht="12.75">
      <c r="A874" s="16" t="s">
        <v>881</v>
      </c>
      <c r="B874" s="17">
        <v>40000</v>
      </c>
      <c r="C874" s="17">
        <f t="shared" si="227"/>
        <v>700.00000000000011</v>
      </c>
      <c r="D874" s="18">
        <v>45853</v>
      </c>
      <c r="E874" s="16" t="s">
        <v>11</v>
      </c>
      <c r="F874" s="16" t="s">
        <v>28</v>
      </c>
      <c r="I874" s="28" t="s">
        <v>30</v>
      </c>
    </row>
    <row r="875" spans="1:11" ht="12.75">
      <c r="A875" s="16" t="s">
        <v>882</v>
      </c>
      <c r="B875" s="17">
        <v>2000000</v>
      </c>
      <c r="C875" s="17">
        <f>0.0125*B875</f>
        <v>25000</v>
      </c>
      <c r="D875" s="18">
        <v>45853</v>
      </c>
      <c r="E875" s="16" t="s">
        <v>118</v>
      </c>
      <c r="F875" s="16" t="s">
        <v>12</v>
      </c>
      <c r="H875" s="16" t="s">
        <v>22</v>
      </c>
    </row>
    <row r="876" spans="1:11" ht="12.75">
      <c r="A876" s="16" t="s">
        <v>883</v>
      </c>
      <c r="B876" s="17">
        <v>175000</v>
      </c>
      <c r="C876" s="17">
        <f t="shared" ref="C876:C877" si="228">0.0175*B876</f>
        <v>3062.5000000000005</v>
      </c>
      <c r="D876" s="18">
        <v>45854</v>
      </c>
      <c r="E876" s="16" t="s">
        <v>92</v>
      </c>
      <c r="F876" s="16" t="s">
        <v>41</v>
      </c>
      <c r="I876" s="28" t="s">
        <v>30</v>
      </c>
    </row>
    <row r="877" spans="1:11" ht="12.75">
      <c r="A877" s="16" t="s">
        <v>884</v>
      </c>
      <c r="B877" s="17">
        <v>30000</v>
      </c>
      <c r="C877" s="17">
        <f t="shared" si="228"/>
        <v>525</v>
      </c>
      <c r="D877" s="18">
        <v>45854</v>
      </c>
      <c r="E877" s="16" t="s">
        <v>21</v>
      </c>
      <c r="F877" s="16" t="s">
        <v>28</v>
      </c>
      <c r="H877" s="16" t="s">
        <v>13</v>
      </c>
      <c r="I877" s="28" t="s">
        <v>30</v>
      </c>
    </row>
    <row r="878" spans="1:11" ht="12.75">
      <c r="A878" s="16" t="s">
        <v>201</v>
      </c>
      <c r="B878" s="17">
        <v>52500</v>
      </c>
      <c r="C878" s="17">
        <f t="shared" ref="C878:C879" si="229">0.0125*B878</f>
        <v>656.25</v>
      </c>
      <c r="D878" s="18">
        <v>45854</v>
      </c>
      <c r="E878" s="16" t="s">
        <v>11</v>
      </c>
      <c r="F878" s="16" t="s">
        <v>12</v>
      </c>
    </row>
    <row r="879" spans="1:11" ht="12.75">
      <c r="A879" s="16" t="s">
        <v>885</v>
      </c>
      <c r="B879" s="17">
        <v>85000</v>
      </c>
      <c r="C879" s="17">
        <f t="shared" si="229"/>
        <v>1062.5</v>
      </c>
      <c r="D879" s="18">
        <v>45854</v>
      </c>
      <c r="E879" s="16" t="s">
        <v>24</v>
      </c>
      <c r="F879" s="16" t="s">
        <v>12</v>
      </c>
      <c r="H879" s="16" t="s">
        <v>619</v>
      </c>
    </row>
    <row r="880" spans="1:11" ht="12.75">
      <c r="A880" s="16" t="s">
        <v>886</v>
      </c>
      <c r="B880" s="17">
        <v>50000</v>
      </c>
      <c r="C880" s="17">
        <f t="shared" ref="C880:C882" si="230">0.0175*B880</f>
        <v>875.00000000000011</v>
      </c>
      <c r="D880" s="18">
        <v>45855</v>
      </c>
      <c r="E880" s="16" t="s">
        <v>11</v>
      </c>
      <c r="F880" s="16" t="s">
        <v>28</v>
      </c>
      <c r="I880" s="28" t="s">
        <v>30</v>
      </c>
    </row>
    <row r="881" spans="1:11" ht="12.75">
      <c r="A881" s="16" t="s">
        <v>887</v>
      </c>
      <c r="B881" s="17">
        <v>500000</v>
      </c>
      <c r="C881" s="17">
        <f t="shared" si="230"/>
        <v>8750</v>
      </c>
      <c r="D881" s="18">
        <v>45855</v>
      </c>
      <c r="E881" s="16" t="s">
        <v>231</v>
      </c>
      <c r="F881" s="16" t="s">
        <v>41</v>
      </c>
      <c r="H881" s="16" t="s">
        <v>13</v>
      </c>
      <c r="I881" s="28" t="s">
        <v>30</v>
      </c>
    </row>
    <row r="882" spans="1:11" ht="12.75">
      <c r="A882" s="16" t="s">
        <v>888</v>
      </c>
      <c r="B882" s="17">
        <v>175000</v>
      </c>
      <c r="C882" s="17">
        <f t="shared" si="230"/>
        <v>3062.5000000000005</v>
      </c>
      <c r="D882" s="18">
        <v>45856</v>
      </c>
      <c r="E882" s="16" t="s">
        <v>118</v>
      </c>
      <c r="F882" s="16" t="s">
        <v>28</v>
      </c>
      <c r="H882" s="16" t="s">
        <v>13</v>
      </c>
      <c r="I882" s="28" t="s">
        <v>30</v>
      </c>
    </row>
    <row r="883" spans="1:11" ht="12.75">
      <c r="A883" s="16" t="s">
        <v>889</v>
      </c>
      <c r="B883" s="17">
        <v>150000</v>
      </c>
      <c r="C883" s="17">
        <f t="shared" ref="C883:C884" si="231">0.0125*B883</f>
        <v>1875</v>
      </c>
      <c r="D883" s="18">
        <v>45856</v>
      </c>
      <c r="E883" s="16" t="s">
        <v>11</v>
      </c>
      <c r="F883" s="16" t="s">
        <v>12</v>
      </c>
    </row>
    <row r="884" spans="1:11" ht="12.75">
      <c r="A884" s="16" t="s">
        <v>129</v>
      </c>
      <c r="B884" s="17">
        <v>750000</v>
      </c>
      <c r="C884" s="17">
        <f t="shared" si="231"/>
        <v>9375</v>
      </c>
      <c r="D884" s="18">
        <v>45856</v>
      </c>
      <c r="E884" s="16" t="s">
        <v>24</v>
      </c>
      <c r="F884" s="16" t="s">
        <v>12</v>
      </c>
      <c r="H884" s="16" t="s">
        <v>797</v>
      </c>
    </row>
    <row r="885" spans="1:11" ht="12.75">
      <c r="A885" s="16" t="s">
        <v>890</v>
      </c>
      <c r="B885" s="17">
        <v>50000</v>
      </c>
      <c r="C885" s="17">
        <f>0.0175*B885</f>
        <v>875.00000000000011</v>
      </c>
      <c r="D885" s="18">
        <v>45856</v>
      </c>
      <c r="E885" s="16" t="s">
        <v>11</v>
      </c>
      <c r="F885" s="16" t="s">
        <v>28</v>
      </c>
      <c r="I885" s="28" t="s">
        <v>30</v>
      </c>
    </row>
    <row r="886" spans="1:11" ht="12.75">
      <c r="A886" s="16" t="s">
        <v>32</v>
      </c>
      <c r="B886" s="17">
        <v>11000</v>
      </c>
      <c r="C886" s="17">
        <f t="shared" ref="C886:C887" si="232">0.0125*B886</f>
        <v>137.5</v>
      </c>
      <c r="D886" s="18">
        <v>45856</v>
      </c>
      <c r="E886" s="16" t="s">
        <v>15</v>
      </c>
      <c r="F886" s="16" t="s">
        <v>144</v>
      </c>
      <c r="H886" s="24" t="s">
        <v>98</v>
      </c>
      <c r="K886" s="16">
        <v>33</v>
      </c>
    </row>
    <row r="887" spans="1:11" ht="12.75">
      <c r="A887" s="16" t="s">
        <v>891</v>
      </c>
      <c r="B887" s="17">
        <v>60000</v>
      </c>
      <c r="C887" s="17">
        <f t="shared" si="232"/>
        <v>750</v>
      </c>
      <c r="D887" s="18">
        <v>45856</v>
      </c>
      <c r="E887" s="16" t="s">
        <v>15</v>
      </c>
      <c r="F887" s="16" t="s">
        <v>144</v>
      </c>
      <c r="H887" s="24" t="s">
        <v>149</v>
      </c>
      <c r="K887" s="16">
        <v>150</v>
      </c>
    </row>
    <row r="888" spans="1:11" ht="12.75">
      <c r="A888" s="16" t="s">
        <v>892</v>
      </c>
      <c r="B888" s="17">
        <v>50000</v>
      </c>
      <c r="C888" s="17">
        <f t="shared" ref="C888:C889" si="233">0.0175*B888</f>
        <v>875.00000000000011</v>
      </c>
      <c r="D888" s="18">
        <v>45856</v>
      </c>
      <c r="E888" s="16" t="s">
        <v>92</v>
      </c>
      <c r="F888" s="16" t="s">
        <v>28</v>
      </c>
      <c r="I888" s="28" t="s">
        <v>30</v>
      </c>
    </row>
    <row r="889" spans="1:11" ht="12.75">
      <c r="A889" s="16" t="s">
        <v>893</v>
      </c>
      <c r="B889" s="17">
        <v>150000</v>
      </c>
      <c r="C889" s="17">
        <f t="shared" si="233"/>
        <v>2625.0000000000005</v>
      </c>
      <c r="D889" s="18">
        <v>45856</v>
      </c>
      <c r="E889" s="16" t="s">
        <v>461</v>
      </c>
      <c r="F889" s="16" t="s">
        <v>28</v>
      </c>
      <c r="H889" s="16" t="s">
        <v>13</v>
      </c>
      <c r="I889" s="28" t="s">
        <v>30</v>
      </c>
    </row>
    <row r="890" spans="1:11" ht="12.75">
      <c r="A890" s="16" t="s">
        <v>894</v>
      </c>
      <c r="B890" s="17">
        <v>155000</v>
      </c>
      <c r="C890" s="17">
        <f>0.0125*B890</f>
        <v>1937.5</v>
      </c>
      <c r="D890" s="18">
        <v>45856</v>
      </c>
      <c r="E890" s="16" t="s">
        <v>69</v>
      </c>
      <c r="F890" s="16" t="s">
        <v>12</v>
      </c>
      <c r="H890" s="16" t="s">
        <v>22</v>
      </c>
    </row>
    <row r="891" spans="1:11" ht="12.75">
      <c r="A891" s="16" t="s">
        <v>895</v>
      </c>
      <c r="B891" s="17">
        <v>50000</v>
      </c>
      <c r="C891" s="17">
        <f>0.0175*B891</f>
        <v>875.00000000000011</v>
      </c>
      <c r="D891" s="18">
        <v>45859</v>
      </c>
      <c r="E891" s="16" t="s">
        <v>896</v>
      </c>
      <c r="F891" s="16" t="s">
        <v>28</v>
      </c>
      <c r="H891" s="24" t="s">
        <v>54</v>
      </c>
      <c r="K891" s="16">
        <v>300</v>
      </c>
    </row>
    <row r="892" spans="1:11" ht="12.75">
      <c r="A892" s="16" t="s">
        <v>897</v>
      </c>
      <c r="B892" s="17">
        <v>500000</v>
      </c>
      <c r="C892" s="17">
        <f>0.0125*B892</f>
        <v>6250</v>
      </c>
      <c r="D892" s="18">
        <v>45859</v>
      </c>
      <c r="E892" s="16" t="s">
        <v>69</v>
      </c>
      <c r="F892" s="16" t="s">
        <v>12</v>
      </c>
      <c r="H892" s="16" t="s">
        <v>22</v>
      </c>
    </row>
    <row r="893" spans="1:11" ht="12.75">
      <c r="A893" s="16" t="s">
        <v>898</v>
      </c>
      <c r="B893" s="17">
        <v>450000</v>
      </c>
      <c r="C893" s="17">
        <f t="shared" ref="C893:C894" si="234">0.0175*B893</f>
        <v>7875.0000000000009</v>
      </c>
      <c r="D893" s="18">
        <v>45859</v>
      </c>
      <c r="E893" s="16" t="s">
        <v>899</v>
      </c>
      <c r="F893" s="16" t="s">
        <v>28</v>
      </c>
      <c r="I893" s="28" t="s">
        <v>30</v>
      </c>
    </row>
    <row r="894" spans="1:11" ht="12.75">
      <c r="A894" s="16" t="s">
        <v>900</v>
      </c>
      <c r="B894" s="17">
        <v>75000</v>
      </c>
      <c r="C894" s="17">
        <f t="shared" si="234"/>
        <v>1312.5000000000002</v>
      </c>
      <c r="D894" s="18">
        <v>45860</v>
      </c>
      <c r="E894" s="16" t="s">
        <v>11</v>
      </c>
      <c r="F894" s="16" t="s">
        <v>28</v>
      </c>
      <c r="I894" s="28" t="s">
        <v>30</v>
      </c>
    </row>
    <row r="895" spans="1:11" ht="12.75">
      <c r="A895" s="16" t="s">
        <v>156</v>
      </c>
      <c r="B895" s="17">
        <v>110000</v>
      </c>
      <c r="C895" s="17">
        <f t="shared" ref="C895:C897" si="235">0.0125*B895</f>
        <v>1375</v>
      </c>
      <c r="D895" s="18">
        <v>45860</v>
      </c>
      <c r="E895" s="16" t="s">
        <v>15</v>
      </c>
      <c r="F895" s="16" t="s">
        <v>12</v>
      </c>
      <c r="H895" s="24" t="s">
        <v>220</v>
      </c>
      <c r="K895" s="16">
        <v>385</v>
      </c>
    </row>
    <row r="896" spans="1:11" ht="12.75">
      <c r="A896" s="16" t="s">
        <v>639</v>
      </c>
      <c r="B896" s="17">
        <v>230000</v>
      </c>
      <c r="C896" s="17">
        <f t="shared" si="235"/>
        <v>2875</v>
      </c>
      <c r="D896" s="18">
        <v>45860</v>
      </c>
      <c r="E896" s="16" t="s">
        <v>11</v>
      </c>
      <c r="F896" s="16" t="s">
        <v>12</v>
      </c>
    </row>
    <row r="897" spans="1:11" ht="12.75">
      <c r="A897" s="16" t="s">
        <v>901</v>
      </c>
      <c r="B897" s="17">
        <v>300000</v>
      </c>
      <c r="C897" s="17">
        <f t="shared" si="235"/>
        <v>3750</v>
      </c>
      <c r="D897" s="18">
        <v>45860</v>
      </c>
      <c r="E897" s="16" t="s">
        <v>902</v>
      </c>
      <c r="F897" s="16" t="s">
        <v>12</v>
      </c>
    </row>
    <row r="898" spans="1:11" ht="12.75">
      <c r="A898" s="16" t="s">
        <v>903</v>
      </c>
      <c r="B898" s="17">
        <v>100000</v>
      </c>
      <c r="C898" s="17">
        <f t="shared" ref="C898:C899" si="236">0.0175*B898</f>
        <v>1750.0000000000002</v>
      </c>
      <c r="D898" s="18">
        <v>45861</v>
      </c>
      <c r="E898" s="16" t="s">
        <v>135</v>
      </c>
      <c r="F898" s="16" t="s">
        <v>28</v>
      </c>
      <c r="H898" s="16" t="s">
        <v>13</v>
      </c>
      <c r="I898" s="28" t="s">
        <v>30</v>
      </c>
    </row>
    <row r="899" spans="1:11" ht="12.75">
      <c r="A899" s="16" t="s">
        <v>904</v>
      </c>
      <c r="B899" s="17">
        <v>90000</v>
      </c>
      <c r="C899" s="17">
        <f t="shared" si="236"/>
        <v>1575.0000000000002</v>
      </c>
      <c r="D899" s="18">
        <v>45862</v>
      </c>
      <c r="E899" s="16" t="s">
        <v>394</v>
      </c>
      <c r="F899" s="16" t="s">
        <v>28</v>
      </c>
      <c r="H899" s="24" t="s">
        <v>98</v>
      </c>
      <c r="K899" s="16">
        <v>270</v>
      </c>
    </row>
    <row r="900" spans="1:11" ht="12.75">
      <c r="A900" s="16" t="s">
        <v>905</v>
      </c>
      <c r="B900" s="17">
        <v>1100000</v>
      </c>
      <c r="C900" s="17">
        <f t="shared" ref="C900:C906" si="237">0.0125*B900</f>
        <v>13750</v>
      </c>
      <c r="D900" s="18">
        <v>45862</v>
      </c>
      <c r="E900" s="16" t="s">
        <v>11</v>
      </c>
      <c r="F900" s="16" t="s">
        <v>12</v>
      </c>
    </row>
    <row r="901" spans="1:11" ht="12.75">
      <c r="A901" s="16" t="s">
        <v>906</v>
      </c>
      <c r="B901" s="17">
        <v>300000</v>
      </c>
      <c r="C901" s="17">
        <f t="shared" si="237"/>
        <v>3750</v>
      </c>
      <c r="D901" s="18">
        <v>45862</v>
      </c>
      <c r="E901" s="16" t="s">
        <v>24</v>
      </c>
      <c r="F901" s="16" t="s">
        <v>12</v>
      </c>
      <c r="H901" s="16" t="s">
        <v>797</v>
      </c>
    </row>
    <row r="902" spans="1:11" ht="12.75">
      <c r="A902" s="16" t="s">
        <v>199</v>
      </c>
      <c r="B902" s="17">
        <v>250000</v>
      </c>
      <c r="C902" s="17">
        <f t="shared" si="237"/>
        <v>3125</v>
      </c>
      <c r="D902" s="18">
        <v>45862</v>
      </c>
      <c r="E902" s="16" t="s">
        <v>11</v>
      </c>
      <c r="F902" s="16" t="s">
        <v>12</v>
      </c>
    </row>
    <row r="903" spans="1:11" ht="12.75">
      <c r="A903" s="16" t="s">
        <v>907</v>
      </c>
      <c r="B903" s="17">
        <v>45000</v>
      </c>
      <c r="C903" s="17">
        <f t="shared" si="237"/>
        <v>562.5</v>
      </c>
      <c r="D903" s="18">
        <v>45862</v>
      </c>
      <c r="E903" s="16" t="s">
        <v>60</v>
      </c>
      <c r="F903" s="16" t="s">
        <v>12</v>
      </c>
    </row>
    <row r="904" spans="1:11" ht="12.75">
      <c r="A904" s="16" t="s">
        <v>908</v>
      </c>
      <c r="B904" s="17">
        <v>60000</v>
      </c>
      <c r="C904" s="17">
        <f t="shared" si="237"/>
        <v>750</v>
      </c>
      <c r="D904" s="18">
        <v>45862</v>
      </c>
      <c r="E904" s="16" t="s">
        <v>11</v>
      </c>
      <c r="F904" s="16" t="s">
        <v>12</v>
      </c>
    </row>
    <row r="905" spans="1:11" ht="12.75">
      <c r="A905" s="16" t="s">
        <v>688</v>
      </c>
      <c r="B905" s="17">
        <v>75000</v>
      </c>
      <c r="C905" s="17">
        <f t="shared" si="237"/>
        <v>937.5</v>
      </c>
      <c r="D905" s="18">
        <v>45862</v>
      </c>
      <c r="E905" s="16" t="s">
        <v>11</v>
      </c>
      <c r="F905" s="16" t="s">
        <v>12</v>
      </c>
    </row>
    <row r="906" spans="1:11" ht="12.75">
      <c r="A906" s="16" t="s">
        <v>909</v>
      </c>
      <c r="B906" s="17">
        <v>43500</v>
      </c>
      <c r="C906" s="17">
        <f t="shared" si="237"/>
        <v>543.75</v>
      </c>
      <c r="D906" s="18">
        <v>45862</v>
      </c>
      <c r="E906" s="16" t="s">
        <v>11</v>
      </c>
      <c r="F906" s="16" t="s">
        <v>12</v>
      </c>
      <c r="H906" s="16"/>
      <c r="I906" s="28"/>
      <c r="K906" s="16"/>
    </row>
    <row r="907" spans="1:11" ht="12.75">
      <c r="A907" s="16" t="s">
        <v>910</v>
      </c>
      <c r="B907" s="17">
        <v>1250000</v>
      </c>
      <c r="C907" s="17">
        <f t="shared" ref="C907:C908" si="238">0.0175*B907</f>
        <v>21875.000000000004</v>
      </c>
      <c r="D907" s="18">
        <v>45862</v>
      </c>
      <c r="E907" s="16" t="s">
        <v>911</v>
      </c>
      <c r="F907" s="16" t="s">
        <v>28</v>
      </c>
      <c r="H907" s="16" t="s">
        <v>912</v>
      </c>
      <c r="I907" s="28" t="s">
        <v>30</v>
      </c>
      <c r="K907" s="16">
        <v>625</v>
      </c>
    </row>
    <row r="908" spans="1:11" ht="12.75">
      <c r="A908" s="16" t="s">
        <v>913</v>
      </c>
      <c r="B908" s="17">
        <v>60000</v>
      </c>
      <c r="C908" s="17">
        <f t="shared" si="238"/>
        <v>1050</v>
      </c>
      <c r="D908" s="18">
        <v>45862</v>
      </c>
      <c r="E908" s="16" t="s">
        <v>11</v>
      </c>
      <c r="F908" s="16" t="s">
        <v>28</v>
      </c>
      <c r="I908" s="28" t="s">
        <v>30</v>
      </c>
    </row>
    <row r="909" spans="1:11" ht="12.75">
      <c r="A909" s="16" t="s">
        <v>914</v>
      </c>
      <c r="B909" s="17">
        <v>125000</v>
      </c>
      <c r="C909" s="17">
        <f>0.0125*B909</f>
        <v>1562.5</v>
      </c>
      <c r="D909" s="18">
        <v>45863</v>
      </c>
      <c r="E909" s="16" t="s">
        <v>15</v>
      </c>
      <c r="F909" s="16" t="s">
        <v>12</v>
      </c>
      <c r="H909" s="24" t="s">
        <v>51</v>
      </c>
      <c r="K909" s="16">
        <v>625</v>
      </c>
    </row>
    <row r="910" spans="1:11" ht="12.75">
      <c r="A910" s="16" t="s">
        <v>915</v>
      </c>
      <c r="B910" s="17">
        <v>350000</v>
      </c>
      <c r="C910" s="17">
        <f t="shared" ref="C910:C915" si="239">0.0175*B910</f>
        <v>6125.0000000000009</v>
      </c>
      <c r="D910" s="18">
        <v>45863</v>
      </c>
      <c r="E910" s="16" t="s">
        <v>916</v>
      </c>
      <c r="F910" s="16" t="s">
        <v>28</v>
      </c>
      <c r="I910" s="28" t="s">
        <v>30</v>
      </c>
    </row>
    <row r="911" spans="1:11" ht="12.75">
      <c r="A911" s="16" t="s">
        <v>917</v>
      </c>
      <c r="B911" s="17">
        <v>500000</v>
      </c>
      <c r="C911" s="17">
        <f t="shared" si="239"/>
        <v>8750</v>
      </c>
      <c r="D911" s="18">
        <v>45863</v>
      </c>
      <c r="E911" s="16" t="s">
        <v>24</v>
      </c>
      <c r="F911" s="16" t="s">
        <v>28</v>
      </c>
      <c r="H911" s="16" t="s">
        <v>642</v>
      </c>
      <c r="I911" s="28" t="s">
        <v>30</v>
      </c>
    </row>
    <row r="912" spans="1:11" ht="12.75">
      <c r="A912" s="16" t="s">
        <v>918</v>
      </c>
      <c r="B912" s="17">
        <v>200000</v>
      </c>
      <c r="C912" s="17">
        <f t="shared" si="239"/>
        <v>3500.0000000000005</v>
      </c>
      <c r="D912" s="18">
        <v>45863</v>
      </c>
      <c r="E912" s="16" t="s">
        <v>11</v>
      </c>
      <c r="F912" s="16" t="s">
        <v>28</v>
      </c>
      <c r="I912" s="28" t="s">
        <v>30</v>
      </c>
    </row>
    <row r="913" spans="1:9" ht="12.75">
      <c r="A913" s="16" t="s">
        <v>919</v>
      </c>
      <c r="B913" s="17">
        <v>25000</v>
      </c>
      <c r="C913" s="17">
        <f t="shared" si="239"/>
        <v>437.50000000000006</v>
      </c>
      <c r="D913" s="18">
        <v>45863</v>
      </c>
      <c r="E913" s="16" t="s">
        <v>60</v>
      </c>
      <c r="F913" s="16" t="s">
        <v>28</v>
      </c>
      <c r="I913" s="28" t="s">
        <v>30</v>
      </c>
    </row>
    <row r="914" spans="1:9" ht="12.75">
      <c r="A914" s="16" t="s">
        <v>920</v>
      </c>
      <c r="B914" s="17">
        <v>250000</v>
      </c>
      <c r="C914" s="17">
        <f t="shared" si="239"/>
        <v>4375</v>
      </c>
      <c r="D914" s="18">
        <v>45863</v>
      </c>
      <c r="E914" s="16" t="s">
        <v>24</v>
      </c>
      <c r="F914" s="16" t="s">
        <v>28</v>
      </c>
      <c r="H914" s="16" t="s">
        <v>642</v>
      </c>
      <c r="I914" s="28" t="s">
        <v>30</v>
      </c>
    </row>
    <row r="915" spans="1:9" ht="12.75">
      <c r="A915" s="16" t="s">
        <v>597</v>
      </c>
      <c r="B915" s="17">
        <v>80000</v>
      </c>
      <c r="C915" s="17">
        <f t="shared" si="239"/>
        <v>1400.0000000000002</v>
      </c>
      <c r="D915" s="18">
        <v>45863</v>
      </c>
      <c r="E915" s="16" t="s">
        <v>11</v>
      </c>
      <c r="F915" s="16" t="s">
        <v>41</v>
      </c>
    </row>
    <row r="916" spans="1:9" ht="12.75">
      <c r="A916" s="16" t="s">
        <v>921</v>
      </c>
      <c r="B916" s="17">
        <v>300000</v>
      </c>
      <c r="C916" s="17">
        <f>0.0125*B916</f>
        <v>3750</v>
      </c>
      <c r="D916" s="18">
        <v>45863</v>
      </c>
      <c r="E916" s="16" t="s">
        <v>75</v>
      </c>
      <c r="F916" s="16" t="s">
        <v>12</v>
      </c>
    </row>
    <row r="917" spans="1:9" ht="12.75">
      <c r="A917" s="16" t="s">
        <v>922</v>
      </c>
      <c r="B917" s="17">
        <v>75000</v>
      </c>
      <c r="C917" s="17">
        <f>0.0175*B917</f>
        <v>1312.5000000000002</v>
      </c>
      <c r="D917" s="18">
        <v>45866</v>
      </c>
      <c r="E917" s="16" t="s">
        <v>24</v>
      </c>
      <c r="F917" s="16" t="s">
        <v>28</v>
      </c>
      <c r="H917" s="16" t="s">
        <v>642</v>
      </c>
      <c r="I917" s="28" t="s">
        <v>30</v>
      </c>
    </row>
    <row r="918" spans="1:9" ht="12.75">
      <c r="A918" s="16" t="s">
        <v>112</v>
      </c>
      <c r="B918" s="17">
        <v>120000</v>
      </c>
      <c r="C918" s="17">
        <f>0.0125*B918</f>
        <v>1500</v>
      </c>
      <c r="D918" s="18">
        <v>45866</v>
      </c>
      <c r="E918" s="16" t="s">
        <v>11</v>
      </c>
      <c r="F918" s="16" t="s">
        <v>12</v>
      </c>
    </row>
    <row r="919" spans="1:9" ht="12.75">
      <c r="A919" s="16" t="s">
        <v>923</v>
      </c>
      <c r="B919" s="17">
        <v>30000</v>
      </c>
      <c r="C919" s="17">
        <f t="shared" ref="C919:C925" si="240">0.0175*B919</f>
        <v>525</v>
      </c>
      <c r="D919" s="18">
        <v>45867</v>
      </c>
      <c r="E919" s="16" t="s">
        <v>24</v>
      </c>
      <c r="F919" s="16" t="s">
        <v>28</v>
      </c>
      <c r="H919" s="16" t="s">
        <v>924</v>
      </c>
      <c r="I919" s="28" t="s">
        <v>30</v>
      </c>
    </row>
    <row r="920" spans="1:9" ht="12.75">
      <c r="A920" s="16" t="s">
        <v>925</v>
      </c>
      <c r="B920" s="17">
        <v>1050000</v>
      </c>
      <c r="C920" s="17">
        <f t="shared" si="240"/>
        <v>18375</v>
      </c>
      <c r="D920" s="18">
        <v>45867</v>
      </c>
      <c r="E920" s="16" t="s">
        <v>926</v>
      </c>
      <c r="F920" s="16" t="s">
        <v>12</v>
      </c>
    </row>
    <row r="921" spans="1:9" ht="12.75">
      <c r="A921" s="16" t="s">
        <v>927</v>
      </c>
      <c r="B921" s="17">
        <v>150000</v>
      </c>
      <c r="C921" s="17">
        <f t="shared" si="240"/>
        <v>2625.0000000000005</v>
      </c>
      <c r="D921" s="18">
        <v>45867</v>
      </c>
      <c r="E921" s="16" t="s">
        <v>24</v>
      </c>
      <c r="F921" s="16" t="s">
        <v>28</v>
      </c>
      <c r="H921" s="16" t="s">
        <v>642</v>
      </c>
      <c r="I921" s="28" t="s">
        <v>30</v>
      </c>
    </row>
    <row r="922" spans="1:9" ht="12.75">
      <c r="A922" s="16" t="s">
        <v>928</v>
      </c>
      <c r="B922" s="17">
        <v>125000</v>
      </c>
      <c r="C922" s="17">
        <f t="shared" si="240"/>
        <v>2187.5</v>
      </c>
      <c r="D922" s="18">
        <v>45867</v>
      </c>
      <c r="E922" s="16" t="s">
        <v>11</v>
      </c>
      <c r="F922" s="16" t="s">
        <v>28</v>
      </c>
      <c r="I922" s="28" t="s">
        <v>30</v>
      </c>
    </row>
    <row r="923" spans="1:9" ht="12.75">
      <c r="A923" s="16" t="s">
        <v>929</v>
      </c>
      <c r="B923" s="17">
        <v>60000</v>
      </c>
      <c r="C923" s="17">
        <f t="shared" si="240"/>
        <v>1050</v>
      </c>
      <c r="D923" s="18">
        <v>45867</v>
      </c>
      <c r="E923" s="16" t="s">
        <v>60</v>
      </c>
      <c r="F923" s="16" t="s">
        <v>41</v>
      </c>
    </row>
    <row r="924" spans="1:9" ht="12.75">
      <c r="A924" s="16" t="s">
        <v>930</v>
      </c>
      <c r="B924" s="17">
        <v>300000</v>
      </c>
      <c r="C924" s="17">
        <f t="shared" si="240"/>
        <v>5250.0000000000009</v>
      </c>
      <c r="D924" s="18">
        <v>45867</v>
      </c>
      <c r="E924" s="16" t="s">
        <v>21</v>
      </c>
      <c r="F924" s="16" t="s">
        <v>41</v>
      </c>
    </row>
    <row r="925" spans="1:9" ht="12.75">
      <c r="A925" s="16" t="s">
        <v>931</v>
      </c>
      <c r="B925" s="17">
        <v>100000</v>
      </c>
      <c r="C925" s="17">
        <f t="shared" si="240"/>
        <v>1750.0000000000002</v>
      </c>
      <c r="D925" s="18">
        <v>45867</v>
      </c>
      <c r="E925" s="16" t="s">
        <v>11</v>
      </c>
      <c r="F925" s="16" t="s">
        <v>41</v>
      </c>
    </row>
    <row r="926" spans="1:9" ht="12.75">
      <c r="A926" s="16" t="s">
        <v>932</v>
      </c>
      <c r="B926" s="17">
        <v>450000</v>
      </c>
      <c r="C926" s="17">
        <f t="shared" ref="C926:C927" si="241">0.0125*B926</f>
        <v>5625</v>
      </c>
      <c r="D926" s="18">
        <v>45867</v>
      </c>
      <c r="E926" s="16" t="s">
        <v>116</v>
      </c>
      <c r="F926" s="16" t="s">
        <v>12</v>
      </c>
      <c r="H926" s="16" t="s">
        <v>22</v>
      </c>
    </row>
    <row r="927" spans="1:9" ht="12.75">
      <c r="A927" s="16" t="s">
        <v>933</v>
      </c>
      <c r="B927" s="17">
        <v>300000</v>
      </c>
      <c r="C927" s="17">
        <f t="shared" si="241"/>
        <v>3750</v>
      </c>
      <c r="D927" s="18">
        <v>45867</v>
      </c>
      <c r="E927" s="16" t="s">
        <v>60</v>
      </c>
      <c r="F927" s="16" t="s">
        <v>12</v>
      </c>
    </row>
    <row r="928" spans="1:9" ht="12.75">
      <c r="A928" s="16" t="s">
        <v>934</v>
      </c>
      <c r="B928" s="17">
        <v>500000</v>
      </c>
      <c r="C928" s="17">
        <f>0.0175*B928</f>
        <v>8750</v>
      </c>
      <c r="D928" s="18">
        <v>45868</v>
      </c>
      <c r="E928" s="16" t="s">
        <v>935</v>
      </c>
      <c r="F928" s="16" t="s">
        <v>41</v>
      </c>
      <c r="H928" s="16" t="s">
        <v>22</v>
      </c>
    </row>
    <row r="929" spans="1:11" ht="12.75">
      <c r="A929" s="16" t="s">
        <v>798</v>
      </c>
      <c r="B929" s="17">
        <v>67000</v>
      </c>
      <c r="C929" s="17">
        <f t="shared" ref="C929:C931" si="242">0.0125*B929</f>
        <v>837.5</v>
      </c>
      <c r="D929" s="18">
        <v>45868</v>
      </c>
      <c r="E929" s="16" t="s">
        <v>24</v>
      </c>
      <c r="F929" s="16" t="s">
        <v>12</v>
      </c>
      <c r="H929" s="16" t="s">
        <v>936</v>
      </c>
    </row>
    <row r="930" spans="1:11" ht="12.75">
      <c r="A930" s="16" t="s">
        <v>937</v>
      </c>
      <c r="B930" s="17">
        <v>1200000</v>
      </c>
      <c r="C930" s="17">
        <f t="shared" si="242"/>
        <v>15000</v>
      </c>
      <c r="D930" s="18">
        <v>45868</v>
      </c>
      <c r="E930" s="16" t="s">
        <v>21</v>
      </c>
      <c r="F930" s="16" t="s">
        <v>12</v>
      </c>
    </row>
    <row r="931" spans="1:11" ht="12.75">
      <c r="A931" s="16" t="s">
        <v>633</v>
      </c>
      <c r="B931" s="17">
        <v>17500</v>
      </c>
      <c r="C931" s="17">
        <f t="shared" si="242"/>
        <v>218.75</v>
      </c>
      <c r="D931" s="18">
        <v>45868</v>
      </c>
      <c r="E931" s="16" t="s">
        <v>15</v>
      </c>
      <c r="F931" s="16" t="s">
        <v>12</v>
      </c>
      <c r="H931" s="24" t="s">
        <v>54</v>
      </c>
      <c r="K931" s="16">
        <v>105</v>
      </c>
    </row>
    <row r="932" spans="1:11" ht="12.75">
      <c r="A932" s="16" t="s">
        <v>938</v>
      </c>
      <c r="B932" s="17">
        <v>500000</v>
      </c>
      <c r="C932" s="17">
        <f>0.0175*B932</f>
        <v>8750</v>
      </c>
      <c r="D932" s="18">
        <v>45868</v>
      </c>
      <c r="E932" s="16" t="s">
        <v>939</v>
      </c>
      <c r="F932" s="16" t="s">
        <v>28</v>
      </c>
      <c r="H932" s="16" t="s">
        <v>13</v>
      </c>
      <c r="I932" s="28" t="s">
        <v>30</v>
      </c>
    </row>
    <row r="933" spans="1:11" ht="12.75">
      <c r="A933" s="16" t="s">
        <v>940</v>
      </c>
      <c r="B933" s="17">
        <v>350000</v>
      </c>
      <c r="C933" s="17">
        <f>0.0125*B933</f>
        <v>4375</v>
      </c>
      <c r="D933" s="18">
        <v>45868</v>
      </c>
      <c r="E933" s="16" t="s">
        <v>11</v>
      </c>
      <c r="F933" s="16" t="s">
        <v>12</v>
      </c>
    </row>
    <row r="934" spans="1:11" ht="12.75">
      <c r="A934" s="16" t="s">
        <v>941</v>
      </c>
      <c r="B934" s="17">
        <v>100000</v>
      </c>
      <c r="C934" s="17">
        <f>0.0175*B934</f>
        <v>1750.0000000000002</v>
      </c>
      <c r="D934" s="18">
        <v>45868</v>
      </c>
      <c r="E934" s="16" t="s">
        <v>15</v>
      </c>
      <c r="F934" s="16" t="s">
        <v>28</v>
      </c>
      <c r="H934" s="24" t="s">
        <v>98</v>
      </c>
      <c r="K934" s="16">
        <v>300</v>
      </c>
    </row>
    <row r="935" spans="1:11" ht="12.75">
      <c r="A935" s="16" t="s">
        <v>942</v>
      </c>
      <c r="B935" s="17">
        <v>450000</v>
      </c>
      <c r="C935" s="17">
        <v>0</v>
      </c>
      <c r="D935" s="18">
        <v>45868</v>
      </c>
      <c r="E935" s="16" t="s">
        <v>943</v>
      </c>
      <c r="F935" s="16" t="s">
        <v>28</v>
      </c>
      <c r="H935" s="16" t="s">
        <v>944</v>
      </c>
    </row>
    <row r="936" spans="1:11" ht="12.75">
      <c r="A936" s="16" t="s">
        <v>945</v>
      </c>
      <c r="B936" s="17">
        <v>300000</v>
      </c>
      <c r="C936" s="17">
        <f>0.0175*B936</f>
        <v>5250.0000000000009</v>
      </c>
      <c r="D936" s="18">
        <v>45868</v>
      </c>
      <c r="E936" s="16" t="s">
        <v>899</v>
      </c>
      <c r="F936" s="16" t="s">
        <v>28</v>
      </c>
      <c r="I936" s="28" t="s">
        <v>30</v>
      </c>
    </row>
    <row r="937" spans="1:11" ht="12.75">
      <c r="A937" s="16" t="s">
        <v>946</v>
      </c>
      <c r="B937" s="17">
        <v>200000</v>
      </c>
      <c r="C937" s="17">
        <f>0.0125*B937</f>
        <v>2500</v>
      </c>
      <c r="D937" s="18">
        <v>45868</v>
      </c>
      <c r="E937" s="16" t="s">
        <v>15</v>
      </c>
      <c r="F937" s="16" t="s">
        <v>12</v>
      </c>
      <c r="H937" s="24" t="s">
        <v>51</v>
      </c>
      <c r="K937" s="16">
        <v>1000</v>
      </c>
    </row>
    <row r="938" spans="1:11" ht="12.75">
      <c r="A938" s="16" t="s">
        <v>813</v>
      </c>
      <c r="B938" s="17">
        <v>100000</v>
      </c>
      <c r="C938" s="17">
        <f t="shared" ref="C938:C939" si="243">0.0175*B938</f>
        <v>1750.0000000000002</v>
      </c>
      <c r="D938" s="18">
        <v>45869</v>
      </c>
      <c r="E938" s="16" t="s">
        <v>11</v>
      </c>
      <c r="F938" s="16" t="s">
        <v>67</v>
      </c>
      <c r="I938" s="28" t="s">
        <v>30</v>
      </c>
    </row>
    <row r="939" spans="1:11" ht="12.75">
      <c r="A939" s="16" t="s">
        <v>947</v>
      </c>
      <c r="B939" s="17">
        <v>50000</v>
      </c>
      <c r="C939" s="17">
        <f t="shared" si="243"/>
        <v>875.00000000000011</v>
      </c>
      <c r="D939" s="18">
        <v>45869</v>
      </c>
      <c r="E939" s="16" t="s">
        <v>11</v>
      </c>
      <c r="F939" s="16" t="s">
        <v>28</v>
      </c>
      <c r="I939" s="28" t="s">
        <v>30</v>
      </c>
    </row>
    <row r="940" spans="1:11" ht="12.75">
      <c r="A940" s="16" t="s">
        <v>467</v>
      </c>
      <c r="B940" s="17">
        <v>60000</v>
      </c>
      <c r="C940" s="17">
        <f>0.0125*B940</f>
        <v>750</v>
      </c>
      <c r="D940" s="18">
        <v>45869</v>
      </c>
      <c r="E940" s="16" t="s">
        <v>24</v>
      </c>
      <c r="F940" s="16" t="s">
        <v>12</v>
      </c>
      <c r="H940" s="16" t="s">
        <v>948</v>
      </c>
    </row>
    <row r="941" spans="1:11" ht="12.75">
      <c r="A941" s="16" t="s">
        <v>949</v>
      </c>
      <c r="B941" s="17">
        <v>60000</v>
      </c>
      <c r="C941" s="17">
        <f t="shared" ref="C941:C944" si="244">0.0175*B941</f>
        <v>1050</v>
      </c>
      <c r="D941" s="18">
        <v>45869</v>
      </c>
      <c r="E941" s="16" t="s">
        <v>60</v>
      </c>
      <c r="F941" s="16" t="s">
        <v>67</v>
      </c>
    </row>
    <row r="942" spans="1:11" ht="12.75">
      <c r="A942" s="16" t="s">
        <v>950</v>
      </c>
      <c r="B942" s="17">
        <v>25000</v>
      </c>
      <c r="C942" s="17">
        <f t="shared" si="244"/>
        <v>437.50000000000006</v>
      </c>
      <c r="D942" s="18">
        <v>45869</v>
      </c>
      <c r="E942" s="16" t="s">
        <v>951</v>
      </c>
      <c r="F942" s="16" t="s">
        <v>28</v>
      </c>
      <c r="H942" s="16" t="s">
        <v>13</v>
      </c>
      <c r="I942" s="28" t="s">
        <v>30</v>
      </c>
    </row>
    <row r="943" spans="1:11" ht="12.75">
      <c r="A943" s="16" t="s">
        <v>952</v>
      </c>
      <c r="B943" s="17">
        <v>50000</v>
      </c>
      <c r="C943" s="17">
        <f t="shared" si="244"/>
        <v>875.00000000000011</v>
      </c>
      <c r="D943" s="18">
        <v>45869</v>
      </c>
      <c r="E943" s="16" t="s">
        <v>15</v>
      </c>
      <c r="F943" s="16" t="s">
        <v>28</v>
      </c>
      <c r="H943" s="24" t="s">
        <v>51</v>
      </c>
      <c r="K943" s="16">
        <v>250</v>
      </c>
    </row>
    <row r="944" spans="1:11" ht="12.75">
      <c r="A944" s="16" t="s">
        <v>953</v>
      </c>
      <c r="B944" s="17">
        <v>15000</v>
      </c>
      <c r="C944" s="17">
        <f t="shared" si="244"/>
        <v>262.5</v>
      </c>
      <c r="D944" s="18">
        <v>45869</v>
      </c>
      <c r="E944" s="16" t="s">
        <v>15</v>
      </c>
      <c r="F944" s="16" t="s">
        <v>28</v>
      </c>
      <c r="H944" s="24" t="s">
        <v>54</v>
      </c>
      <c r="I944" s="28" t="s">
        <v>30</v>
      </c>
      <c r="K944" s="16">
        <v>90</v>
      </c>
    </row>
    <row r="945" spans="1:11" ht="12.75">
      <c r="A945" s="16" t="s">
        <v>603</v>
      </c>
      <c r="B945" s="17">
        <v>107500</v>
      </c>
      <c r="C945" s="17">
        <f>0.0125*B945</f>
        <v>1343.75</v>
      </c>
      <c r="D945" s="18">
        <v>45869</v>
      </c>
      <c r="E945" s="16" t="s">
        <v>11</v>
      </c>
      <c r="F945" s="16" t="s">
        <v>12</v>
      </c>
    </row>
    <row r="946" spans="1:11" ht="12.75">
      <c r="A946" s="16" t="s">
        <v>954</v>
      </c>
      <c r="B946" s="17">
        <v>135000</v>
      </c>
      <c r="C946" s="17">
        <f>0.0175*B946</f>
        <v>2362.5</v>
      </c>
      <c r="D946" s="18">
        <v>45869</v>
      </c>
      <c r="E946" s="16" t="s">
        <v>24</v>
      </c>
      <c r="F946" s="16" t="s">
        <v>28</v>
      </c>
      <c r="H946" s="16" t="s">
        <v>642</v>
      </c>
    </row>
    <row r="947" spans="1:11" ht="12.75">
      <c r="A947" s="16" t="s">
        <v>955</v>
      </c>
      <c r="B947" s="17">
        <v>220000</v>
      </c>
      <c r="C947" s="17">
        <f t="shared" ref="C947:C948" si="245">0.0125*B947</f>
        <v>2750</v>
      </c>
      <c r="D947" s="18">
        <v>45869</v>
      </c>
      <c r="E947" s="16" t="s">
        <v>935</v>
      </c>
      <c r="F947" s="16" t="s">
        <v>12</v>
      </c>
      <c r="H947" s="16" t="s">
        <v>22</v>
      </c>
    </row>
    <row r="948" spans="1:11" ht="12.75">
      <c r="A948" s="16" t="s">
        <v>956</v>
      </c>
      <c r="B948" s="17">
        <v>45000</v>
      </c>
      <c r="C948" s="17">
        <f t="shared" si="245"/>
        <v>562.5</v>
      </c>
      <c r="D948" s="18">
        <v>45869</v>
      </c>
      <c r="E948" s="16" t="s">
        <v>60</v>
      </c>
      <c r="F948" s="16" t="s">
        <v>12</v>
      </c>
    </row>
    <row r="949" spans="1:11" ht="12.75">
      <c r="A949" s="11">
        <v>45870</v>
      </c>
      <c r="B949" s="12">
        <f t="shared" ref="B949:C949" si="246">SUM(B950:B1078)</f>
        <v>29383500</v>
      </c>
      <c r="C949" s="12">
        <f t="shared" si="246"/>
        <v>425153.75</v>
      </c>
      <c r="D949" s="13"/>
      <c r="E949" s="14"/>
      <c r="F949" s="14"/>
      <c r="G949" s="14"/>
      <c r="H949" s="15"/>
      <c r="I949" s="15"/>
      <c r="J949" s="15"/>
      <c r="K949" s="15"/>
    </row>
    <row r="950" spans="1:11" ht="12.75">
      <c r="A950" s="16" t="s">
        <v>499</v>
      </c>
      <c r="B950" s="17">
        <v>500000</v>
      </c>
      <c r="C950" s="17">
        <f t="shared" ref="C950:C951" si="247">0.0125*B950</f>
        <v>6250</v>
      </c>
      <c r="D950" s="18">
        <v>45870</v>
      </c>
      <c r="E950" s="16" t="s">
        <v>15</v>
      </c>
      <c r="F950" s="16" t="s">
        <v>12</v>
      </c>
      <c r="H950" s="24" t="s">
        <v>149</v>
      </c>
      <c r="K950" s="16">
        <v>1250</v>
      </c>
    </row>
    <row r="951" spans="1:11" ht="12.75">
      <c r="A951" s="16" t="s">
        <v>957</v>
      </c>
      <c r="B951" s="17">
        <v>41000</v>
      </c>
      <c r="C951" s="17">
        <f t="shared" si="247"/>
        <v>512.5</v>
      </c>
      <c r="D951" s="18">
        <v>45870</v>
      </c>
      <c r="E951" s="16" t="s">
        <v>15</v>
      </c>
      <c r="F951" s="16" t="s">
        <v>12</v>
      </c>
      <c r="H951" s="24" t="s">
        <v>54</v>
      </c>
      <c r="K951" s="16">
        <v>246</v>
      </c>
    </row>
    <row r="952" spans="1:11" ht="12.75">
      <c r="A952" s="16" t="s">
        <v>958</v>
      </c>
      <c r="B952" s="17">
        <v>600000</v>
      </c>
      <c r="C952" s="17">
        <f t="shared" ref="C952:C958" si="248">0.0175*B952</f>
        <v>10500.000000000002</v>
      </c>
      <c r="D952" s="18">
        <v>45870</v>
      </c>
      <c r="E952" s="16" t="s">
        <v>24</v>
      </c>
      <c r="F952" s="16" t="s">
        <v>28</v>
      </c>
      <c r="H952" s="16" t="s">
        <v>642</v>
      </c>
      <c r="I952" s="28" t="s">
        <v>30</v>
      </c>
    </row>
    <row r="953" spans="1:11" ht="12.75">
      <c r="A953" s="16" t="s">
        <v>959</v>
      </c>
      <c r="B953" s="17">
        <v>50000</v>
      </c>
      <c r="C953" s="17">
        <f t="shared" si="248"/>
        <v>875.00000000000011</v>
      </c>
      <c r="D953" s="18">
        <v>45870</v>
      </c>
      <c r="E953" s="16" t="s">
        <v>11</v>
      </c>
      <c r="F953" s="16" t="s">
        <v>28</v>
      </c>
      <c r="I953" s="28" t="s">
        <v>30</v>
      </c>
    </row>
    <row r="954" spans="1:11" ht="12.75">
      <c r="A954" s="16" t="s">
        <v>960</v>
      </c>
      <c r="B954" s="17">
        <v>160000</v>
      </c>
      <c r="C954" s="17">
        <f t="shared" si="248"/>
        <v>2800.0000000000005</v>
      </c>
      <c r="D954" s="18">
        <v>45870</v>
      </c>
      <c r="E954" s="16" t="s">
        <v>15</v>
      </c>
      <c r="F954" s="16" t="s">
        <v>28</v>
      </c>
      <c r="H954" s="24" t="s">
        <v>149</v>
      </c>
      <c r="I954" s="28" t="s">
        <v>30</v>
      </c>
      <c r="K954" s="16">
        <v>412.5</v>
      </c>
    </row>
    <row r="955" spans="1:11" ht="12.75">
      <c r="A955" s="16" t="s">
        <v>961</v>
      </c>
      <c r="B955" s="17">
        <v>95000</v>
      </c>
      <c r="C955" s="17">
        <f t="shared" si="248"/>
        <v>1662.5000000000002</v>
      </c>
      <c r="D955" s="18">
        <v>45870</v>
      </c>
      <c r="E955" s="16" t="s">
        <v>15</v>
      </c>
      <c r="F955" s="16" t="s">
        <v>28</v>
      </c>
      <c r="H955" s="24" t="s">
        <v>149</v>
      </c>
      <c r="I955" s="28" t="s">
        <v>30</v>
      </c>
      <c r="K955" s="16">
        <v>237.5</v>
      </c>
    </row>
    <row r="956" spans="1:11" ht="12.75">
      <c r="A956" s="16" t="s">
        <v>962</v>
      </c>
      <c r="B956" s="17">
        <v>95000</v>
      </c>
      <c r="C956" s="17">
        <f t="shared" si="248"/>
        <v>1662.5000000000002</v>
      </c>
      <c r="D956" s="18">
        <v>45870</v>
      </c>
      <c r="E956" s="16" t="s">
        <v>15</v>
      </c>
      <c r="F956" s="16" t="s">
        <v>28</v>
      </c>
      <c r="H956" s="24" t="s">
        <v>149</v>
      </c>
      <c r="I956" s="28" t="s">
        <v>30</v>
      </c>
      <c r="K956" s="16">
        <v>237.5</v>
      </c>
    </row>
    <row r="957" spans="1:11" ht="12.75">
      <c r="A957" s="16" t="s">
        <v>963</v>
      </c>
      <c r="B957" s="17">
        <v>300000</v>
      </c>
      <c r="C957" s="17">
        <f t="shared" si="248"/>
        <v>5250.0000000000009</v>
      </c>
      <c r="D957" s="18">
        <v>45873</v>
      </c>
      <c r="E957" s="16" t="s">
        <v>60</v>
      </c>
      <c r="F957" s="16" t="s">
        <v>28</v>
      </c>
      <c r="I957" s="28" t="s">
        <v>30</v>
      </c>
    </row>
    <row r="958" spans="1:11" ht="12.75">
      <c r="A958" s="16" t="s">
        <v>964</v>
      </c>
      <c r="B958" s="17">
        <v>250000</v>
      </c>
      <c r="C958" s="17">
        <f t="shared" si="248"/>
        <v>4375</v>
      </c>
      <c r="D958" s="18">
        <v>45873</v>
      </c>
      <c r="E958" s="16" t="s">
        <v>24</v>
      </c>
      <c r="F958" s="16" t="s">
        <v>41</v>
      </c>
      <c r="H958" s="16" t="s">
        <v>642</v>
      </c>
    </row>
    <row r="959" spans="1:11" ht="12.75">
      <c r="A959" s="16" t="s">
        <v>543</v>
      </c>
      <c r="B959" s="17">
        <v>30000</v>
      </c>
      <c r="C959" s="17">
        <f>0.0125*B959</f>
        <v>375</v>
      </c>
      <c r="D959" s="18">
        <v>45873</v>
      </c>
      <c r="E959" s="16" t="s">
        <v>73</v>
      </c>
      <c r="F959" s="16" t="s">
        <v>12</v>
      </c>
    </row>
    <row r="960" spans="1:11" ht="12.75">
      <c r="A960" s="16" t="s">
        <v>965</v>
      </c>
      <c r="B960" s="17">
        <v>20000</v>
      </c>
      <c r="C960" s="17">
        <f t="shared" ref="C960:C961" si="249">0.0175*B960</f>
        <v>350.00000000000006</v>
      </c>
      <c r="D960" s="18">
        <v>45873</v>
      </c>
      <c r="E960" s="16" t="s">
        <v>135</v>
      </c>
      <c r="F960" s="16" t="s">
        <v>28</v>
      </c>
      <c r="H960" s="16" t="s">
        <v>13</v>
      </c>
      <c r="I960" s="28" t="s">
        <v>30</v>
      </c>
    </row>
    <row r="961" spans="1:11" ht="12.75">
      <c r="A961" s="16" t="s">
        <v>966</v>
      </c>
      <c r="B961" s="17">
        <v>400000</v>
      </c>
      <c r="C961" s="17">
        <f t="shared" si="249"/>
        <v>7000.0000000000009</v>
      </c>
      <c r="D961" s="18">
        <v>45873</v>
      </c>
      <c r="E961" s="16" t="s">
        <v>40</v>
      </c>
      <c r="F961" s="16" t="s">
        <v>28</v>
      </c>
      <c r="I961" s="28" t="s">
        <v>30</v>
      </c>
    </row>
    <row r="962" spans="1:11" ht="12.75">
      <c r="A962" s="16" t="s">
        <v>967</v>
      </c>
      <c r="B962" s="17">
        <v>235000</v>
      </c>
      <c r="C962" s="17">
        <f t="shared" ref="C962:C964" si="250">0.0125*B962</f>
        <v>2937.5</v>
      </c>
      <c r="D962" s="18">
        <v>45873</v>
      </c>
      <c r="E962" s="16" t="s">
        <v>11</v>
      </c>
      <c r="F962" s="16" t="s">
        <v>12</v>
      </c>
    </row>
    <row r="963" spans="1:11" ht="12.75">
      <c r="A963" s="16" t="s">
        <v>968</v>
      </c>
      <c r="B963" s="17">
        <v>105000</v>
      </c>
      <c r="C963" s="17">
        <f t="shared" si="250"/>
        <v>1312.5</v>
      </c>
      <c r="D963" s="18">
        <v>45873</v>
      </c>
      <c r="E963" s="16" t="s">
        <v>15</v>
      </c>
      <c r="F963" s="16" t="s">
        <v>12</v>
      </c>
      <c r="H963" s="24" t="s">
        <v>54</v>
      </c>
      <c r="K963" s="16">
        <v>630</v>
      </c>
    </row>
    <row r="964" spans="1:11" ht="12.75">
      <c r="A964" s="16" t="s">
        <v>969</v>
      </c>
      <c r="B964" s="17">
        <v>85000</v>
      </c>
      <c r="C964" s="17">
        <f t="shared" si="250"/>
        <v>1062.5</v>
      </c>
      <c r="D964" s="18">
        <v>45873</v>
      </c>
      <c r="E964" s="16" t="s">
        <v>15</v>
      </c>
      <c r="F964" s="16" t="s">
        <v>12</v>
      </c>
      <c r="H964" s="24" t="s">
        <v>51</v>
      </c>
      <c r="K964" s="16">
        <v>425</v>
      </c>
    </row>
    <row r="965" spans="1:11" ht="12.75">
      <c r="A965" s="16" t="s">
        <v>970</v>
      </c>
      <c r="B965" s="17">
        <v>175000</v>
      </c>
      <c r="C965" s="17">
        <f t="shared" ref="C965:C966" si="251">0.0175*B965</f>
        <v>3062.5000000000005</v>
      </c>
      <c r="D965" s="18">
        <v>45874</v>
      </c>
      <c r="E965" s="16" t="s">
        <v>60</v>
      </c>
      <c r="F965" s="16" t="s">
        <v>28</v>
      </c>
      <c r="I965" s="28" t="s">
        <v>30</v>
      </c>
    </row>
    <row r="966" spans="1:11" ht="12.75">
      <c r="A966" s="16" t="s">
        <v>865</v>
      </c>
      <c r="B966" s="17">
        <v>100000</v>
      </c>
      <c r="C966" s="17">
        <f t="shared" si="251"/>
        <v>1750.0000000000002</v>
      </c>
      <c r="D966" s="18">
        <v>45874</v>
      </c>
      <c r="E966" s="16" t="s">
        <v>11</v>
      </c>
      <c r="F966" s="16" t="s">
        <v>28</v>
      </c>
      <c r="I966" s="28" t="s">
        <v>30</v>
      </c>
    </row>
    <row r="967" spans="1:11" ht="12.75">
      <c r="A967" s="16" t="s">
        <v>971</v>
      </c>
      <c r="B967" s="17">
        <v>500000</v>
      </c>
      <c r="C967" s="17">
        <f t="shared" ref="C967:C970" si="252">0.0125*B967</f>
        <v>6250</v>
      </c>
      <c r="D967" s="18">
        <v>45874</v>
      </c>
      <c r="E967" s="16" t="s">
        <v>60</v>
      </c>
      <c r="F967" s="16" t="s">
        <v>12</v>
      </c>
    </row>
    <row r="968" spans="1:11" ht="12.75">
      <c r="A968" s="16" t="s">
        <v>972</v>
      </c>
      <c r="B968" s="17">
        <v>30000</v>
      </c>
      <c r="C968" s="17">
        <f t="shared" si="252"/>
        <v>375</v>
      </c>
      <c r="D968" s="18">
        <v>45874</v>
      </c>
      <c r="E968" s="16" t="s">
        <v>11</v>
      </c>
      <c r="F968" s="16" t="s">
        <v>12</v>
      </c>
    </row>
    <row r="969" spans="1:11" ht="12.75">
      <c r="A969" s="16" t="s">
        <v>236</v>
      </c>
      <c r="B969" s="17">
        <v>20000</v>
      </c>
      <c r="C969" s="17">
        <f t="shared" si="252"/>
        <v>250</v>
      </c>
      <c r="D969" s="18">
        <v>45874</v>
      </c>
      <c r="E969" s="16" t="s">
        <v>15</v>
      </c>
      <c r="F969" s="16" t="s">
        <v>12</v>
      </c>
      <c r="H969" s="24" t="s">
        <v>54</v>
      </c>
      <c r="K969" s="16">
        <v>120</v>
      </c>
    </row>
    <row r="970" spans="1:11" ht="12.75">
      <c r="A970" s="16" t="s">
        <v>973</v>
      </c>
      <c r="B970" s="17">
        <v>35000</v>
      </c>
      <c r="C970" s="17">
        <f t="shared" si="252"/>
        <v>437.5</v>
      </c>
      <c r="D970" s="18">
        <v>45874</v>
      </c>
      <c r="E970" s="16" t="s">
        <v>15</v>
      </c>
      <c r="F970" s="16" t="s">
        <v>144</v>
      </c>
      <c r="H970" s="24" t="s">
        <v>54</v>
      </c>
      <c r="K970" s="16">
        <v>210</v>
      </c>
    </row>
    <row r="971" spans="1:11" ht="12.75">
      <c r="A971" s="16" t="s">
        <v>974</v>
      </c>
      <c r="B971" s="17">
        <v>30000</v>
      </c>
      <c r="C971" s="17">
        <f>0.0175*B971</f>
        <v>525</v>
      </c>
      <c r="D971" s="18">
        <v>45875</v>
      </c>
      <c r="E971" s="16" t="s">
        <v>939</v>
      </c>
      <c r="F971" s="16" t="s">
        <v>28</v>
      </c>
      <c r="H971" s="16" t="s">
        <v>13</v>
      </c>
      <c r="I971" s="28" t="s">
        <v>30</v>
      </c>
    </row>
    <row r="972" spans="1:11" ht="12.75">
      <c r="A972" s="16" t="s">
        <v>975</v>
      </c>
      <c r="B972" s="17">
        <v>170000</v>
      </c>
      <c r="C972" s="17">
        <f>0.0125*B972</f>
        <v>2125</v>
      </c>
      <c r="D972" s="18">
        <v>45875</v>
      </c>
      <c r="E972" s="16" t="s">
        <v>15</v>
      </c>
      <c r="F972" s="16" t="s">
        <v>12</v>
      </c>
      <c r="H972" s="24" t="s">
        <v>51</v>
      </c>
      <c r="K972" s="16">
        <v>850</v>
      </c>
    </row>
    <row r="973" spans="1:11" ht="12.75">
      <c r="A973" s="16" t="s">
        <v>976</v>
      </c>
      <c r="B973" s="17">
        <v>50000</v>
      </c>
      <c r="C973" s="17">
        <f>0.0175*B973</f>
        <v>875.00000000000011</v>
      </c>
      <c r="D973" s="18">
        <v>45875</v>
      </c>
      <c r="E973" s="16" t="s">
        <v>15</v>
      </c>
      <c r="F973" s="16" t="s">
        <v>28</v>
      </c>
      <c r="H973" s="24" t="s">
        <v>149</v>
      </c>
      <c r="K973" s="16">
        <v>125</v>
      </c>
    </row>
    <row r="974" spans="1:11" ht="12.75">
      <c r="A974" s="16" t="s">
        <v>977</v>
      </c>
      <c r="B974" s="17">
        <v>50000</v>
      </c>
      <c r="C974" s="17">
        <f>0.0125*B974</f>
        <v>625</v>
      </c>
      <c r="D974" s="18">
        <v>45875</v>
      </c>
      <c r="E974" s="16" t="s">
        <v>21</v>
      </c>
      <c r="F974" s="16" t="s">
        <v>144</v>
      </c>
      <c r="H974" s="16" t="s">
        <v>22</v>
      </c>
    </row>
    <row r="975" spans="1:11" ht="12.75">
      <c r="A975" s="16" t="s">
        <v>978</v>
      </c>
      <c r="B975" s="17">
        <v>75000</v>
      </c>
      <c r="C975" s="17">
        <f>0.0175*B975</f>
        <v>1312.5000000000002</v>
      </c>
      <c r="D975" s="18">
        <v>45875</v>
      </c>
      <c r="E975" s="16" t="s">
        <v>376</v>
      </c>
      <c r="F975" s="16" t="s">
        <v>28</v>
      </c>
      <c r="H975" s="16" t="s">
        <v>13</v>
      </c>
      <c r="I975" s="28" t="s">
        <v>30</v>
      </c>
    </row>
    <row r="976" spans="1:11" ht="12.75">
      <c r="A976" s="16" t="s">
        <v>86</v>
      </c>
      <c r="B976" s="17">
        <v>660000</v>
      </c>
      <c r="C976" s="17">
        <f t="shared" ref="C976:C977" si="253">0.0125*B976</f>
        <v>8250</v>
      </c>
      <c r="D976" s="18">
        <v>45875</v>
      </c>
      <c r="E976" s="16" t="s">
        <v>11</v>
      </c>
      <c r="F976" s="16" t="s">
        <v>12</v>
      </c>
    </row>
    <row r="977" spans="1:11" ht="12.75">
      <c r="A977" s="16" t="s">
        <v>979</v>
      </c>
      <c r="B977" s="17">
        <v>150000</v>
      </c>
      <c r="C977" s="17">
        <f t="shared" si="253"/>
        <v>1875</v>
      </c>
      <c r="D977" s="18">
        <v>45875</v>
      </c>
      <c r="E977" s="16" t="s">
        <v>896</v>
      </c>
      <c r="F977" s="16" t="s">
        <v>12</v>
      </c>
      <c r="H977" s="24" t="s">
        <v>16</v>
      </c>
      <c r="K977" s="16">
        <v>600</v>
      </c>
    </row>
    <row r="978" spans="1:11" ht="12.75">
      <c r="A978" s="16" t="s">
        <v>980</v>
      </c>
      <c r="B978" s="17">
        <v>750000</v>
      </c>
      <c r="C978" s="17">
        <f t="shared" ref="C978:C980" si="254">0.0175*B978</f>
        <v>13125.000000000002</v>
      </c>
      <c r="D978" s="18">
        <v>45875</v>
      </c>
      <c r="E978" s="16" t="s">
        <v>11</v>
      </c>
      <c r="F978" s="16" t="s">
        <v>28</v>
      </c>
      <c r="I978" s="28" t="s">
        <v>30</v>
      </c>
    </row>
    <row r="979" spans="1:11" ht="12.75">
      <c r="A979" s="16" t="s">
        <v>981</v>
      </c>
      <c r="B979" s="17">
        <v>300000</v>
      </c>
      <c r="C979" s="17">
        <f t="shared" si="254"/>
        <v>5250.0000000000009</v>
      </c>
      <c r="D979" s="18">
        <v>45876</v>
      </c>
      <c r="E979" s="16" t="s">
        <v>982</v>
      </c>
      <c r="F979" s="16" t="s">
        <v>28</v>
      </c>
      <c r="I979" s="28" t="s">
        <v>30</v>
      </c>
    </row>
    <row r="980" spans="1:11" ht="12.75">
      <c r="A980" s="16" t="s">
        <v>983</v>
      </c>
      <c r="B980" s="17">
        <v>100000</v>
      </c>
      <c r="C980" s="17">
        <f t="shared" si="254"/>
        <v>1750.0000000000002</v>
      </c>
      <c r="D980" s="18">
        <v>45876</v>
      </c>
      <c r="E980" s="16" t="s">
        <v>11</v>
      </c>
      <c r="F980" s="16" t="s">
        <v>28</v>
      </c>
      <c r="I980" s="28" t="s">
        <v>30</v>
      </c>
    </row>
    <row r="981" spans="1:11" ht="12.75">
      <c r="A981" s="16" t="s">
        <v>299</v>
      </c>
      <c r="B981" s="17">
        <v>165000</v>
      </c>
      <c r="C981" s="17">
        <f t="shared" ref="C981:C982" si="255">0.0125*B981</f>
        <v>2062.5</v>
      </c>
      <c r="D981" s="18">
        <v>45876</v>
      </c>
      <c r="E981" s="16" t="s">
        <v>11</v>
      </c>
      <c r="F981" s="16" t="s">
        <v>12</v>
      </c>
    </row>
    <row r="982" spans="1:11" ht="12.75">
      <c r="A982" s="16" t="s">
        <v>984</v>
      </c>
      <c r="B982" s="17">
        <v>40000</v>
      </c>
      <c r="C982" s="17">
        <f t="shared" si="255"/>
        <v>500</v>
      </c>
      <c r="D982" s="18">
        <v>45876</v>
      </c>
      <c r="E982" s="16" t="s">
        <v>15</v>
      </c>
      <c r="F982" s="16" t="s">
        <v>12</v>
      </c>
      <c r="H982" s="24" t="s">
        <v>54</v>
      </c>
      <c r="K982" s="16">
        <v>240</v>
      </c>
    </row>
    <row r="983" spans="1:11" ht="12.75">
      <c r="A983" s="16" t="s">
        <v>207</v>
      </c>
      <c r="B983" s="17">
        <v>20000</v>
      </c>
      <c r="C983" s="17">
        <f t="shared" ref="C983:C984" si="256">0.0175*B983</f>
        <v>350.00000000000006</v>
      </c>
      <c r="D983" s="18">
        <v>45876</v>
      </c>
      <c r="E983" s="16" t="s">
        <v>15</v>
      </c>
      <c r="F983" s="16" t="s">
        <v>649</v>
      </c>
      <c r="H983" s="24" t="s">
        <v>54</v>
      </c>
      <c r="K983" s="16">
        <v>120</v>
      </c>
    </row>
    <row r="984" spans="1:11" ht="12.75">
      <c r="A984" s="16" t="s">
        <v>985</v>
      </c>
      <c r="B984" s="17">
        <v>175000</v>
      </c>
      <c r="C984" s="17">
        <f t="shared" si="256"/>
        <v>3062.5000000000005</v>
      </c>
      <c r="D984" s="18">
        <v>45877</v>
      </c>
      <c r="E984" s="16" t="s">
        <v>60</v>
      </c>
      <c r="F984" s="16" t="s">
        <v>67</v>
      </c>
      <c r="I984" s="28" t="s">
        <v>30</v>
      </c>
    </row>
    <row r="985" spans="1:11" ht="12.75">
      <c r="A985" s="16" t="s">
        <v>986</v>
      </c>
      <c r="B985" s="17">
        <v>10500</v>
      </c>
      <c r="C985" s="17">
        <f>0.1075*B985</f>
        <v>1128.75</v>
      </c>
      <c r="D985" s="18">
        <v>45877</v>
      </c>
      <c r="E985" s="16" t="s">
        <v>21</v>
      </c>
      <c r="F985" s="16" t="s">
        <v>28</v>
      </c>
      <c r="H985" s="16" t="s">
        <v>13</v>
      </c>
      <c r="I985" s="28" t="s">
        <v>30</v>
      </c>
    </row>
    <row r="986" spans="1:11" ht="12.75">
      <c r="A986" s="16" t="s">
        <v>987</v>
      </c>
      <c r="B986" s="17">
        <v>465000</v>
      </c>
      <c r="C986" s="17">
        <f>0.0125*B986</f>
        <v>5812.5</v>
      </c>
      <c r="D986" s="18">
        <v>45877</v>
      </c>
      <c r="E986" s="16" t="s">
        <v>15</v>
      </c>
      <c r="F986" s="16" t="s">
        <v>12</v>
      </c>
      <c r="H986" s="24" t="s">
        <v>172</v>
      </c>
      <c r="K986" s="16">
        <v>697.5</v>
      </c>
    </row>
    <row r="987" spans="1:11" ht="12.75">
      <c r="A987" s="16" t="s">
        <v>988</v>
      </c>
      <c r="B987" s="17">
        <v>100000</v>
      </c>
      <c r="C987" s="17">
        <f t="shared" ref="C987:C988" si="257">0.0175*B987</f>
        <v>1750.0000000000002</v>
      </c>
      <c r="D987" s="18">
        <v>45877</v>
      </c>
      <c r="E987" s="16" t="s">
        <v>60</v>
      </c>
      <c r="F987" s="16" t="s">
        <v>28</v>
      </c>
      <c r="I987" s="28" t="s">
        <v>30</v>
      </c>
    </row>
    <row r="988" spans="1:11" ht="12.75">
      <c r="A988" s="16" t="s">
        <v>989</v>
      </c>
      <c r="B988" s="17">
        <v>500000</v>
      </c>
      <c r="C988" s="17">
        <f t="shared" si="257"/>
        <v>8750</v>
      </c>
      <c r="D988" s="18">
        <v>45880</v>
      </c>
      <c r="E988" s="16" t="s">
        <v>943</v>
      </c>
      <c r="F988" s="16" t="s">
        <v>28</v>
      </c>
      <c r="H988" s="16" t="s">
        <v>13</v>
      </c>
      <c r="I988" s="28" t="s">
        <v>30</v>
      </c>
    </row>
    <row r="989" spans="1:11" ht="12.75">
      <c r="A989" s="16" t="s">
        <v>990</v>
      </c>
      <c r="B989" s="17">
        <v>40000</v>
      </c>
      <c r="C989" s="17">
        <f t="shared" ref="C989:C990" si="258">0.0125*B989</f>
        <v>500</v>
      </c>
      <c r="D989" s="18">
        <v>45880</v>
      </c>
      <c r="E989" s="16" t="s">
        <v>15</v>
      </c>
      <c r="F989" s="16" t="s">
        <v>12</v>
      </c>
      <c r="H989" s="24" t="s">
        <v>51</v>
      </c>
      <c r="K989" s="16">
        <v>200</v>
      </c>
    </row>
    <row r="990" spans="1:11" ht="12.75">
      <c r="A990" s="16" t="s">
        <v>89</v>
      </c>
      <c r="B990" s="17">
        <v>78500</v>
      </c>
      <c r="C990" s="17">
        <f t="shared" si="258"/>
        <v>981.25</v>
      </c>
      <c r="D990" s="18">
        <v>45880</v>
      </c>
      <c r="E990" s="16" t="s">
        <v>15</v>
      </c>
      <c r="F990" s="16" t="s">
        <v>12</v>
      </c>
      <c r="H990" s="24" t="s">
        <v>16</v>
      </c>
      <c r="K990" s="16">
        <v>314</v>
      </c>
    </row>
    <row r="991" spans="1:11" ht="12.75">
      <c r="A991" s="16" t="s">
        <v>991</v>
      </c>
      <c r="B991" s="17">
        <v>60000</v>
      </c>
      <c r="C991" s="17">
        <f>0.0175*B991</f>
        <v>1050</v>
      </c>
      <c r="D991" s="18">
        <v>45880</v>
      </c>
      <c r="E991" s="16" t="s">
        <v>899</v>
      </c>
      <c r="F991" s="16" t="s">
        <v>28</v>
      </c>
      <c r="I991" s="28" t="s">
        <v>30</v>
      </c>
    </row>
    <row r="992" spans="1:11" ht="12.75">
      <c r="A992" s="16" t="s">
        <v>277</v>
      </c>
      <c r="B992" s="17">
        <v>900000</v>
      </c>
      <c r="C992" s="17">
        <f t="shared" ref="C992:C993" si="259">0.0125*B992</f>
        <v>11250</v>
      </c>
      <c r="D992" s="18">
        <v>45880</v>
      </c>
      <c r="E992" s="16" t="s">
        <v>15</v>
      </c>
      <c r="F992" s="16" t="s">
        <v>12</v>
      </c>
      <c r="H992" s="24" t="s">
        <v>149</v>
      </c>
      <c r="K992" s="16">
        <v>2250</v>
      </c>
    </row>
    <row r="993" spans="1:11" ht="12.75">
      <c r="A993" s="16" t="s">
        <v>992</v>
      </c>
      <c r="B993" s="17">
        <v>140000</v>
      </c>
      <c r="C993" s="17">
        <f t="shared" si="259"/>
        <v>1750</v>
      </c>
      <c r="D993" s="18">
        <v>45881</v>
      </c>
      <c r="E993" s="16" t="s">
        <v>993</v>
      </c>
      <c r="F993" s="16" t="s">
        <v>12</v>
      </c>
      <c r="H993" s="24"/>
    </row>
    <row r="994" spans="1:11" ht="12.75">
      <c r="A994" s="16" t="s">
        <v>994</v>
      </c>
      <c r="B994" s="17">
        <v>130000</v>
      </c>
      <c r="C994" s="17">
        <f>0.0175*B994</f>
        <v>2275</v>
      </c>
      <c r="D994" s="18">
        <v>45881</v>
      </c>
      <c r="E994" s="16" t="s">
        <v>11</v>
      </c>
      <c r="F994" s="16" t="s">
        <v>28</v>
      </c>
      <c r="I994" s="28" t="s">
        <v>30</v>
      </c>
    </row>
    <row r="995" spans="1:11" ht="12.75">
      <c r="A995" s="16" t="s">
        <v>523</v>
      </c>
      <c r="B995" s="17">
        <v>75000</v>
      </c>
      <c r="C995" s="17">
        <f>0.0125*B995</f>
        <v>937.5</v>
      </c>
      <c r="D995" s="18">
        <v>45881</v>
      </c>
      <c r="E995" s="16" t="s">
        <v>11</v>
      </c>
      <c r="F995" s="16" t="s">
        <v>67</v>
      </c>
    </row>
    <row r="996" spans="1:11" ht="12.75">
      <c r="A996" s="16" t="s">
        <v>995</v>
      </c>
      <c r="B996" s="17">
        <v>30000</v>
      </c>
      <c r="C996" s="17">
        <f>0.0175*B996</f>
        <v>525</v>
      </c>
      <c r="D996" s="18">
        <v>45882</v>
      </c>
      <c r="E996" s="16" t="s">
        <v>11</v>
      </c>
      <c r="F996" s="16" t="s">
        <v>28</v>
      </c>
    </row>
    <row r="997" spans="1:11" ht="12.75">
      <c r="A997" s="16" t="s">
        <v>84</v>
      </c>
      <c r="B997" s="17">
        <v>995000</v>
      </c>
      <c r="C997" s="17">
        <f>0.0125*B997</f>
        <v>12437.5</v>
      </c>
      <c r="D997" s="18">
        <v>45882</v>
      </c>
      <c r="E997" s="16" t="s">
        <v>24</v>
      </c>
      <c r="F997" s="16" t="s">
        <v>12</v>
      </c>
      <c r="H997" s="16" t="s">
        <v>996</v>
      </c>
    </row>
    <row r="998" spans="1:11" ht="12.75">
      <c r="A998" s="16" t="s">
        <v>997</v>
      </c>
      <c r="B998" s="17">
        <v>30000</v>
      </c>
      <c r="C998" s="17">
        <f>0.0175*B998</f>
        <v>525</v>
      </c>
      <c r="D998" s="18">
        <v>45883</v>
      </c>
      <c r="E998" s="16" t="s">
        <v>60</v>
      </c>
      <c r="F998" s="16" t="s">
        <v>41</v>
      </c>
    </row>
    <row r="999" spans="1:11" ht="12.75">
      <c r="A999" s="16" t="s">
        <v>998</v>
      </c>
      <c r="B999" s="17">
        <v>40000</v>
      </c>
      <c r="C999" s="17">
        <f t="shared" ref="C999:C1000" si="260">0.0125*B999</f>
        <v>500</v>
      </c>
      <c r="D999" s="18">
        <v>45883</v>
      </c>
      <c r="E999" s="16" t="s">
        <v>60</v>
      </c>
      <c r="F999" s="16" t="s">
        <v>12</v>
      </c>
    </row>
    <row r="1000" spans="1:11" ht="12.75">
      <c r="A1000" s="16" t="s">
        <v>999</v>
      </c>
      <c r="B1000" s="17">
        <v>125000</v>
      </c>
      <c r="C1000" s="17">
        <f t="shared" si="260"/>
        <v>1562.5</v>
      </c>
      <c r="D1000" s="18">
        <v>45883</v>
      </c>
      <c r="E1000" s="16" t="s">
        <v>60</v>
      </c>
      <c r="F1000" s="16" t="s">
        <v>28</v>
      </c>
      <c r="I1000" s="28" t="s">
        <v>30</v>
      </c>
    </row>
    <row r="1001" spans="1:11" ht="12.75">
      <c r="A1001" s="16" t="s">
        <v>1000</v>
      </c>
      <c r="B1001" s="17">
        <v>380000</v>
      </c>
      <c r="C1001" s="17">
        <f>0.0175*B1001</f>
        <v>6650.0000000000009</v>
      </c>
      <c r="D1001" s="18">
        <v>45883</v>
      </c>
      <c r="E1001" s="16" t="s">
        <v>60</v>
      </c>
      <c r="F1001" s="16" t="s">
        <v>28</v>
      </c>
      <c r="I1001" s="28" t="s">
        <v>30</v>
      </c>
    </row>
    <row r="1002" spans="1:11" ht="12.75">
      <c r="A1002" s="16" t="s">
        <v>1001</v>
      </c>
      <c r="B1002" s="17">
        <v>50000</v>
      </c>
      <c r="C1002" s="17">
        <f>0.0125*B1002</f>
        <v>625</v>
      </c>
      <c r="D1002" s="18">
        <v>45883</v>
      </c>
      <c r="E1002" s="16" t="s">
        <v>15</v>
      </c>
      <c r="F1002" s="16" t="s">
        <v>12</v>
      </c>
      <c r="H1002" s="24" t="s">
        <v>54</v>
      </c>
      <c r="K1002" s="16">
        <v>300</v>
      </c>
    </row>
    <row r="1003" spans="1:11" ht="12.75">
      <c r="A1003" s="16" t="s">
        <v>1002</v>
      </c>
      <c r="B1003" s="17">
        <v>100000</v>
      </c>
      <c r="C1003" s="17">
        <f t="shared" ref="C1003:C1004" si="261">0.0175*B1003</f>
        <v>1750.0000000000002</v>
      </c>
      <c r="D1003" s="18">
        <v>45884</v>
      </c>
      <c r="E1003" s="16" t="s">
        <v>60</v>
      </c>
      <c r="F1003" s="16" t="s">
        <v>28</v>
      </c>
      <c r="I1003" s="28" t="s">
        <v>30</v>
      </c>
    </row>
    <row r="1004" spans="1:11" ht="12.75">
      <c r="A1004" s="16" t="s">
        <v>864</v>
      </c>
      <c r="B1004" s="17">
        <v>250000</v>
      </c>
      <c r="C1004" s="17">
        <f t="shared" si="261"/>
        <v>4375</v>
      </c>
      <c r="D1004" s="18">
        <v>45884</v>
      </c>
      <c r="E1004" s="16" t="s">
        <v>24</v>
      </c>
      <c r="F1004" s="16" t="s">
        <v>67</v>
      </c>
      <c r="H1004" s="16" t="s">
        <v>58</v>
      </c>
      <c r="I1004" s="28" t="s">
        <v>30</v>
      </c>
    </row>
    <row r="1005" spans="1:11" ht="12.75">
      <c r="A1005" s="16" t="s">
        <v>287</v>
      </c>
      <c r="B1005" s="17">
        <v>100000</v>
      </c>
      <c r="C1005" s="17">
        <f>0.0125*B1005</f>
        <v>1250</v>
      </c>
      <c r="D1005" s="18">
        <v>45884</v>
      </c>
      <c r="E1005" s="16" t="s">
        <v>11</v>
      </c>
      <c r="F1005" s="16" t="s">
        <v>12</v>
      </c>
    </row>
    <row r="1006" spans="1:11" ht="12.75">
      <c r="A1006" s="16" t="s">
        <v>1003</v>
      </c>
      <c r="B1006" s="17">
        <v>225000</v>
      </c>
      <c r="C1006" s="17">
        <f t="shared" ref="C1006:C1007" si="262">0.0175*B1006</f>
        <v>3937.5000000000005</v>
      </c>
      <c r="D1006" s="18">
        <v>45884</v>
      </c>
      <c r="E1006" s="16" t="s">
        <v>11</v>
      </c>
      <c r="F1006" s="16" t="s">
        <v>28</v>
      </c>
      <c r="I1006" s="28" t="s">
        <v>30</v>
      </c>
    </row>
    <row r="1007" spans="1:11" ht="12.75">
      <c r="A1007" s="16" t="s">
        <v>1004</v>
      </c>
      <c r="B1007" s="17">
        <v>115000</v>
      </c>
      <c r="C1007" s="17">
        <f t="shared" si="262"/>
        <v>2012.5000000000002</v>
      </c>
      <c r="D1007" s="18">
        <v>45884</v>
      </c>
      <c r="E1007" s="16" t="s">
        <v>943</v>
      </c>
      <c r="F1007" s="16" t="s">
        <v>28</v>
      </c>
      <c r="I1007" s="28" t="s">
        <v>30</v>
      </c>
    </row>
    <row r="1008" spans="1:11" ht="12.75">
      <c r="A1008" s="16" t="s">
        <v>1005</v>
      </c>
      <c r="B1008" s="17">
        <v>55000</v>
      </c>
      <c r="C1008" s="17">
        <f>0.0125*B1008</f>
        <v>687.5</v>
      </c>
      <c r="D1008" s="18">
        <v>45884</v>
      </c>
      <c r="E1008" s="16" t="s">
        <v>15</v>
      </c>
      <c r="F1008" s="16" t="s">
        <v>12</v>
      </c>
      <c r="H1008" s="24" t="s">
        <v>149</v>
      </c>
      <c r="I1008" s="29"/>
      <c r="K1008" s="16">
        <v>137.5</v>
      </c>
    </row>
    <row r="1009" spans="1:11" ht="12.75">
      <c r="A1009" s="16" t="s">
        <v>1006</v>
      </c>
      <c r="B1009" s="17">
        <v>75000</v>
      </c>
      <c r="C1009" s="17">
        <f t="shared" ref="C1009:C1011" si="263">0.0175*B1009</f>
        <v>1312.5000000000002</v>
      </c>
      <c r="D1009" s="18">
        <v>45887</v>
      </c>
      <c r="E1009" s="16" t="s">
        <v>135</v>
      </c>
      <c r="F1009" s="16" t="s">
        <v>28</v>
      </c>
      <c r="H1009" s="16" t="s">
        <v>1007</v>
      </c>
      <c r="I1009" s="28" t="s">
        <v>30</v>
      </c>
    </row>
    <row r="1010" spans="1:11" ht="12.75">
      <c r="A1010" s="16" t="s">
        <v>657</v>
      </c>
      <c r="B1010" s="17">
        <v>500000</v>
      </c>
      <c r="C1010" s="17">
        <f t="shared" si="263"/>
        <v>8750</v>
      </c>
      <c r="D1010" s="18">
        <v>45887</v>
      </c>
      <c r="E1010" s="16" t="s">
        <v>118</v>
      </c>
      <c r="F1010" s="16" t="s">
        <v>41</v>
      </c>
      <c r="H1010" s="16" t="s">
        <v>1008</v>
      </c>
    </row>
    <row r="1011" spans="1:11" ht="12.75">
      <c r="A1011" s="16" t="s">
        <v>1009</v>
      </c>
      <c r="B1011" s="17">
        <v>17500</v>
      </c>
      <c r="C1011" s="17">
        <f t="shared" si="263"/>
        <v>306.25000000000006</v>
      </c>
      <c r="D1011" s="18">
        <v>45887</v>
      </c>
      <c r="E1011" s="16" t="s">
        <v>15</v>
      </c>
      <c r="F1011" s="16" t="s">
        <v>67</v>
      </c>
      <c r="H1011" s="24" t="s">
        <v>54</v>
      </c>
      <c r="K1011" s="16">
        <v>105</v>
      </c>
    </row>
    <row r="1012" spans="1:11" ht="12.75">
      <c r="A1012" s="16" t="s">
        <v>1010</v>
      </c>
      <c r="B1012" s="17">
        <v>175000</v>
      </c>
      <c r="C1012" s="17">
        <f t="shared" ref="C1012:C1021" si="264">0.0125*B1012</f>
        <v>2187.5</v>
      </c>
      <c r="D1012" s="18">
        <v>45888</v>
      </c>
      <c r="E1012" s="16" t="s">
        <v>11</v>
      </c>
      <c r="F1012" s="16" t="s">
        <v>12</v>
      </c>
    </row>
    <row r="1013" spans="1:11" ht="12.75">
      <c r="A1013" s="16" t="s">
        <v>1011</v>
      </c>
      <c r="B1013" s="17">
        <v>560000</v>
      </c>
      <c r="C1013" s="17">
        <f t="shared" si="264"/>
        <v>7000</v>
      </c>
      <c r="D1013" s="18">
        <v>45888</v>
      </c>
      <c r="E1013" s="16" t="s">
        <v>135</v>
      </c>
      <c r="F1013" s="16" t="s">
        <v>12</v>
      </c>
      <c r="H1013" s="16" t="s">
        <v>22</v>
      </c>
    </row>
    <row r="1014" spans="1:11" ht="12.75">
      <c r="A1014" s="16" t="s">
        <v>1012</v>
      </c>
      <c r="B1014" s="17">
        <v>85000</v>
      </c>
      <c r="C1014" s="17">
        <f t="shared" si="264"/>
        <v>1062.5</v>
      </c>
      <c r="D1014" s="18">
        <v>45888</v>
      </c>
      <c r="E1014" s="16" t="s">
        <v>11</v>
      </c>
      <c r="F1014" s="16" t="s">
        <v>12</v>
      </c>
      <c r="H1014" s="24"/>
      <c r="K1014" s="16"/>
    </row>
    <row r="1015" spans="1:11" ht="12.75">
      <c r="A1015" s="16" t="s">
        <v>1013</v>
      </c>
      <c r="B1015" s="17">
        <v>65000</v>
      </c>
      <c r="C1015" s="17">
        <f t="shared" si="264"/>
        <v>812.5</v>
      </c>
      <c r="D1015" s="18">
        <v>45888</v>
      </c>
      <c r="E1015" s="16" t="s">
        <v>11</v>
      </c>
      <c r="F1015" s="16" t="s">
        <v>12</v>
      </c>
      <c r="H1015" s="24"/>
      <c r="K1015" s="16"/>
    </row>
    <row r="1016" spans="1:11" ht="12.75">
      <c r="A1016" s="16" t="s">
        <v>1014</v>
      </c>
      <c r="B1016" s="17">
        <v>415000</v>
      </c>
      <c r="C1016" s="17">
        <f t="shared" si="264"/>
        <v>5187.5</v>
      </c>
      <c r="D1016" s="18">
        <v>45889</v>
      </c>
      <c r="E1016" s="16" t="s">
        <v>15</v>
      </c>
      <c r="F1016" s="16" t="s">
        <v>12</v>
      </c>
      <c r="H1016" s="24" t="s">
        <v>1015</v>
      </c>
      <c r="K1016" s="16">
        <v>1245</v>
      </c>
    </row>
    <row r="1017" spans="1:11" ht="12.75">
      <c r="A1017" s="16" t="s">
        <v>249</v>
      </c>
      <c r="B1017" s="17">
        <v>25000</v>
      </c>
      <c r="C1017" s="17">
        <f t="shared" si="264"/>
        <v>312.5</v>
      </c>
      <c r="D1017" s="18">
        <v>45889</v>
      </c>
      <c r="E1017" s="16" t="s">
        <v>15</v>
      </c>
      <c r="F1017" s="16" t="s">
        <v>12</v>
      </c>
      <c r="H1017" s="24" t="s">
        <v>54</v>
      </c>
    </row>
    <row r="1018" spans="1:11" ht="12.75">
      <c r="A1018" s="16" t="s">
        <v>940</v>
      </c>
      <c r="B1018" s="17">
        <v>250000</v>
      </c>
      <c r="C1018" s="17">
        <f t="shared" si="264"/>
        <v>3125</v>
      </c>
      <c r="D1018" s="18">
        <v>45889</v>
      </c>
      <c r="E1018" s="16" t="s">
        <v>11</v>
      </c>
      <c r="F1018" s="16" t="s">
        <v>12</v>
      </c>
    </row>
    <row r="1019" spans="1:11" ht="12.75">
      <c r="A1019" s="16" t="s">
        <v>528</v>
      </c>
      <c r="B1019" s="17">
        <v>37000</v>
      </c>
      <c r="C1019" s="17">
        <f t="shared" si="264"/>
        <v>462.5</v>
      </c>
      <c r="D1019" s="18">
        <v>45889</v>
      </c>
      <c r="E1019" s="16" t="s">
        <v>11</v>
      </c>
      <c r="F1019" s="16" t="s">
        <v>12</v>
      </c>
    </row>
    <row r="1020" spans="1:11" ht="12.75">
      <c r="A1020" s="16" t="s">
        <v>1016</v>
      </c>
      <c r="B1020" s="17">
        <v>1200000</v>
      </c>
      <c r="C1020" s="17">
        <f t="shared" si="264"/>
        <v>15000</v>
      </c>
      <c r="D1020" s="18">
        <v>45889</v>
      </c>
      <c r="E1020" s="16" t="s">
        <v>92</v>
      </c>
      <c r="F1020" s="16" t="s">
        <v>12</v>
      </c>
    </row>
    <row r="1021" spans="1:11" ht="12.75">
      <c r="A1021" s="16" t="s">
        <v>873</v>
      </c>
      <c r="B1021" s="17">
        <v>30000</v>
      </c>
      <c r="C1021" s="17">
        <f t="shared" si="264"/>
        <v>375</v>
      </c>
      <c r="D1021" s="18">
        <v>45889</v>
      </c>
      <c r="E1021" s="16" t="s">
        <v>15</v>
      </c>
      <c r="F1021" s="16" t="s">
        <v>12</v>
      </c>
      <c r="H1021" s="24" t="s">
        <v>98</v>
      </c>
      <c r="K1021" s="16">
        <v>90</v>
      </c>
    </row>
    <row r="1022" spans="1:11" ht="12.75">
      <c r="A1022" s="16" t="s">
        <v>1017</v>
      </c>
      <c r="B1022" s="17">
        <v>1400000</v>
      </c>
      <c r="C1022" s="17">
        <f>0.0175*B1022</f>
        <v>24500.000000000004</v>
      </c>
      <c r="D1022" s="18">
        <v>45889</v>
      </c>
      <c r="E1022" s="16" t="s">
        <v>1018</v>
      </c>
      <c r="F1022" s="16" t="s">
        <v>28</v>
      </c>
      <c r="H1022" s="16" t="s">
        <v>13</v>
      </c>
      <c r="I1022" s="28" t="s">
        <v>30</v>
      </c>
    </row>
    <row r="1023" spans="1:11" ht="12.75">
      <c r="A1023" s="16" t="s">
        <v>1019</v>
      </c>
      <c r="B1023" s="17">
        <v>400000</v>
      </c>
      <c r="C1023" s="17">
        <f>0.0125*B1023</f>
        <v>5000</v>
      </c>
      <c r="D1023" s="18">
        <v>45890</v>
      </c>
      <c r="E1023" s="16" t="s">
        <v>24</v>
      </c>
      <c r="F1023" s="16" t="s">
        <v>12</v>
      </c>
      <c r="H1023" s="16" t="s">
        <v>996</v>
      </c>
    </row>
    <row r="1024" spans="1:11" ht="12.75">
      <c r="A1024" s="16" t="s">
        <v>1020</v>
      </c>
      <c r="B1024" s="17">
        <v>175000</v>
      </c>
      <c r="C1024" s="17">
        <f>0.0175*B1024</f>
        <v>3062.5000000000005</v>
      </c>
      <c r="D1024" s="18">
        <v>45890</v>
      </c>
      <c r="E1024" s="16" t="s">
        <v>926</v>
      </c>
      <c r="F1024" s="16" t="s">
        <v>41</v>
      </c>
      <c r="I1024" s="28" t="s">
        <v>30</v>
      </c>
    </row>
    <row r="1025" spans="1:9" ht="12.75">
      <c r="A1025" s="16" t="s">
        <v>510</v>
      </c>
      <c r="B1025" s="17">
        <v>350000</v>
      </c>
      <c r="C1025" s="17">
        <f t="shared" ref="C1025:C1026" si="265">0.0125*B1025</f>
        <v>4375</v>
      </c>
      <c r="D1025" s="18">
        <v>45890</v>
      </c>
      <c r="E1025" s="16" t="s">
        <v>24</v>
      </c>
      <c r="F1025" s="16" t="s">
        <v>12</v>
      </c>
      <c r="H1025" s="16" t="s">
        <v>996</v>
      </c>
    </row>
    <row r="1026" spans="1:9" ht="12.75">
      <c r="A1026" s="16" t="s">
        <v>937</v>
      </c>
      <c r="B1026" s="17">
        <v>650000</v>
      </c>
      <c r="C1026" s="17">
        <f t="shared" si="265"/>
        <v>8125</v>
      </c>
      <c r="D1026" s="18">
        <v>45890</v>
      </c>
      <c r="E1026" s="16" t="s">
        <v>21</v>
      </c>
      <c r="F1026" s="16" t="s">
        <v>12</v>
      </c>
      <c r="H1026" s="16" t="s">
        <v>22</v>
      </c>
    </row>
    <row r="1027" spans="1:9" ht="12.75">
      <c r="A1027" s="16" t="s">
        <v>1021</v>
      </c>
      <c r="B1027" s="17">
        <v>65000</v>
      </c>
      <c r="C1027" s="17">
        <f>0.0175*B1027</f>
        <v>1137.5</v>
      </c>
      <c r="D1027" s="18">
        <v>45890</v>
      </c>
      <c r="E1027" s="16" t="s">
        <v>60</v>
      </c>
      <c r="F1027" s="16" t="s">
        <v>28</v>
      </c>
      <c r="I1027" s="28" t="s">
        <v>30</v>
      </c>
    </row>
    <row r="1028" spans="1:9" ht="12.75">
      <c r="A1028" s="16" t="s">
        <v>1022</v>
      </c>
      <c r="B1028" s="17">
        <v>30000</v>
      </c>
      <c r="C1028" s="17">
        <f>0.0125*B1028</f>
        <v>375</v>
      </c>
      <c r="D1028" s="18">
        <v>45890</v>
      </c>
      <c r="E1028" s="16" t="s">
        <v>11</v>
      </c>
      <c r="F1028" s="16" t="s">
        <v>12</v>
      </c>
    </row>
    <row r="1029" spans="1:9" ht="12.75">
      <c r="A1029" s="16" t="s">
        <v>1023</v>
      </c>
      <c r="B1029" s="17">
        <v>100000</v>
      </c>
      <c r="C1029" s="17">
        <f>0.0175*B1029</f>
        <v>1750.0000000000002</v>
      </c>
      <c r="D1029" s="18">
        <v>45890</v>
      </c>
      <c r="E1029" s="16" t="s">
        <v>118</v>
      </c>
      <c r="F1029" s="16" t="s">
        <v>28</v>
      </c>
      <c r="H1029" s="16" t="s">
        <v>13</v>
      </c>
      <c r="I1029" s="28" t="s">
        <v>30</v>
      </c>
    </row>
    <row r="1030" spans="1:9" ht="12.75">
      <c r="A1030" s="16" t="s">
        <v>1024</v>
      </c>
      <c r="B1030" s="17">
        <v>460000</v>
      </c>
      <c r="C1030" s="17">
        <f t="shared" ref="C1030:C1032" si="266">0.0125*B1030</f>
        <v>5750</v>
      </c>
      <c r="D1030" s="18">
        <v>45891</v>
      </c>
      <c r="E1030" s="16" t="s">
        <v>11</v>
      </c>
      <c r="F1030" s="16" t="s">
        <v>12</v>
      </c>
    </row>
    <row r="1031" spans="1:9" ht="12.75">
      <c r="A1031" s="16" t="s">
        <v>1025</v>
      </c>
      <c r="B1031" s="17">
        <v>325000</v>
      </c>
      <c r="C1031" s="17">
        <f t="shared" si="266"/>
        <v>4062.5</v>
      </c>
      <c r="D1031" s="18">
        <v>45891</v>
      </c>
      <c r="E1031" s="16" t="s">
        <v>60</v>
      </c>
      <c r="F1031" s="16" t="s">
        <v>12</v>
      </c>
    </row>
    <row r="1032" spans="1:9" ht="12.75">
      <c r="A1032" s="16" t="s">
        <v>1026</v>
      </c>
      <c r="B1032" s="17">
        <v>150000</v>
      </c>
      <c r="C1032" s="17">
        <f t="shared" si="266"/>
        <v>1875</v>
      </c>
      <c r="D1032" s="18">
        <v>45891</v>
      </c>
      <c r="E1032" s="16" t="s">
        <v>24</v>
      </c>
      <c r="F1032" s="16" t="s">
        <v>12</v>
      </c>
      <c r="H1032" s="16" t="s">
        <v>619</v>
      </c>
    </row>
    <row r="1033" spans="1:9" ht="12.75">
      <c r="A1033" s="16" t="s">
        <v>1027</v>
      </c>
      <c r="B1033" s="17">
        <v>75000</v>
      </c>
      <c r="C1033" s="17">
        <f>0.0175*B1033</f>
        <v>1312.5000000000002</v>
      </c>
      <c r="D1033" s="18">
        <v>45891</v>
      </c>
      <c r="E1033" s="16" t="s">
        <v>24</v>
      </c>
      <c r="F1033" s="16" t="s">
        <v>28</v>
      </c>
      <c r="H1033" s="16" t="s">
        <v>642</v>
      </c>
      <c r="I1033" s="28" t="s">
        <v>30</v>
      </c>
    </row>
    <row r="1034" spans="1:9" ht="12.75">
      <c r="A1034" s="16" t="s">
        <v>630</v>
      </c>
      <c r="B1034" s="17">
        <v>45000</v>
      </c>
      <c r="C1034" s="17">
        <f>0.0125*B1034</f>
        <v>562.5</v>
      </c>
      <c r="D1034" s="18">
        <v>45894</v>
      </c>
      <c r="E1034" s="16" t="s">
        <v>11</v>
      </c>
      <c r="F1034" s="16" t="s">
        <v>12</v>
      </c>
    </row>
    <row r="1035" spans="1:9" ht="12.75">
      <c r="A1035" s="16" t="s">
        <v>1028</v>
      </c>
      <c r="B1035" s="17">
        <v>110000</v>
      </c>
      <c r="C1035" s="17">
        <f t="shared" ref="C1035:C1036" si="267">0.0175*B1035</f>
        <v>1925.0000000000002</v>
      </c>
      <c r="D1035" s="18">
        <v>45894</v>
      </c>
      <c r="E1035" s="16" t="s">
        <v>11</v>
      </c>
      <c r="F1035" s="16" t="s">
        <v>28</v>
      </c>
      <c r="I1035" s="28" t="s">
        <v>30</v>
      </c>
    </row>
    <row r="1036" spans="1:9" ht="12.75">
      <c r="A1036" s="16" t="s">
        <v>1029</v>
      </c>
      <c r="B1036" s="17">
        <v>100000</v>
      </c>
      <c r="C1036" s="17">
        <f t="shared" si="267"/>
        <v>1750.0000000000002</v>
      </c>
      <c r="D1036" s="18">
        <v>45894</v>
      </c>
      <c r="E1036" s="16" t="s">
        <v>461</v>
      </c>
      <c r="F1036" s="16" t="s">
        <v>28</v>
      </c>
      <c r="H1036" s="16" t="s">
        <v>13</v>
      </c>
      <c r="I1036" s="28" t="s">
        <v>30</v>
      </c>
    </row>
    <row r="1037" spans="1:9" ht="12.75">
      <c r="A1037" s="16" t="s">
        <v>1030</v>
      </c>
      <c r="B1037" s="17">
        <v>900000</v>
      </c>
      <c r="C1037" s="17">
        <f t="shared" ref="C1037:C1038" si="268">0.0125*B1037</f>
        <v>11250</v>
      </c>
      <c r="D1037" s="18">
        <v>45894</v>
      </c>
      <c r="E1037" s="16" t="s">
        <v>118</v>
      </c>
      <c r="F1037" s="16" t="s">
        <v>12</v>
      </c>
    </row>
    <row r="1038" spans="1:9" ht="12.75">
      <c r="A1038" s="16" t="s">
        <v>728</v>
      </c>
      <c r="B1038" s="17">
        <v>65000</v>
      </c>
      <c r="C1038" s="17">
        <f t="shared" si="268"/>
        <v>812.5</v>
      </c>
      <c r="D1038" s="18">
        <v>45895</v>
      </c>
      <c r="E1038" s="16" t="s">
        <v>11</v>
      </c>
      <c r="F1038" s="16" t="s">
        <v>12</v>
      </c>
    </row>
    <row r="1039" spans="1:9" ht="12.75">
      <c r="A1039" s="16" t="s">
        <v>1031</v>
      </c>
      <c r="B1039" s="17">
        <v>500000</v>
      </c>
      <c r="C1039" s="17">
        <f t="shared" ref="C1039:C1043" si="269">0.0175*B1039</f>
        <v>8750</v>
      </c>
      <c r="D1039" s="18">
        <v>45895</v>
      </c>
      <c r="E1039" s="16" t="s">
        <v>11</v>
      </c>
      <c r="F1039" s="16" t="s">
        <v>28</v>
      </c>
      <c r="I1039" s="28" t="s">
        <v>30</v>
      </c>
    </row>
    <row r="1040" spans="1:9" ht="12.75">
      <c r="A1040" s="16" t="s">
        <v>1032</v>
      </c>
      <c r="B1040" s="17">
        <v>85000</v>
      </c>
      <c r="C1040" s="17">
        <f t="shared" si="269"/>
        <v>1487.5000000000002</v>
      </c>
      <c r="D1040" s="18">
        <v>45895</v>
      </c>
      <c r="E1040" s="16" t="s">
        <v>60</v>
      </c>
      <c r="F1040" s="16" t="s">
        <v>28</v>
      </c>
      <c r="I1040" s="28" t="s">
        <v>30</v>
      </c>
    </row>
    <row r="1041" spans="1:11" ht="12.75">
      <c r="A1041" s="16" t="s">
        <v>1033</v>
      </c>
      <c r="B1041" s="17">
        <v>100000</v>
      </c>
      <c r="C1041" s="17">
        <f t="shared" si="269"/>
        <v>1750.0000000000002</v>
      </c>
      <c r="D1041" s="18">
        <v>45895</v>
      </c>
      <c r="E1041" s="16" t="s">
        <v>24</v>
      </c>
      <c r="F1041" s="16" t="s">
        <v>28</v>
      </c>
      <c r="H1041" s="16" t="s">
        <v>642</v>
      </c>
      <c r="I1041" s="28" t="s">
        <v>30</v>
      </c>
    </row>
    <row r="1042" spans="1:11" ht="12.75">
      <c r="A1042" s="16" t="s">
        <v>1034</v>
      </c>
      <c r="B1042" s="17">
        <v>250000</v>
      </c>
      <c r="C1042" s="17">
        <f t="shared" si="269"/>
        <v>4375</v>
      </c>
      <c r="D1042" s="18">
        <v>45895</v>
      </c>
      <c r="E1042" s="16" t="s">
        <v>60</v>
      </c>
      <c r="F1042" s="16" t="s">
        <v>28</v>
      </c>
      <c r="I1042" s="28" t="s">
        <v>30</v>
      </c>
    </row>
    <row r="1043" spans="1:11" ht="12.75">
      <c r="A1043" s="16" t="s">
        <v>1035</v>
      </c>
      <c r="B1043" s="17">
        <v>200000</v>
      </c>
      <c r="C1043" s="17">
        <f t="shared" si="269"/>
        <v>3500.0000000000005</v>
      </c>
      <c r="D1043" s="18">
        <v>45895</v>
      </c>
      <c r="E1043" s="16" t="s">
        <v>11</v>
      </c>
      <c r="F1043" s="16" t="s">
        <v>28</v>
      </c>
      <c r="I1043" s="28" t="s">
        <v>30</v>
      </c>
    </row>
    <row r="1044" spans="1:11" ht="12.75">
      <c r="A1044" s="16" t="s">
        <v>81</v>
      </c>
      <c r="B1044" s="17">
        <v>120000</v>
      </c>
      <c r="C1044" s="17">
        <f t="shared" ref="C1044:C1045" si="270">0.0125*B1044</f>
        <v>1500</v>
      </c>
      <c r="D1044" s="18">
        <v>45895</v>
      </c>
      <c r="E1044" s="16" t="s">
        <v>11</v>
      </c>
      <c r="F1044" s="16" t="s">
        <v>12</v>
      </c>
    </row>
    <row r="1045" spans="1:11" ht="12.75">
      <c r="A1045" s="16" t="s">
        <v>1036</v>
      </c>
      <c r="B1045" s="17">
        <v>1475000</v>
      </c>
      <c r="C1045" s="17">
        <f t="shared" si="270"/>
        <v>18437.5</v>
      </c>
      <c r="D1045" s="18">
        <v>45895</v>
      </c>
      <c r="E1045" s="16" t="s">
        <v>11</v>
      </c>
      <c r="F1045" s="16" t="s">
        <v>12</v>
      </c>
    </row>
    <row r="1046" spans="1:11" ht="12.75">
      <c r="A1046" s="16" t="s">
        <v>1037</v>
      </c>
      <c r="B1046" s="17">
        <v>40000</v>
      </c>
      <c r="C1046" s="17">
        <f>0.0175*B1046</f>
        <v>700.00000000000011</v>
      </c>
      <c r="D1046" s="18">
        <v>45896</v>
      </c>
      <c r="E1046" s="16" t="s">
        <v>15</v>
      </c>
      <c r="F1046" s="16" t="s">
        <v>28</v>
      </c>
      <c r="H1046" s="24" t="s">
        <v>220</v>
      </c>
      <c r="K1046" s="16">
        <v>140</v>
      </c>
    </row>
    <row r="1047" spans="1:11" ht="12.75">
      <c r="A1047" s="16" t="s">
        <v>1038</v>
      </c>
      <c r="B1047" s="17">
        <v>1150000</v>
      </c>
      <c r="C1047" s="17">
        <f>0.0125*B1047</f>
        <v>14375</v>
      </c>
      <c r="D1047" s="18">
        <v>45896</v>
      </c>
      <c r="E1047" s="16" t="s">
        <v>118</v>
      </c>
      <c r="F1047" s="16" t="s">
        <v>12</v>
      </c>
    </row>
    <row r="1048" spans="1:11" ht="12.75">
      <c r="A1048" s="16" t="s">
        <v>1039</v>
      </c>
      <c r="B1048" s="17">
        <v>40000</v>
      </c>
      <c r="C1048" s="17">
        <f>0.0175*B1048</f>
        <v>700.00000000000011</v>
      </c>
      <c r="D1048" s="18">
        <v>45896</v>
      </c>
      <c r="E1048" s="16" t="s">
        <v>11</v>
      </c>
      <c r="F1048" s="16" t="s">
        <v>67</v>
      </c>
      <c r="I1048" s="28" t="s">
        <v>30</v>
      </c>
    </row>
    <row r="1049" spans="1:11" ht="12.75">
      <c r="A1049" s="16" t="s">
        <v>1040</v>
      </c>
      <c r="B1049" s="17">
        <v>80000</v>
      </c>
      <c r="C1049" s="17">
        <f>0.0125*B1049</f>
        <v>1000</v>
      </c>
      <c r="D1049" s="18">
        <v>45896</v>
      </c>
      <c r="E1049" s="16" t="s">
        <v>11</v>
      </c>
      <c r="F1049" s="16" t="s">
        <v>12</v>
      </c>
    </row>
    <row r="1050" spans="1:11" ht="12.75">
      <c r="A1050" s="16" t="s">
        <v>1041</v>
      </c>
      <c r="B1050" s="17">
        <v>50000</v>
      </c>
      <c r="C1050" s="17">
        <f t="shared" ref="C1050:C1053" si="271">0.0175*B1050</f>
        <v>875.00000000000011</v>
      </c>
      <c r="D1050" s="18">
        <v>45896</v>
      </c>
      <c r="E1050" s="16" t="s">
        <v>24</v>
      </c>
      <c r="F1050" s="16" t="s">
        <v>28</v>
      </c>
      <c r="H1050" s="16" t="s">
        <v>924</v>
      </c>
      <c r="I1050" s="28" t="s">
        <v>30</v>
      </c>
    </row>
    <row r="1051" spans="1:11" ht="12.75">
      <c r="A1051" s="16" t="s">
        <v>1042</v>
      </c>
      <c r="B1051" s="17">
        <v>200000</v>
      </c>
      <c r="C1051" s="17">
        <f t="shared" si="271"/>
        <v>3500.0000000000005</v>
      </c>
      <c r="D1051" s="18">
        <v>45896</v>
      </c>
      <c r="E1051" s="16" t="s">
        <v>21</v>
      </c>
      <c r="F1051" s="16" t="s">
        <v>67</v>
      </c>
      <c r="I1051" s="28" t="s">
        <v>30</v>
      </c>
    </row>
    <row r="1052" spans="1:11" ht="12.75">
      <c r="A1052" s="16" t="s">
        <v>794</v>
      </c>
      <c r="B1052" s="17">
        <v>150000</v>
      </c>
      <c r="C1052" s="17">
        <f t="shared" si="271"/>
        <v>2625.0000000000005</v>
      </c>
      <c r="D1052" s="18">
        <v>45896</v>
      </c>
      <c r="E1052" s="16" t="s">
        <v>118</v>
      </c>
      <c r="F1052" s="16" t="s">
        <v>67</v>
      </c>
      <c r="I1052" s="28" t="s">
        <v>30</v>
      </c>
    </row>
    <row r="1053" spans="1:11" ht="12.75">
      <c r="A1053" s="16" t="s">
        <v>1043</v>
      </c>
      <c r="B1053" s="17">
        <v>60000</v>
      </c>
      <c r="C1053" s="17">
        <f t="shared" si="271"/>
        <v>1050</v>
      </c>
      <c r="D1053" s="18">
        <v>45896</v>
      </c>
      <c r="E1053" s="16" t="s">
        <v>11</v>
      </c>
      <c r="F1053" s="16" t="s">
        <v>28</v>
      </c>
      <c r="I1053" s="28" t="s">
        <v>30</v>
      </c>
    </row>
    <row r="1054" spans="1:11" ht="12.75">
      <c r="A1054" s="16" t="s">
        <v>1044</v>
      </c>
      <c r="B1054" s="17">
        <v>550000</v>
      </c>
      <c r="C1054" s="17">
        <f t="shared" ref="C1054:C1058" si="272">0.0125*B1054</f>
        <v>6875</v>
      </c>
      <c r="D1054" s="18">
        <v>45896</v>
      </c>
      <c r="E1054" s="16" t="s">
        <v>60</v>
      </c>
      <c r="F1054" s="16" t="s">
        <v>12</v>
      </c>
    </row>
    <row r="1055" spans="1:11" ht="12.75">
      <c r="A1055" s="16" t="s">
        <v>143</v>
      </c>
      <c r="B1055" s="17">
        <v>350000</v>
      </c>
      <c r="C1055" s="17">
        <f t="shared" si="272"/>
        <v>4375</v>
      </c>
      <c r="D1055" s="18">
        <v>45896</v>
      </c>
      <c r="E1055" s="16" t="s">
        <v>24</v>
      </c>
      <c r="F1055" s="16" t="s">
        <v>12</v>
      </c>
      <c r="H1055" s="16" t="s">
        <v>996</v>
      </c>
    </row>
    <row r="1056" spans="1:11" ht="12.75">
      <c r="A1056" s="16" t="s">
        <v>1045</v>
      </c>
      <c r="B1056" s="17">
        <v>114000</v>
      </c>
      <c r="C1056" s="17">
        <f t="shared" si="272"/>
        <v>1425</v>
      </c>
      <c r="D1056" s="18">
        <v>45896</v>
      </c>
      <c r="E1056" s="16" t="s">
        <v>11</v>
      </c>
      <c r="F1056" s="16" t="s">
        <v>12</v>
      </c>
    </row>
    <row r="1057" spans="1:11" ht="12.75">
      <c r="A1057" s="16" t="s">
        <v>474</v>
      </c>
      <c r="B1057" s="17">
        <v>80000</v>
      </c>
      <c r="C1057" s="17">
        <f t="shared" si="272"/>
        <v>1000</v>
      </c>
      <c r="D1057" s="18">
        <v>45896</v>
      </c>
      <c r="E1057" s="16" t="s">
        <v>11</v>
      </c>
      <c r="F1057" s="16" t="s">
        <v>12</v>
      </c>
    </row>
    <row r="1058" spans="1:11" ht="12.75">
      <c r="A1058" s="16" t="s">
        <v>1046</v>
      </c>
      <c r="B1058" s="17">
        <v>1100000</v>
      </c>
      <c r="C1058" s="17">
        <f t="shared" si="272"/>
        <v>13750</v>
      </c>
      <c r="D1058" s="18">
        <v>45897</v>
      </c>
      <c r="E1058" s="16" t="s">
        <v>24</v>
      </c>
      <c r="F1058" s="16" t="s">
        <v>12</v>
      </c>
      <c r="H1058" s="16" t="s">
        <v>1047</v>
      </c>
    </row>
    <row r="1059" spans="1:11" ht="12.75">
      <c r="A1059" s="16" t="s">
        <v>1048</v>
      </c>
      <c r="B1059" s="17">
        <v>15000</v>
      </c>
      <c r="C1059" s="17">
        <f>0.0175*B1059</f>
        <v>262.5</v>
      </c>
      <c r="D1059" s="18">
        <v>45897</v>
      </c>
      <c r="E1059" s="16" t="s">
        <v>11</v>
      </c>
      <c r="F1059" s="16" t="s">
        <v>28</v>
      </c>
      <c r="I1059" s="28" t="s">
        <v>30</v>
      </c>
    </row>
    <row r="1060" spans="1:11" ht="12.75">
      <c r="A1060" s="16" t="s">
        <v>1049</v>
      </c>
      <c r="B1060" s="17">
        <v>150000</v>
      </c>
      <c r="C1060" s="17">
        <f>0.0125*B1060</f>
        <v>1875</v>
      </c>
      <c r="D1060" s="18">
        <v>45897</v>
      </c>
      <c r="E1060" s="16" t="s">
        <v>11</v>
      </c>
      <c r="F1060" s="16" t="s">
        <v>12</v>
      </c>
    </row>
    <row r="1061" spans="1:11" ht="12.75">
      <c r="A1061" s="16" t="s">
        <v>1050</v>
      </c>
      <c r="B1061" s="17">
        <v>50000</v>
      </c>
      <c r="C1061" s="17">
        <f t="shared" ref="C1061:C1063" si="273">0.0175*B1061</f>
        <v>875.00000000000011</v>
      </c>
      <c r="D1061" s="18">
        <v>45897</v>
      </c>
      <c r="E1061" s="16" t="s">
        <v>11</v>
      </c>
      <c r="F1061" s="16" t="s">
        <v>28</v>
      </c>
      <c r="I1061" s="28" t="s">
        <v>30</v>
      </c>
    </row>
    <row r="1062" spans="1:11" ht="12.75">
      <c r="A1062" s="16" t="s">
        <v>1051</v>
      </c>
      <c r="B1062" s="17">
        <v>60000</v>
      </c>
      <c r="C1062" s="17">
        <f t="shared" si="273"/>
        <v>1050</v>
      </c>
      <c r="D1062" s="18">
        <v>45897</v>
      </c>
      <c r="E1062" s="16" t="s">
        <v>15</v>
      </c>
      <c r="F1062" s="16" t="s">
        <v>28</v>
      </c>
      <c r="H1062" s="24" t="s">
        <v>98</v>
      </c>
      <c r="K1062" s="16">
        <v>180</v>
      </c>
    </row>
    <row r="1063" spans="1:11" ht="12.75">
      <c r="A1063" s="16" t="s">
        <v>1052</v>
      </c>
      <c r="B1063" s="17">
        <v>250000</v>
      </c>
      <c r="C1063" s="17">
        <f t="shared" si="273"/>
        <v>4375</v>
      </c>
      <c r="D1063" s="18">
        <v>45897</v>
      </c>
      <c r="E1063" s="16" t="s">
        <v>11</v>
      </c>
      <c r="F1063" s="16" t="s">
        <v>28</v>
      </c>
    </row>
    <row r="1064" spans="1:11" ht="12.75">
      <c r="A1064" s="16" t="s">
        <v>1053</v>
      </c>
      <c r="B1064" s="17">
        <v>50000</v>
      </c>
      <c r="C1064" s="17">
        <f>0.0125*B1064</f>
        <v>625</v>
      </c>
      <c r="D1064" s="18">
        <v>45897</v>
      </c>
      <c r="E1064" s="16" t="s">
        <v>11</v>
      </c>
      <c r="F1064" s="16" t="s">
        <v>12</v>
      </c>
    </row>
    <row r="1065" spans="1:11" ht="12.75">
      <c r="A1065" s="16" t="s">
        <v>1054</v>
      </c>
      <c r="B1065" s="17">
        <v>100000</v>
      </c>
      <c r="C1065" s="17">
        <f t="shared" ref="C1065:C1067" si="274">0.0175*B1065</f>
        <v>1750.0000000000002</v>
      </c>
      <c r="D1065" s="18">
        <v>45897</v>
      </c>
      <c r="E1065" s="16" t="s">
        <v>118</v>
      </c>
      <c r="F1065" s="16" t="s">
        <v>28</v>
      </c>
      <c r="I1065" s="28" t="s">
        <v>30</v>
      </c>
    </row>
    <row r="1066" spans="1:11" ht="12.75">
      <c r="A1066" s="16" t="s">
        <v>1055</v>
      </c>
      <c r="B1066" s="17">
        <v>350000</v>
      </c>
      <c r="C1066" s="17">
        <f t="shared" si="274"/>
        <v>6125.0000000000009</v>
      </c>
      <c r="D1066" s="18">
        <v>45897</v>
      </c>
      <c r="E1066" s="16" t="s">
        <v>21</v>
      </c>
      <c r="F1066" s="16" t="s">
        <v>28</v>
      </c>
      <c r="H1066" s="16" t="s">
        <v>13</v>
      </c>
      <c r="I1066" s="28" t="s">
        <v>30</v>
      </c>
    </row>
    <row r="1067" spans="1:11" ht="12.75">
      <c r="A1067" s="16" t="s">
        <v>1056</v>
      </c>
      <c r="B1067" s="17">
        <v>100000</v>
      </c>
      <c r="C1067" s="17">
        <f t="shared" si="274"/>
        <v>1750.0000000000002</v>
      </c>
      <c r="D1067" s="18">
        <v>45897</v>
      </c>
      <c r="E1067" s="16" t="s">
        <v>11</v>
      </c>
      <c r="F1067" s="16" t="s">
        <v>28</v>
      </c>
      <c r="I1067" s="28" t="s">
        <v>30</v>
      </c>
    </row>
    <row r="1068" spans="1:11" ht="12.75">
      <c r="A1068" s="16" t="s">
        <v>1057</v>
      </c>
      <c r="B1068" s="17">
        <v>250000</v>
      </c>
      <c r="C1068" s="17">
        <f t="shared" ref="C1068:C1071" si="275">0.0125*B1068</f>
        <v>3125</v>
      </c>
      <c r="D1068" s="18">
        <v>45898</v>
      </c>
      <c r="E1068" s="16" t="s">
        <v>11</v>
      </c>
      <c r="F1068" s="16" t="s">
        <v>12</v>
      </c>
    </row>
    <row r="1069" spans="1:11" ht="12.75">
      <c r="A1069" s="16" t="s">
        <v>1058</v>
      </c>
      <c r="B1069" s="17">
        <v>175000</v>
      </c>
      <c r="C1069" s="17">
        <f t="shared" si="275"/>
        <v>2187.5</v>
      </c>
      <c r="D1069" s="18">
        <v>45898</v>
      </c>
      <c r="E1069" s="16" t="s">
        <v>11</v>
      </c>
      <c r="F1069" s="16" t="s">
        <v>12</v>
      </c>
    </row>
    <row r="1070" spans="1:11" ht="12.75">
      <c r="A1070" s="16" t="s">
        <v>249</v>
      </c>
      <c r="B1070" s="17">
        <v>10000</v>
      </c>
      <c r="C1070" s="17">
        <f t="shared" si="275"/>
        <v>125</v>
      </c>
      <c r="D1070" s="18">
        <v>45898</v>
      </c>
      <c r="E1070" s="16" t="s">
        <v>15</v>
      </c>
      <c r="F1070" s="16" t="s">
        <v>144</v>
      </c>
      <c r="H1070" s="24" t="s">
        <v>54</v>
      </c>
      <c r="K1070" s="16">
        <v>60</v>
      </c>
    </row>
    <row r="1071" spans="1:11" ht="12.75">
      <c r="A1071" s="16" t="s">
        <v>248</v>
      </c>
      <c r="B1071" s="17">
        <v>75000</v>
      </c>
      <c r="C1071" s="17">
        <f t="shared" si="275"/>
        <v>937.5</v>
      </c>
      <c r="D1071" s="18">
        <v>45898</v>
      </c>
      <c r="E1071" s="16" t="s">
        <v>15</v>
      </c>
      <c r="F1071" s="16" t="s">
        <v>12</v>
      </c>
      <c r="H1071" s="24" t="s">
        <v>16</v>
      </c>
      <c r="K1071" s="16">
        <v>300</v>
      </c>
    </row>
    <row r="1072" spans="1:11" ht="12.75">
      <c r="A1072" s="16" t="s">
        <v>1059</v>
      </c>
      <c r="B1072" s="17">
        <v>75000</v>
      </c>
      <c r="C1072" s="17">
        <f>0.0175*B1072</f>
        <v>1312.5000000000002</v>
      </c>
      <c r="D1072" s="18">
        <v>45898</v>
      </c>
      <c r="E1072" s="16" t="s">
        <v>15</v>
      </c>
      <c r="F1072" s="16" t="s">
        <v>28</v>
      </c>
      <c r="H1072" s="24" t="s">
        <v>149</v>
      </c>
      <c r="I1072" s="28" t="s">
        <v>30</v>
      </c>
      <c r="K1072" s="16">
        <v>187.5</v>
      </c>
    </row>
    <row r="1073" spans="1:11" ht="12.75">
      <c r="A1073" s="16" t="s">
        <v>314</v>
      </c>
      <c r="B1073" s="17">
        <v>60000</v>
      </c>
      <c r="C1073" s="17">
        <f t="shared" ref="C1073:C1074" si="276">0.0125*B1073</f>
        <v>750</v>
      </c>
      <c r="D1073" s="18">
        <v>45898</v>
      </c>
      <c r="E1073" s="16" t="s">
        <v>60</v>
      </c>
      <c r="F1073" s="16" t="s">
        <v>12</v>
      </c>
    </row>
    <row r="1074" spans="1:11" ht="12.75">
      <c r="A1074" s="16" t="s">
        <v>473</v>
      </c>
      <c r="B1074" s="17">
        <v>115000</v>
      </c>
      <c r="C1074" s="17">
        <f t="shared" si="276"/>
        <v>1437.5</v>
      </c>
      <c r="D1074" s="18">
        <v>45898</v>
      </c>
      <c r="E1074" s="16" t="s">
        <v>40</v>
      </c>
      <c r="F1074" s="16" t="s">
        <v>12</v>
      </c>
    </row>
    <row r="1075" spans="1:11" ht="12.75">
      <c r="A1075" s="16" t="s">
        <v>1060</v>
      </c>
      <c r="B1075" s="17">
        <v>275000</v>
      </c>
      <c r="C1075" s="17">
        <f t="shared" ref="C1075:C1078" si="277">0.0175*B1075</f>
        <v>4812.5000000000009</v>
      </c>
      <c r="D1075" s="18">
        <v>45898</v>
      </c>
      <c r="E1075" s="16" t="s">
        <v>60</v>
      </c>
      <c r="F1075" s="16" t="s">
        <v>28</v>
      </c>
      <c r="I1075" s="28" t="s">
        <v>30</v>
      </c>
    </row>
    <row r="1076" spans="1:11" ht="12.75">
      <c r="A1076" s="16" t="s">
        <v>1061</v>
      </c>
      <c r="B1076" s="17">
        <v>10000</v>
      </c>
      <c r="C1076" s="17">
        <f t="shared" si="277"/>
        <v>175.00000000000003</v>
      </c>
      <c r="D1076" s="18">
        <v>45898</v>
      </c>
      <c r="E1076" s="16" t="s">
        <v>135</v>
      </c>
      <c r="F1076" s="16" t="s">
        <v>67</v>
      </c>
      <c r="H1076" s="16" t="s">
        <v>13</v>
      </c>
      <c r="I1076" s="28" t="s">
        <v>30</v>
      </c>
    </row>
    <row r="1077" spans="1:11" ht="12.75">
      <c r="A1077" s="16" t="s">
        <v>1062</v>
      </c>
      <c r="B1077" s="17">
        <v>100000</v>
      </c>
      <c r="C1077" s="17">
        <f t="shared" si="277"/>
        <v>1750.0000000000002</v>
      </c>
      <c r="D1077" s="18">
        <v>45898</v>
      </c>
      <c r="E1077" s="16" t="s">
        <v>1063</v>
      </c>
      <c r="F1077" s="16" t="s">
        <v>28</v>
      </c>
      <c r="I1077" s="28" t="s">
        <v>30</v>
      </c>
    </row>
    <row r="1078" spans="1:11" ht="12.75">
      <c r="A1078" s="16" t="s">
        <v>1064</v>
      </c>
      <c r="B1078" s="17">
        <v>30000</v>
      </c>
      <c r="C1078" s="17">
        <f t="shared" si="277"/>
        <v>525</v>
      </c>
      <c r="D1078" s="18">
        <v>45898</v>
      </c>
      <c r="E1078" s="16" t="s">
        <v>11</v>
      </c>
      <c r="F1078" s="16" t="s">
        <v>28</v>
      </c>
      <c r="I1078" s="28" t="s">
        <v>30</v>
      </c>
    </row>
    <row r="1079" spans="1:11" ht="12.75">
      <c r="A1079" s="11">
        <v>45901</v>
      </c>
      <c r="B1079" s="12">
        <f t="shared" ref="B1079:C1079" si="278">SUM(B1080:B1237)</f>
        <v>35550300</v>
      </c>
      <c r="C1079" s="12">
        <f t="shared" si="278"/>
        <v>522668.75</v>
      </c>
      <c r="D1079" s="13"/>
      <c r="E1079" s="14"/>
      <c r="F1079" s="14"/>
      <c r="G1079" s="14"/>
      <c r="H1079" s="15"/>
      <c r="I1079" s="15"/>
      <c r="J1079" s="15"/>
      <c r="K1079" s="15"/>
    </row>
    <row r="1080" spans="1:11" ht="12.75">
      <c r="A1080" s="16" t="s">
        <v>32</v>
      </c>
      <c r="B1080" s="17">
        <v>45000</v>
      </c>
      <c r="C1080" s="17">
        <f>0.0125*B1080</f>
        <v>562.5</v>
      </c>
      <c r="D1080" s="18">
        <v>45902</v>
      </c>
      <c r="E1080" s="16" t="s">
        <v>15</v>
      </c>
      <c r="F1080" s="16" t="s">
        <v>12</v>
      </c>
      <c r="H1080" s="24" t="s">
        <v>98</v>
      </c>
      <c r="K1080" s="16">
        <v>135</v>
      </c>
    </row>
    <row r="1081" spans="1:11" ht="12.75">
      <c r="A1081" s="16" t="s">
        <v>1065</v>
      </c>
      <c r="B1081" s="17">
        <v>175000</v>
      </c>
      <c r="C1081" s="17">
        <f t="shared" ref="C1081:C1083" si="279">0.0175*B1081</f>
        <v>3062.5000000000005</v>
      </c>
      <c r="D1081" s="18">
        <v>45902</v>
      </c>
      <c r="E1081" s="16" t="s">
        <v>461</v>
      </c>
      <c r="F1081" s="16" t="s">
        <v>28</v>
      </c>
      <c r="H1081" s="16" t="s">
        <v>1008</v>
      </c>
      <c r="I1081" s="28" t="s">
        <v>30</v>
      </c>
    </row>
    <row r="1082" spans="1:11" ht="12.75">
      <c r="A1082" s="16" t="s">
        <v>1066</v>
      </c>
      <c r="B1082" s="17">
        <v>30000</v>
      </c>
      <c r="C1082" s="17">
        <f t="shared" si="279"/>
        <v>525</v>
      </c>
      <c r="D1082" s="18">
        <v>45902</v>
      </c>
      <c r="E1082" s="16" t="s">
        <v>60</v>
      </c>
      <c r="F1082" s="16" t="s">
        <v>28</v>
      </c>
      <c r="I1082" s="28" t="s">
        <v>30</v>
      </c>
    </row>
    <row r="1083" spans="1:11" ht="12.75">
      <c r="A1083" s="16" t="s">
        <v>667</v>
      </c>
      <c r="B1083" s="17">
        <v>900000</v>
      </c>
      <c r="C1083" s="17">
        <f t="shared" si="279"/>
        <v>15750.000000000002</v>
      </c>
      <c r="D1083" s="18">
        <v>45902</v>
      </c>
      <c r="E1083" s="16" t="s">
        <v>11</v>
      </c>
      <c r="F1083" s="16" t="s">
        <v>67</v>
      </c>
    </row>
    <row r="1084" spans="1:11" ht="12.75">
      <c r="A1084" s="16" t="s">
        <v>1067</v>
      </c>
      <c r="B1084" s="17">
        <v>150000</v>
      </c>
      <c r="C1084" s="17">
        <f>0.0125*B1084</f>
        <v>1875</v>
      </c>
      <c r="D1084" s="18">
        <v>45903</v>
      </c>
      <c r="E1084" s="16" t="s">
        <v>11</v>
      </c>
      <c r="F1084" s="16" t="s">
        <v>12</v>
      </c>
    </row>
    <row r="1085" spans="1:11" ht="12.75">
      <c r="A1085" s="16" t="s">
        <v>1068</v>
      </c>
      <c r="B1085" s="17">
        <v>125000</v>
      </c>
      <c r="C1085" s="17">
        <f t="shared" ref="C1085:C1090" si="280">0.0175*B1085</f>
        <v>2187.5</v>
      </c>
      <c r="D1085" s="18">
        <v>45903</v>
      </c>
      <c r="E1085" s="16" t="s">
        <v>768</v>
      </c>
      <c r="F1085" s="16" t="s">
        <v>28</v>
      </c>
    </row>
    <row r="1086" spans="1:11" ht="12.75">
      <c r="A1086" s="16" t="s">
        <v>1069</v>
      </c>
      <c r="B1086" s="17">
        <v>100000</v>
      </c>
      <c r="C1086" s="17">
        <f t="shared" si="280"/>
        <v>1750.0000000000002</v>
      </c>
      <c r="D1086" s="18">
        <v>45903</v>
      </c>
      <c r="E1086" s="16" t="s">
        <v>15</v>
      </c>
      <c r="F1086" s="16" t="s">
        <v>28</v>
      </c>
      <c r="H1086" s="24" t="s">
        <v>35</v>
      </c>
      <c r="I1086" s="28" t="s">
        <v>30</v>
      </c>
      <c r="K1086" s="16">
        <v>200</v>
      </c>
    </row>
    <row r="1087" spans="1:11" ht="12.75">
      <c r="A1087" s="16" t="s">
        <v>1070</v>
      </c>
      <c r="B1087" s="17">
        <v>25000</v>
      </c>
      <c r="C1087" s="17">
        <f t="shared" si="280"/>
        <v>437.50000000000006</v>
      </c>
      <c r="D1087" s="18">
        <v>45903</v>
      </c>
      <c r="E1087" s="16" t="s">
        <v>24</v>
      </c>
      <c r="F1087" s="16" t="s">
        <v>28</v>
      </c>
      <c r="H1087" s="16" t="s">
        <v>1071</v>
      </c>
      <c r="I1087" s="28" t="s">
        <v>30</v>
      </c>
    </row>
    <row r="1088" spans="1:11" ht="12.75">
      <c r="A1088" s="16" t="s">
        <v>1072</v>
      </c>
      <c r="B1088" s="17">
        <v>23000</v>
      </c>
      <c r="C1088" s="17">
        <f t="shared" si="280"/>
        <v>402.50000000000006</v>
      </c>
      <c r="D1088" s="18">
        <v>45903</v>
      </c>
      <c r="E1088" s="16" t="s">
        <v>15</v>
      </c>
      <c r="F1088" s="16" t="s">
        <v>28</v>
      </c>
      <c r="H1088" s="24" t="s">
        <v>54</v>
      </c>
      <c r="I1088" s="28" t="s">
        <v>30</v>
      </c>
      <c r="K1088" s="16">
        <v>138</v>
      </c>
    </row>
    <row r="1089" spans="1:11" ht="12.75">
      <c r="A1089" s="16" t="s">
        <v>1073</v>
      </c>
      <c r="B1089" s="17">
        <v>25000</v>
      </c>
      <c r="C1089" s="17">
        <f t="shared" si="280"/>
        <v>437.50000000000006</v>
      </c>
      <c r="D1089" s="18">
        <v>45903</v>
      </c>
      <c r="E1089" s="16" t="s">
        <v>60</v>
      </c>
      <c r="F1089" s="16" t="s">
        <v>28</v>
      </c>
      <c r="I1089" s="28" t="s">
        <v>30</v>
      </c>
    </row>
    <row r="1090" spans="1:11" ht="12.75">
      <c r="A1090" s="16" t="s">
        <v>1074</v>
      </c>
      <c r="B1090" s="17">
        <v>200000</v>
      </c>
      <c r="C1090" s="17">
        <f t="shared" si="280"/>
        <v>3500.0000000000005</v>
      </c>
      <c r="D1090" s="18">
        <v>45903</v>
      </c>
      <c r="E1090" s="16" t="s">
        <v>15</v>
      </c>
      <c r="F1090" s="16" t="s">
        <v>28</v>
      </c>
      <c r="H1090" s="24" t="s">
        <v>172</v>
      </c>
      <c r="I1090" s="28" t="s">
        <v>30</v>
      </c>
      <c r="K1090" s="16">
        <v>300</v>
      </c>
    </row>
    <row r="1091" spans="1:11" ht="12.75">
      <c r="A1091" s="16" t="s">
        <v>1075</v>
      </c>
      <c r="B1091" s="17">
        <v>80000</v>
      </c>
      <c r="C1091" s="17">
        <f t="shared" ref="C1091:C1092" si="281">0.0125*B1091</f>
        <v>1000</v>
      </c>
      <c r="D1091" s="18">
        <v>45903</v>
      </c>
      <c r="E1091" s="16" t="s">
        <v>15</v>
      </c>
      <c r="F1091" s="16" t="s">
        <v>12</v>
      </c>
      <c r="H1091" s="24" t="s">
        <v>29</v>
      </c>
      <c r="K1091" s="16">
        <v>360</v>
      </c>
    </row>
    <row r="1092" spans="1:11" ht="12.75">
      <c r="A1092" s="16" t="s">
        <v>1076</v>
      </c>
      <c r="B1092" s="17">
        <v>550000</v>
      </c>
      <c r="C1092" s="17">
        <f t="shared" si="281"/>
        <v>6875</v>
      </c>
      <c r="D1092" s="18">
        <v>45904</v>
      </c>
      <c r="E1092" s="16" t="s">
        <v>24</v>
      </c>
      <c r="F1092" s="16" t="s">
        <v>12</v>
      </c>
      <c r="H1092" s="16" t="s">
        <v>996</v>
      </c>
    </row>
    <row r="1093" spans="1:11" ht="12.75">
      <c r="A1093" s="16" t="s">
        <v>1077</v>
      </c>
      <c r="B1093" s="17">
        <v>450000</v>
      </c>
      <c r="C1093" s="17">
        <f t="shared" ref="C1093:C1094" si="282">0.0175*B1093</f>
        <v>7875.0000000000009</v>
      </c>
      <c r="D1093" s="18">
        <v>45904</v>
      </c>
      <c r="E1093" s="16" t="s">
        <v>376</v>
      </c>
      <c r="F1093" s="16" t="s">
        <v>28</v>
      </c>
      <c r="H1093" s="16" t="s">
        <v>13</v>
      </c>
      <c r="I1093" s="28" t="s">
        <v>30</v>
      </c>
    </row>
    <row r="1094" spans="1:11" ht="12.75">
      <c r="A1094" s="16" t="s">
        <v>1078</v>
      </c>
      <c r="B1094" s="17">
        <v>350000</v>
      </c>
      <c r="C1094" s="17">
        <f t="shared" si="282"/>
        <v>6125.0000000000009</v>
      </c>
      <c r="D1094" s="18">
        <v>45904</v>
      </c>
      <c r="E1094" s="16" t="s">
        <v>69</v>
      </c>
      <c r="F1094" s="16" t="s">
        <v>28</v>
      </c>
      <c r="H1094" s="16" t="s">
        <v>13</v>
      </c>
      <c r="I1094" s="28" t="s">
        <v>30</v>
      </c>
    </row>
    <row r="1095" spans="1:11" ht="12.75">
      <c r="A1095" s="16" t="s">
        <v>1079</v>
      </c>
      <c r="B1095" s="17">
        <v>75000</v>
      </c>
      <c r="C1095" s="17">
        <f t="shared" ref="C1095:C1096" si="283">0.0125*B1095</f>
        <v>937.5</v>
      </c>
      <c r="D1095" s="18">
        <v>45904</v>
      </c>
      <c r="E1095" s="16" t="s">
        <v>11</v>
      </c>
      <c r="F1095" s="16" t="s">
        <v>12</v>
      </c>
    </row>
    <row r="1096" spans="1:11" ht="12.75">
      <c r="A1096" s="16" t="s">
        <v>1080</v>
      </c>
      <c r="B1096" s="17">
        <v>71000</v>
      </c>
      <c r="C1096" s="17">
        <f t="shared" si="283"/>
        <v>887.5</v>
      </c>
      <c r="D1096" s="18">
        <v>45904</v>
      </c>
      <c r="E1096" s="16" t="s">
        <v>15</v>
      </c>
      <c r="F1096" s="16" t="s">
        <v>12</v>
      </c>
      <c r="H1096" s="24" t="s">
        <v>16</v>
      </c>
      <c r="K1096" s="16">
        <v>284</v>
      </c>
    </row>
    <row r="1097" spans="1:11" ht="12.75">
      <c r="A1097" s="16" t="s">
        <v>1081</v>
      </c>
      <c r="B1097" s="17">
        <v>75000</v>
      </c>
      <c r="C1097" s="17">
        <f>0.0175*B1097</f>
        <v>1312.5000000000002</v>
      </c>
      <c r="D1097" s="18">
        <v>45904</v>
      </c>
      <c r="E1097" s="16" t="s">
        <v>15</v>
      </c>
      <c r="F1097" s="16" t="s">
        <v>28</v>
      </c>
      <c r="H1097" s="24" t="s">
        <v>35</v>
      </c>
      <c r="I1097" s="28" t="s">
        <v>30</v>
      </c>
    </row>
    <row r="1098" spans="1:11" ht="12.75">
      <c r="A1098" s="16" t="s">
        <v>1076</v>
      </c>
      <c r="B1098" s="17">
        <v>470000</v>
      </c>
      <c r="C1098" s="17">
        <f>0.0125*B1098</f>
        <v>5875</v>
      </c>
      <c r="D1098" s="18">
        <v>45905</v>
      </c>
      <c r="E1098" s="16" t="s">
        <v>24</v>
      </c>
      <c r="F1098" s="16" t="s">
        <v>12</v>
      </c>
      <c r="H1098" s="16" t="s">
        <v>996</v>
      </c>
    </row>
    <row r="1099" spans="1:11" ht="12.75">
      <c r="A1099" s="16" t="s">
        <v>1082</v>
      </c>
      <c r="B1099" s="17">
        <v>400000</v>
      </c>
      <c r="C1099" s="17">
        <f>0.0175*B1099</f>
        <v>7000.0000000000009</v>
      </c>
      <c r="D1099" s="18">
        <v>45905</v>
      </c>
      <c r="E1099" s="16" t="s">
        <v>118</v>
      </c>
      <c r="F1099" s="16" t="s">
        <v>28</v>
      </c>
      <c r="H1099" s="16" t="s">
        <v>13</v>
      </c>
      <c r="I1099" s="28" t="s">
        <v>30</v>
      </c>
    </row>
    <row r="1100" spans="1:11" ht="12.75">
      <c r="A1100" s="16" t="s">
        <v>1083</v>
      </c>
      <c r="B1100" s="17">
        <v>180000</v>
      </c>
      <c r="C1100" s="17">
        <f>0.0125*B1100</f>
        <v>2250</v>
      </c>
      <c r="D1100" s="18">
        <v>45905</v>
      </c>
      <c r="E1100" s="16" t="s">
        <v>60</v>
      </c>
      <c r="F1100" s="16" t="s">
        <v>12</v>
      </c>
    </row>
    <row r="1101" spans="1:11" ht="12.75">
      <c r="A1101" s="16" t="s">
        <v>1084</v>
      </c>
      <c r="B1101" s="17">
        <v>250000</v>
      </c>
      <c r="C1101" s="17">
        <f t="shared" ref="C1101:C1104" si="284">0.0175*B1101</f>
        <v>4375</v>
      </c>
      <c r="D1101" s="18">
        <v>45905</v>
      </c>
      <c r="E1101" s="16" t="s">
        <v>24</v>
      </c>
      <c r="F1101" s="16" t="s">
        <v>67</v>
      </c>
      <c r="H1101" s="16" t="s">
        <v>642</v>
      </c>
    </row>
    <row r="1102" spans="1:11" ht="12.75">
      <c r="A1102" s="16" t="s">
        <v>1085</v>
      </c>
      <c r="B1102" s="17">
        <v>675000</v>
      </c>
      <c r="C1102" s="17">
        <f t="shared" si="284"/>
        <v>11812.500000000002</v>
      </c>
      <c r="D1102" s="18">
        <v>45905</v>
      </c>
      <c r="E1102" s="16" t="s">
        <v>804</v>
      </c>
      <c r="F1102" s="16" t="s">
        <v>28</v>
      </c>
      <c r="H1102" s="16" t="s">
        <v>13</v>
      </c>
      <c r="I1102" s="28" t="s">
        <v>30</v>
      </c>
    </row>
    <row r="1103" spans="1:11" ht="12.75">
      <c r="A1103" s="16" t="s">
        <v>1086</v>
      </c>
      <c r="B1103" s="17">
        <v>185000</v>
      </c>
      <c r="C1103" s="17">
        <f t="shared" si="284"/>
        <v>3237.5000000000005</v>
      </c>
      <c r="D1103" s="18">
        <v>45908</v>
      </c>
      <c r="E1103" s="16" t="s">
        <v>60</v>
      </c>
      <c r="F1103" s="16" t="s">
        <v>28</v>
      </c>
      <c r="I1103" s="28" t="s">
        <v>30</v>
      </c>
    </row>
    <row r="1104" spans="1:11" ht="12.75">
      <c r="A1104" s="16" t="s">
        <v>1087</v>
      </c>
      <c r="B1104" s="17">
        <v>50000</v>
      </c>
      <c r="C1104" s="17">
        <f t="shared" si="284"/>
        <v>875.00000000000011</v>
      </c>
      <c r="D1104" s="18">
        <v>45908</v>
      </c>
      <c r="E1104" s="16" t="s">
        <v>15</v>
      </c>
      <c r="F1104" s="16" t="s">
        <v>28</v>
      </c>
      <c r="H1104" s="24" t="s">
        <v>16</v>
      </c>
      <c r="I1104" s="28" t="s">
        <v>30</v>
      </c>
      <c r="K1104" s="16">
        <v>200</v>
      </c>
    </row>
    <row r="1105" spans="1:11" ht="12.75">
      <c r="A1105" s="16" t="s">
        <v>1088</v>
      </c>
      <c r="B1105" s="17">
        <v>80000</v>
      </c>
      <c r="C1105" s="17">
        <f>0.0125*B1105</f>
        <v>1000</v>
      </c>
      <c r="D1105" s="18">
        <v>45908</v>
      </c>
      <c r="E1105" s="16" t="s">
        <v>21</v>
      </c>
      <c r="F1105" s="16" t="s">
        <v>12</v>
      </c>
      <c r="H1105" s="16" t="s">
        <v>22</v>
      </c>
    </row>
    <row r="1106" spans="1:11" ht="12.75">
      <c r="A1106" s="16" t="s">
        <v>1089</v>
      </c>
      <c r="B1106" s="17">
        <v>65000</v>
      </c>
      <c r="C1106" s="17">
        <f t="shared" ref="C1106:C1107" si="285">0.0175*B1106</f>
        <v>1137.5</v>
      </c>
      <c r="D1106" s="18">
        <v>45909</v>
      </c>
      <c r="E1106" s="16" t="s">
        <v>24</v>
      </c>
      <c r="F1106" s="16" t="s">
        <v>28</v>
      </c>
      <c r="H1106" s="16" t="s">
        <v>642</v>
      </c>
      <c r="I1106" s="28" t="s">
        <v>30</v>
      </c>
    </row>
    <row r="1107" spans="1:11" ht="12.75">
      <c r="A1107" s="16" t="s">
        <v>1090</v>
      </c>
      <c r="B1107" s="17">
        <v>2000000</v>
      </c>
      <c r="C1107" s="17">
        <f t="shared" si="285"/>
        <v>35000</v>
      </c>
      <c r="D1107" s="18">
        <v>45909</v>
      </c>
      <c r="E1107" s="16" t="s">
        <v>118</v>
      </c>
      <c r="F1107" s="16" t="s">
        <v>28</v>
      </c>
      <c r="H1107" s="16" t="s">
        <v>13</v>
      </c>
      <c r="I1107" s="28" t="s">
        <v>30</v>
      </c>
    </row>
    <row r="1108" spans="1:11" ht="12.75">
      <c r="A1108" s="16" t="s">
        <v>543</v>
      </c>
      <c r="B1108" s="17">
        <v>124000</v>
      </c>
      <c r="C1108" s="17">
        <f>0.0125*B1108</f>
        <v>1550</v>
      </c>
      <c r="D1108" s="18">
        <v>45909</v>
      </c>
      <c r="E1108" s="16" t="s">
        <v>73</v>
      </c>
      <c r="F1108" s="16" t="s">
        <v>12</v>
      </c>
    </row>
    <row r="1109" spans="1:11" ht="12.75">
      <c r="A1109" s="16" t="s">
        <v>1091</v>
      </c>
      <c r="B1109" s="17">
        <v>250000</v>
      </c>
      <c r="C1109" s="17">
        <f>0.0175*B1109</f>
        <v>4375</v>
      </c>
      <c r="D1109" s="18">
        <v>45909</v>
      </c>
      <c r="E1109" s="16" t="s">
        <v>15</v>
      </c>
      <c r="F1109" s="16" t="s">
        <v>28</v>
      </c>
      <c r="H1109" s="24" t="s">
        <v>220</v>
      </c>
      <c r="I1109" s="28" t="s">
        <v>30</v>
      </c>
      <c r="K1109" s="16">
        <v>875</v>
      </c>
    </row>
    <row r="1110" spans="1:11" ht="12.75">
      <c r="A1110" s="16" t="s">
        <v>1092</v>
      </c>
      <c r="B1110" s="17">
        <v>65000</v>
      </c>
      <c r="C1110" s="17">
        <f>0.0125*B1110</f>
        <v>812.5</v>
      </c>
      <c r="D1110" s="18">
        <v>45909</v>
      </c>
      <c r="E1110" s="16" t="s">
        <v>73</v>
      </c>
      <c r="F1110" s="16" t="s">
        <v>12</v>
      </c>
      <c r="H1110" s="24"/>
    </row>
    <row r="1111" spans="1:11" ht="12.75">
      <c r="A1111" s="16" t="s">
        <v>1093</v>
      </c>
      <c r="B1111" s="17">
        <v>80000</v>
      </c>
      <c r="C1111" s="17">
        <f t="shared" ref="C1111:C1120" si="286">0.0175*B1111</f>
        <v>1400.0000000000002</v>
      </c>
      <c r="D1111" s="18">
        <v>45909</v>
      </c>
      <c r="E1111" s="16" t="s">
        <v>15</v>
      </c>
      <c r="F1111" s="16" t="s">
        <v>28</v>
      </c>
      <c r="H1111" s="24" t="s">
        <v>282</v>
      </c>
      <c r="I1111" s="28" t="s">
        <v>30</v>
      </c>
      <c r="K1111" s="16">
        <v>80</v>
      </c>
    </row>
    <row r="1112" spans="1:11" ht="12.75">
      <c r="A1112" s="16" t="s">
        <v>1094</v>
      </c>
      <c r="B1112" s="17">
        <v>80000</v>
      </c>
      <c r="C1112" s="17">
        <f t="shared" si="286"/>
        <v>1400.0000000000002</v>
      </c>
      <c r="D1112" s="18">
        <v>45909</v>
      </c>
      <c r="E1112" s="16" t="s">
        <v>15</v>
      </c>
      <c r="F1112" s="16" t="s">
        <v>144</v>
      </c>
      <c r="H1112" s="24" t="s">
        <v>16</v>
      </c>
      <c r="K1112" s="16">
        <v>320</v>
      </c>
    </row>
    <row r="1113" spans="1:11" ht="12.75">
      <c r="A1113" s="16" t="s">
        <v>1095</v>
      </c>
      <c r="B1113" s="17">
        <v>30000</v>
      </c>
      <c r="C1113" s="17">
        <f t="shared" si="286"/>
        <v>525</v>
      </c>
      <c r="D1113" s="18">
        <v>45909</v>
      </c>
      <c r="E1113" s="16" t="s">
        <v>15</v>
      </c>
      <c r="F1113" s="16" t="s">
        <v>28</v>
      </c>
      <c r="H1113" s="24" t="s">
        <v>54</v>
      </c>
      <c r="I1113" s="28" t="s">
        <v>30</v>
      </c>
      <c r="K1113" s="16">
        <v>180</v>
      </c>
    </row>
    <row r="1114" spans="1:11" ht="12.75">
      <c r="A1114" s="16" t="s">
        <v>1096</v>
      </c>
      <c r="B1114" s="17">
        <v>30000</v>
      </c>
      <c r="C1114" s="17">
        <f t="shared" si="286"/>
        <v>525</v>
      </c>
      <c r="D1114" s="18">
        <v>45909</v>
      </c>
      <c r="E1114" s="16" t="s">
        <v>804</v>
      </c>
      <c r="F1114" s="16" t="s">
        <v>28</v>
      </c>
      <c r="H1114" s="16" t="s">
        <v>13</v>
      </c>
      <c r="I1114" s="28" t="s">
        <v>30</v>
      </c>
    </row>
    <row r="1115" spans="1:11" ht="12.75">
      <c r="A1115" s="16" t="s">
        <v>1097</v>
      </c>
      <c r="B1115" s="17">
        <v>20000</v>
      </c>
      <c r="C1115" s="17">
        <f t="shared" si="286"/>
        <v>350.00000000000006</v>
      </c>
      <c r="D1115" s="18">
        <v>45909</v>
      </c>
      <c r="E1115" s="16" t="s">
        <v>15</v>
      </c>
      <c r="F1115" s="16" t="s">
        <v>12</v>
      </c>
      <c r="H1115" s="24" t="s">
        <v>98</v>
      </c>
      <c r="K1115" s="16">
        <v>60</v>
      </c>
    </row>
    <row r="1116" spans="1:11" ht="12.75">
      <c r="A1116" s="16" t="s">
        <v>1098</v>
      </c>
      <c r="B1116" s="17">
        <v>85000</v>
      </c>
      <c r="C1116" s="17">
        <f t="shared" si="286"/>
        <v>1487.5000000000002</v>
      </c>
      <c r="D1116" s="18">
        <v>45909</v>
      </c>
      <c r="E1116" s="16" t="s">
        <v>60</v>
      </c>
      <c r="F1116" s="16" t="s">
        <v>28</v>
      </c>
      <c r="I1116" s="28" t="s">
        <v>30</v>
      </c>
    </row>
    <row r="1117" spans="1:11" ht="12.75">
      <c r="A1117" s="16" t="s">
        <v>1099</v>
      </c>
      <c r="B1117" s="17">
        <v>150000</v>
      </c>
      <c r="C1117" s="17">
        <f t="shared" si="286"/>
        <v>2625.0000000000005</v>
      </c>
      <c r="D1117" s="18">
        <v>45909</v>
      </c>
      <c r="E1117" s="16" t="s">
        <v>11</v>
      </c>
      <c r="F1117" s="16" t="s">
        <v>28</v>
      </c>
      <c r="I1117" s="28" t="s">
        <v>30</v>
      </c>
    </row>
    <row r="1118" spans="1:11" ht="12.75">
      <c r="A1118" s="16" t="s">
        <v>1100</v>
      </c>
      <c r="B1118" s="17">
        <v>100000</v>
      </c>
      <c r="C1118" s="17">
        <f t="shared" si="286"/>
        <v>1750.0000000000002</v>
      </c>
      <c r="D1118" s="18">
        <v>45909</v>
      </c>
      <c r="E1118" s="16" t="s">
        <v>73</v>
      </c>
      <c r="F1118" s="16" t="s">
        <v>28</v>
      </c>
      <c r="H1118" s="16" t="s">
        <v>1101</v>
      </c>
    </row>
    <row r="1119" spans="1:11" ht="12.75">
      <c r="A1119" s="16" t="s">
        <v>1102</v>
      </c>
      <c r="B1119" s="17">
        <v>80000</v>
      </c>
      <c r="C1119" s="17">
        <f t="shared" si="286"/>
        <v>1400.0000000000002</v>
      </c>
      <c r="D1119" s="18">
        <v>45909</v>
      </c>
      <c r="E1119" s="16" t="s">
        <v>24</v>
      </c>
      <c r="F1119" s="16" t="s">
        <v>28</v>
      </c>
      <c r="H1119" s="16" t="s">
        <v>642</v>
      </c>
      <c r="I1119" s="28" t="s">
        <v>30</v>
      </c>
    </row>
    <row r="1120" spans="1:11" ht="12.75">
      <c r="A1120" s="16" t="s">
        <v>1103</v>
      </c>
      <c r="B1120" s="17">
        <v>100000</v>
      </c>
      <c r="C1120" s="17">
        <f t="shared" si="286"/>
        <v>1750.0000000000002</v>
      </c>
      <c r="D1120" s="18">
        <v>45909</v>
      </c>
      <c r="E1120" s="16" t="s">
        <v>24</v>
      </c>
      <c r="F1120" s="16" t="s">
        <v>28</v>
      </c>
      <c r="H1120" s="16" t="s">
        <v>642</v>
      </c>
      <c r="I1120" s="28" t="s">
        <v>30</v>
      </c>
    </row>
    <row r="1121" spans="1:11" ht="12.75">
      <c r="A1121" s="16" t="s">
        <v>1104</v>
      </c>
      <c r="B1121" s="17">
        <v>250000</v>
      </c>
      <c r="C1121" s="17">
        <f>0.0125*B1121</f>
        <v>3125</v>
      </c>
      <c r="D1121" s="18">
        <v>45909</v>
      </c>
      <c r="E1121" s="16" t="s">
        <v>11</v>
      </c>
      <c r="F1121" s="16" t="s">
        <v>12</v>
      </c>
    </row>
    <row r="1122" spans="1:11" ht="12.75">
      <c r="A1122" s="16" t="s">
        <v>1105</v>
      </c>
      <c r="B1122" s="17">
        <v>75000</v>
      </c>
      <c r="C1122" s="17">
        <f>0.0175*B1122</f>
        <v>1312.5000000000002</v>
      </c>
      <c r="D1122" s="18">
        <v>45909</v>
      </c>
      <c r="E1122" s="16" t="s">
        <v>60</v>
      </c>
      <c r="F1122" s="16" t="s">
        <v>28</v>
      </c>
      <c r="I1122" s="28" t="s">
        <v>30</v>
      </c>
    </row>
    <row r="1123" spans="1:11" ht="12.75">
      <c r="A1123" s="16" t="s">
        <v>542</v>
      </c>
      <c r="B1123" s="17">
        <v>175000</v>
      </c>
      <c r="C1123" s="17">
        <f t="shared" ref="C1123:C1125" si="287">0.0125*B1123</f>
        <v>2187.5</v>
      </c>
      <c r="D1123" s="18">
        <v>45910</v>
      </c>
      <c r="E1123" s="16" t="s">
        <v>1106</v>
      </c>
      <c r="F1123" s="16" t="s">
        <v>12</v>
      </c>
    </row>
    <row r="1124" spans="1:11" ht="12.75">
      <c r="A1124" s="16" t="s">
        <v>1107</v>
      </c>
      <c r="B1124" s="17">
        <v>553300</v>
      </c>
      <c r="C1124" s="17">
        <f t="shared" si="287"/>
        <v>6916.25</v>
      </c>
      <c r="D1124" s="18">
        <v>45910</v>
      </c>
      <c r="E1124" s="16" t="s">
        <v>24</v>
      </c>
      <c r="F1124" s="16" t="s">
        <v>12</v>
      </c>
      <c r="H1124" s="16" t="s">
        <v>996</v>
      </c>
    </row>
    <row r="1125" spans="1:11" ht="12.75">
      <c r="A1125" s="16" t="s">
        <v>1108</v>
      </c>
      <c r="B1125" s="17">
        <v>115000</v>
      </c>
      <c r="C1125" s="17">
        <f t="shared" si="287"/>
        <v>1437.5</v>
      </c>
      <c r="D1125" s="18">
        <v>45910</v>
      </c>
      <c r="E1125" s="16" t="s">
        <v>1106</v>
      </c>
      <c r="F1125" s="16" t="s">
        <v>12</v>
      </c>
    </row>
    <row r="1126" spans="1:11" ht="12.75">
      <c r="A1126" s="16" t="s">
        <v>1109</v>
      </c>
      <c r="B1126" s="17">
        <v>50000</v>
      </c>
      <c r="C1126" s="17">
        <f t="shared" ref="C1126:C1131" si="288">0.0175*B1126</f>
        <v>875.00000000000011</v>
      </c>
      <c r="D1126" s="18">
        <v>45910</v>
      </c>
      <c r="E1126" s="16" t="s">
        <v>1110</v>
      </c>
      <c r="F1126" s="16" t="s">
        <v>28</v>
      </c>
      <c r="H1126" s="24" t="s">
        <v>54</v>
      </c>
      <c r="I1126" s="28" t="s">
        <v>30</v>
      </c>
      <c r="K1126" s="16">
        <v>300</v>
      </c>
    </row>
    <row r="1127" spans="1:11" ht="12.75">
      <c r="A1127" s="16" t="s">
        <v>1111</v>
      </c>
      <c r="B1127" s="17">
        <v>225000</v>
      </c>
      <c r="C1127" s="17">
        <f t="shared" si="288"/>
        <v>3937.5000000000005</v>
      </c>
      <c r="D1127" s="18">
        <v>45910</v>
      </c>
      <c r="E1127" s="16" t="s">
        <v>899</v>
      </c>
      <c r="F1127" s="16" t="s">
        <v>28</v>
      </c>
      <c r="I1127" s="28" t="s">
        <v>30</v>
      </c>
    </row>
    <row r="1128" spans="1:11" ht="12.75">
      <c r="A1128" s="16" t="s">
        <v>1112</v>
      </c>
      <c r="B1128" s="17">
        <v>140000</v>
      </c>
      <c r="C1128" s="17">
        <f t="shared" si="288"/>
        <v>2450.0000000000005</v>
      </c>
      <c r="D1128" s="18">
        <v>45911</v>
      </c>
      <c r="E1128" s="16" t="s">
        <v>60</v>
      </c>
      <c r="F1128" s="16" t="s">
        <v>28</v>
      </c>
      <c r="I1128" s="28" t="s">
        <v>30</v>
      </c>
    </row>
    <row r="1129" spans="1:11" ht="12.75">
      <c r="A1129" s="16" t="s">
        <v>1113</v>
      </c>
      <c r="B1129" s="17">
        <v>20000</v>
      </c>
      <c r="C1129" s="17">
        <f t="shared" si="288"/>
        <v>350.00000000000006</v>
      </c>
      <c r="D1129" s="18">
        <v>45911</v>
      </c>
      <c r="E1129" s="16" t="s">
        <v>15</v>
      </c>
      <c r="F1129" s="16" t="s">
        <v>28</v>
      </c>
      <c r="H1129" s="24" t="s">
        <v>16</v>
      </c>
      <c r="I1129" s="28" t="s">
        <v>30</v>
      </c>
    </row>
    <row r="1130" spans="1:11" ht="12.75">
      <c r="A1130" s="16" t="s">
        <v>1114</v>
      </c>
      <c r="B1130" s="17">
        <v>50000</v>
      </c>
      <c r="C1130" s="17">
        <f t="shared" si="288"/>
        <v>875.00000000000011</v>
      </c>
      <c r="D1130" s="18">
        <v>45911</v>
      </c>
      <c r="E1130" s="16" t="s">
        <v>21</v>
      </c>
      <c r="F1130" s="16" t="s">
        <v>28</v>
      </c>
      <c r="H1130" s="16" t="s">
        <v>13</v>
      </c>
      <c r="I1130" s="28" t="s">
        <v>30</v>
      </c>
    </row>
    <row r="1131" spans="1:11" ht="12.75">
      <c r="A1131" s="16" t="s">
        <v>752</v>
      </c>
      <c r="B1131" s="17">
        <v>40000</v>
      </c>
      <c r="C1131" s="17">
        <f t="shared" si="288"/>
        <v>700.00000000000011</v>
      </c>
      <c r="D1131" s="18">
        <v>45911</v>
      </c>
      <c r="E1131" s="16" t="s">
        <v>11</v>
      </c>
      <c r="F1131" s="16" t="s">
        <v>67</v>
      </c>
    </row>
    <row r="1132" spans="1:11" ht="12.75">
      <c r="A1132" s="16" t="s">
        <v>1115</v>
      </c>
      <c r="B1132" s="17">
        <v>150000</v>
      </c>
      <c r="C1132" s="17">
        <f t="shared" ref="C1132:C1134" si="289">0.0125*B1132</f>
        <v>1875</v>
      </c>
      <c r="D1132" s="18">
        <v>45911</v>
      </c>
      <c r="E1132" s="16" t="s">
        <v>11</v>
      </c>
      <c r="F1132" s="16" t="s">
        <v>12</v>
      </c>
    </row>
    <row r="1133" spans="1:11" ht="12.75">
      <c r="A1133" s="16" t="s">
        <v>94</v>
      </c>
      <c r="B1133" s="17">
        <v>20000</v>
      </c>
      <c r="C1133" s="17">
        <f t="shared" si="289"/>
        <v>250</v>
      </c>
      <c r="D1133" s="18">
        <v>45911</v>
      </c>
      <c r="E1133" s="16" t="s">
        <v>15</v>
      </c>
      <c r="F1133" s="16" t="s">
        <v>144</v>
      </c>
      <c r="H1133" s="24" t="s">
        <v>51</v>
      </c>
    </row>
    <row r="1134" spans="1:11" ht="12.75">
      <c r="A1134" s="16" t="s">
        <v>1116</v>
      </c>
      <c r="B1134" s="17">
        <v>600000</v>
      </c>
      <c r="C1134" s="17">
        <f t="shared" si="289"/>
        <v>7500</v>
      </c>
      <c r="D1134" s="18">
        <v>45911</v>
      </c>
      <c r="E1134" s="16" t="s">
        <v>1110</v>
      </c>
      <c r="F1134" s="16" t="s">
        <v>12</v>
      </c>
      <c r="H1134" s="24" t="s">
        <v>1117</v>
      </c>
      <c r="K1134" s="16">
        <v>450</v>
      </c>
    </row>
    <row r="1135" spans="1:11" ht="12.75">
      <c r="A1135" s="16" t="s">
        <v>1118</v>
      </c>
      <c r="B1135" s="17">
        <v>85000</v>
      </c>
      <c r="C1135" s="17">
        <f t="shared" ref="C1135:C1137" si="290">0.0175*B1135</f>
        <v>1487.5000000000002</v>
      </c>
      <c r="D1135" s="18">
        <v>45911</v>
      </c>
      <c r="E1135" s="16" t="s">
        <v>118</v>
      </c>
      <c r="F1135" s="16" t="s">
        <v>28</v>
      </c>
      <c r="H1135" s="16" t="s">
        <v>13</v>
      </c>
      <c r="I1135" s="28" t="s">
        <v>30</v>
      </c>
    </row>
    <row r="1136" spans="1:11" ht="12.75">
      <c r="A1136" s="16" t="s">
        <v>1119</v>
      </c>
      <c r="B1136" s="17">
        <v>35000</v>
      </c>
      <c r="C1136" s="17">
        <f t="shared" si="290"/>
        <v>612.50000000000011</v>
      </c>
      <c r="D1136" s="18">
        <v>45911</v>
      </c>
      <c r="E1136" s="16" t="s">
        <v>15</v>
      </c>
      <c r="F1136" s="16" t="s">
        <v>28</v>
      </c>
      <c r="H1136" s="24" t="s">
        <v>220</v>
      </c>
      <c r="I1136" s="28" t="s">
        <v>30</v>
      </c>
    </row>
    <row r="1137" spans="1:11" ht="12.75">
      <c r="A1137" s="16" t="s">
        <v>1120</v>
      </c>
      <c r="B1137" s="17">
        <v>125000</v>
      </c>
      <c r="C1137" s="17">
        <f t="shared" si="290"/>
        <v>2187.5</v>
      </c>
      <c r="D1137" s="18">
        <v>45912</v>
      </c>
      <c r="E1137" s="16" t="s">
        <v>24</v>
      </c>
      <c r="F1137" s="16" t="s">
        <v>28</v>
      </c>
      <c r="H1137" s="16" t="s">
        <v>642</v>
      </c>
      <c r="I1137" s="28" t="s">
        <v>30</v>
      </c>
    </row>
    <row r="1138" spans="1:11" ht="12.75">
      <c r="A1138" s="16" t="s">
        <v>109</v>
      </c>
      <c r="B1138" s="17">
        <v>500000</v>
      </c>
      <c r="C1138" s="17">
        <f t="shared" ref="C1138:C1139" si="291">0.0125*B1138</f>
        <v>6250</v>
      </c>
      <c r="D1138" s="18">
        <v>45912</v>
      </c>
      <c r="E1138" s="16" t="s">
        <v>11</v>
      </c>
      <c r="F1138" s="16" t="s">
        <v>12</v>
      </c>
    </row>
    <row r="1139" spans="1:11" ht="12.75">
      <c r="A1139" s="16" t="s">
        <v>1121</v>
      </c>
      <c r="B1139" s="17">
        <v>180000</v>
      </c>
      <c r="C1139" s="17">
        <f t="shared" si="291"/>
        <v>2250</v>
      </c>
      <c r="D1139" s="18">
        <v>45912</v>
      </c>
      <c r="E1139" s="16" t="s">
        <v>24</v>
      </c>
      <c r="F1139" s="16" t="s">
        <v>12</v>
      </c>
      <c r="H1139" s="16" t="s">
        <v>996</v>
      </c>
    </row>
    <row r="1140" spans="1:11" ht="12.75">
      <c r="A1140" s="16" t="s">
        <v>225</v>
      </c>
      <c r="B1140" s="17">
        <v>150000</v>
      </c>
      <c r="C1140" s="17">
        <f t="shared" ref="C1140:C1142" si="292">0.0175*B1140</f>
        <v>2625.0000000000005</v>
      </c>
      <c r="D1140" s="18">
        <v>45912</v>
      </c>
      <c r="E1140" s="16" t="s">
        <v>15</v>
      </c>
      <c r="F1140" s="16" t="s">
        <v>28</v>
      </c>
      <c r="H1140" s="24" t="s">
        <v>220</v>
      </c>
      <c r="K1140" s="16">
        <v>525</v>
      </c>
    </row>
    <row r="1141" spans="1:11" ht="12.75">
      <c r="A1141" s="16" t="s">
        <v>1122</v>
      </c>
      <c r="B1141" s="17">
        <v>75000</v>
      </c>
      <c r="C1141" s="17">
        <f t="shared" si="292"/>
        <v>1312.5000000000002</v>
      </c>
      <c r="D1141" s="18">
        <v>45912</v>
      </c>
      <c r="E1141" s="16" t="s">
        <v>11</v>
      </c>
      <c r="F1141" s="16" t="s">
        <v>28</v>
      </c>
      <c r="I1141" s="28" t="s">
        <v>30</v>
      </c>
    </row>
    <row r="1142" spans="1:11" ht="12.75">
      <c r="A1142" s="16" t="s">
        <v>1123</v>
      </c>
      <c r="B1142" s="17">
        <v>300000</v>
      </c>
      <c r="C1142" s="17">
        <f t="shared" si="292"/>
        <v>5250.0000000000009</v>
      </c>
      <c r="D1142" s="18">
        <v>45912</v>
      </c>
      <c r="E1142" s="16" t="s">
        <v>11</v>
      </c>
      <c r="F1142" s="16" t="s">
        <v>41</v>
      </c>
    </row>
    <row r="1143" spans="1:11" ht="12.75">
      <c r="A1143" s="16" t="s">
        <v>564</v>
      </c>
      <c r="B1143" s="17">
        <v>125000</v>
      </c>
      <c r="C1143" s="17">
        <f>0.0125*B1143</f>
        <v>1562.5</v>
      </c>
      <c r="D1143" s="18">
        <v>45912</v>
      </c>
      <c r="E1143" s="16" t="s">
        <v>24</v>
      </c>
      <c r="F1143" s="16" t="s">
        <v>12</v>
      </c>
      <c r="H1143" s="16" t="s">
        <v>996</v>
      </c>
    </row>
    <row r="1144" spans="1:11" ht="12.75">
      <c r="A1144" s="16" t="s">
        <v>1124</v>
      </c>
      <c r="B1144" s="17">
        <v>50000</v>
      </c>
      <c r="C1144" s="17">
        <f>0.0175*B1144</f>
        <v>875.00000000000011</v>
      </c>
      <c r="D1144" s="18">
        <v>45915</v>
      </c>
      <c r="E1144" s="16" t="s">
        <v>24</v>
      </c>
      <c r="F1144" s="16" t="s">
        <v>28</v>
      </c>
      <c r="H1144" s="16" t="s">
        <v>924</v>
      </c>
      <c r="I1144" s="28" t="s">
        <v>30</v>
      </c>
    </row>
    <row r="1145" spans="1:11" ht="12.75">
      <c r="A1145" s="16" t="s">
        <v>1125</v>
      </c>
      <c r="B1145" s="17">
        <v>225000</v>
      </c>
      <c r="C1145" s="17">
        <f>0.0125*B1145</f>
        <v>2812.5</v>
      </c>
      <c r="D1145" s="18">
        <v>45915</v>
      </c>
      <c r="E1145" s="16" t="s">
        <v>11</v>
      </c>
      <c r="F1145" s="16" t="s">
        <v>12</v>
      </c>
      <c r="H1145" s="16"/>
    </row>
    <row r="1146" spans="1:11" ht="12.75">
      <c r="A1146" s="16" t="s">
        <v>1114</v>
      </c>
      <c r="B1146" s="17">
        <v>50000</v>
      </c>
      <c r="C1146" s="17">
        <f t="shared" ref="C1146:C1150" si="293">0.0175*B1146</f>
        <v>875.00000000000011</v>
      </c>
      <c r="D1146" s="18">
        <v>45915</v>
      </c>
      <c r="E1146" s="16" t="s">
        <v>21</v>
      </c>
      <c r="F1146" s="16" t="s">
        <v>28</v>
      </c>
      <c r="H1146" s="16" t="s">
        <v>13</v>
      </c>
      <c r="I1146" s="28" t="s">
        <v>30</v>
      </c>
    </row>
    <row r="1147" spans="1:11" ht="12.75">
      <c r="A1147" s="16" t="s">
        <v>1126</v>
      </c>
      <c r="B1147" s="17">
        <v>125000</v>
      </c>
      <c r="C1147" s="17">
        <f t="shared" si="293"/>
        <v>2187.5</v>
      </c>
      <c r="D1147" s="18">
        <v>45915</v>
      </c>
      <c r="E1147" s="16" t="s">
        <v>118</v>
      </c>
      <c r="F1147" s="16" t="s">
        <v>28</v>
      </c>
      <c r="H1147" s="16" t="s">
        <v>13</v>
      </c>
    </row>
    <row r="1148" spans="1:11" ht="12.75">
      <c r="A1148" s="16" t="s">
        <v>1127</v>
      </c>
      <c r="B1148" s="17">
        <v>100000</v>
      </c>
      <c r="C1148" s="17">
        <f t="shared" si="293"/>
        <v>1750.0000000000002</v>
      </c>
      <c r="D1148" s="18">
        <v>45915</v>
      </c>
      <c r="E1148" s="16" t="s">
        <v>457</v>
      </c>
      <c r="F1148" s="16" t="s">
        <v>28</v>
      </c>
      <c r="H1148" s="24" t="s">
        <v>390</v>
      </c>
      <c r="K1148" s="16">
        <v>50</v>
      </c>
    </row>
    <row r="1149" spans="1:11" ht="12.75">
      <c r="A1149" s="16" t="s">
        <v>1128</v>
      </c>
      <c r="B1149" s="17">
        <v>250000</v>
      </c>
      <c r="C1149" s="17">
        <f t="shared" si="293"/>
        <v>4375</v>
      </c>
      <c r="D1149" s="18">
        <v>45915</v>
      </c>
      <c r="E1149" s="16" t="s">
        <v>11</v>
      </c>
      <c r="F1149" s="16" t="s">
        <v>28</v>
      </c>
      <c r="I1149" s="28" t="s">
        <v>30</v>
      </c>
    </row>
    <row r="1150" spans="1:11" ht="12.75">
      <c r="A1150" s="16" t="s">
        <v>1129</v>
      </c>
      <c r="B1150" s="17">
        <v>300000</v>
      </c>
      <c r="C1150" s="17">
        <f t="shared" si="293"/>
        <v>5250.0000000000009</v>
      </c>
      <c r="D1150" s="18">
        <v>45915</v>
      </c>
      <c r="E1150" s="16" t="s">
        <v>60</v>
      </c>
      <c r="F1150" s="16" t="s">
        <v>28</v>
      </c>
      <c r="I1150" s="28" t="s">
        <v>30</v>
      </c>
    </row>
    <row r="1151" spans="1:11" ht="12.75">
      <c r="A1151" s="16" t="s">
        <v>1130</v>
      </c>
      <c r="B1151" s="17">
        <v>505000</v>
      </c>
      <c r="C1151" s="17">
        <f t="shared" ref="C1151:C1153" si="294">0.0125*B1151</f>
        <v>6312.5</v>
      </c>
      <c r="D1151" s="18">
        <v>45915</v>
      </c>
      <c r="E1151" s="16" t="s">
        <v>24</v>
      </c>
      <c r="F1151" s="16" t="s">
        <v>12</v>
      </c>
      <c r="H1151" s="16" t="s">
        <v>996</v>
      </c>
    </row>
    <row r="1152" spans="1:11" ht="12.75">
      <c r="A1152" s="16" t="s">
        <v>1131</v>
      </c>
      <c r="B1152" s="17">
        <v>45000</v>
      </c>
      <c r="C1152" s="17">
        <f t="shared" si="294"/>
        <v>562.5</v>
      </c>
      <c r="D1152" s="18">
        <v>45916</v>
      </c>
      <c r="E1152" s="16" t="s">
        <v>15</v>
      </c>
      <c r="F1152" s="16" t="s">
        <v>12</v>
      </c>
      <c r="H1152" s="24" t="s">
        <v>51</v>
      </c>
      <c r="K1152" s="16">
        <v>225</v>
      </c>
    </row>
    <row r="1153" spans="1:11" ht="12.75">
      <c r="A1153" s="16" t="s">
        <v>1132</v>
      </c>
      <c r="B1153" s="17">
        <v>150000</v>
      </c>
      <c r="C1153" s="17">
        <f t="shared" si="294"/>
        <v>1875</v>
      </c>
      <c r="D1153" s="18">
        <v>45916</v>
      </c>
      <c r="E1153" s="16" t="s">
        <v>11</v>
      </c>
      <c r="F1153" s="16" t="s">
        <v>12</v>
      </c>
    </row>
    <row r="1154" spans="1:11" ht="12.75">
      <c r="A1154" s="16" t="s">
        <v>1133</v>
      </c>
      <c r="B1154" s="17">
        <v>350000</v>
      </c>
      <c r="C1154" s="17">
        <f t="shared" ref="C1154:C1155" si="295">0.0175*B1154</f>
        <v>6125.0000000000009</v>
      </c>
      <c r="D1154" s="18">
        <v>45916</v>
      </c>
      <c r="E1154" s="16" t="s">
        <v>11</v>
      </c>
      <c r="F1154" s="16" t="s">
        <v>41</v>
      </c>
      <c r="I1154" s="28" t="s">
        <v>30</v>
      </c>
    </row>
    <row r="1155" spans="1:11" ht="12.75">
      <c r="A1155" s="16" t="s">
        <v>758</v>
      </c>
      <c r="B1155" s="17">
        <v>10000</v>
      </c>
      <c r="C1155" s="17">
        <f t="shared" si="295"/>
        <v>175.00000000000003</v>
      </c>
      <c r="D1155" s="18">
        <v>45916</v>
      </c>
      <c r="E1155" s="16" t="s">
        <v>11</v>
      </c>
      <c r="F1155" s="16" t="s">
        <v>67</v>
      </c>
    </row>
    <row r="1156" spans="1:11" ht="12.75">
      <c r="A1156" s="16" t="s">
        <v>1134</v>
      </c>
      <c r="B1156" s="17">
        <v>150000</v>
      </c>
      <c r="C1156" s="17">
        <f t="shared" ref="C1156:C1157" si="296">0.0125*B1156</f>
        <v>1875</v>
      </c>
      <c r="D1156" s="18">
        <v>45916</v>
      </c>
      <c r="E1156" s="16" t="s">
        <v>11</v>
      </c>
      <c r="F1156" s="16" t="s">
        <v>12</v>
      </c>
    </row>
    <row r="1157" spans="1:11" ht="12.75">
      <c r="A1157" s="16" t="s">
        <v>1135</v>
      </c>
      <c r="B1157" s="17">
        <v>135000</v>
      </c>
      <c r="C1157" s="17">
        <f t="shared" si="296"/>
        <v>1687.5</v>
      </c>
      <c r="D1157" s="18">
        <v>45916</v>
      </c>
      <c r="E1157" s="16" t="s">
        <v>11</v>
      </c>
      <c r="F1157" s="16" t="s">
        <v>12</v>
      </c>
    </row>
    <row r="1158" spans="1:11" ht="12.75">
      <c r="A1158" s="16" t="s">
        <v>1136</v>
      </c>
      <c r="B1158" s="17">
        <v>80000</v>
      </c>
      <c r="C1158" s="17">
        <f t="shared" ref="C1158:C1159" si="297">0.0175*B1158</f>
        <v>1400.0000000000002</v>
      </c>
      <c r="D1158" s="18">
        <v>45916</v>
      </c>
      <c r="E1158" s="16" t="s">
        <v>11</v>
      </c>
      <c r="F1158" s="16" t="s">
        <v>41</v>
      </c>
      <c r="I1158" s="28" t="s">
        <v>30</v>
      </c>
    </row>
    <row r="1159" spans="1:11" ht="12.75">
      <c r="A1159" s="16" t="s">
        <v>1137</v>
      </c>
      <c r="B1159" s="17">
        <v>425000</v>
      </c>
      <c r="C1159" s="17">
        <f t="shared" si="297"/>
        <v>7437.5000000000009</v>
      </c>
      <c r="D1159" s="18">
        <v>45916</v>
      </c>
      <c r="E1159" s="16" t="s">
        <v>1018</v>
      </c>
      <c r="F1159" s="16" t="s">
        <v>28</v>
      </c>
      <c r="H1159" s="16" t="s">
        <v>13</v>
      </c>
      <c r="I1159" s="28" t="s">
        <v>30</v>
      </c>
    </row>
    <row r="1160" spans="1:11" ht="12.75">
      <c r="A1160" s="16" t="s">
        <v>1138</v>
      </c>
      <c r="B1160" s="17">
        <v>1950000</v>
      </c>
      <c r="C1160" s="17">
        <f t="shared" ref="C1160:C1161" si="298">0.0125*B1160</f>
        <v>24375</v>
      </c>
      <c r="D1160" s="18">
        <v>45917</v>
      </c>
      <c r="E1160" s="16" t="s">
        <v>118</v>
      </c>
      <c r="F1160" s="16" t="s">
        <v>12</v>
      </c>
      <c r="H1160" s="16" t="s">
        <v>1139</v>
      </c>
    </row>
    <row r="1161" spans="1:11" ht="12.75">
      <c r="A1161" s="16" t="s">
        <v>454</v>
      </c>
      <c r="B1161" s="17">
        <v>420000</v>
      </c>
      <c r="C1161" s="17">
        <f t="shared" si="298"/>
        <v>5250</v>
      </c>
      <c r="D1161" s="18">
        <v>45917</v>
      </c>
      <c r="E1161" s="16" t="s">
        <v>11</v>
      </c>
      <c r="F1161" s="16" t="s">
        <v>12</v>
      </c>
    </row>
    <row r="1162" spans="1:11" ht="12.75">
      <c r="A1162" s="16" t="s">
        <v>1113</v>
      </c>
      <c r="B1162" s="17">
        <v>10000</v>
      </c>
      <c r="C1162" s="17">
        <f t="shared" ref="C1162:C1164" si="299">0.0175*B1162</f>
        <v>175.00000000000003</v>
      </c>
      <c r="D1162" s="18">
        <v>45917</v>
      </c>
      <c r="E1162" s="16" t="s">
        <v>15</v>
      </c>
      <c r="F1162" s="16" t="s">
        <v>67</v>
      </c>
      <c r="H1162" s="24" t="s">
        <v>16</v>
      </c>
      <c r="I1162" s="28" t="s">
        <v>30</v>
      </c>
      <c r="K1162" s="16">
        <v>40</v>
      </c>
    </row>
    <row r="1163" spans="1:11" ht="12.75">
      <c r="A1163" s="16" t="s">
        <v>1140</v>
      </c>
      <c r="B1163" s="17">
        <v>250000</v>
      </c>
      <c r="C1163" s="17">
        <f t="shared" si="299"/>
        <v>4375</v>
      </c>
      <c r="D1163" s="18">
        <v>45917</v>
      </c>
      <c r="E1163" s="16" t="s">
        <v>92</v>
      </c>
      <c r="F1163" s="16" t="s">
        <v>28</v>
      </c>
    </row>
    <row r="1164" spans="1:11" ht="12.75">
      <c r="A1164" s="16" t="s">
        <v>1141</v>
      </c>
      <c r="B1164" s="17">
        <v>60000</v>
      </c>
      <c r="C1164" s="17">
        <f t="shared" si="299"/>
        <v>1050</v>
      </c>
      <c r="D1164" s="18">
        <v>45918</v>
      </c>
      <c r="E1164" s="16" t="s">
        <v>118</v>
      </c>
      <c r="F1164" s="16" t="s">
        <v>28</v>
      </c>
      <c r="H1164" s="16" t="s">
        <v>13</v>
      </c>
      <c r="I1164" s="28" t="s">
        <v>30</v>
      </c>
    </row>
    <row r="1165" spans="1:11" ht="12.75">
      <c r="A1165" s="16" t="s">
        <v>1142</v>
      </c>
      <c r="B1165" s="17">
        <v>50000</v>
      </c>
      <c r="C1165" s="17">
        <f t="shared" ref="C1165:C1168" si="300">0.0125*B1165</f>
        <v>625</v>
      </c>
      <c r="D1165" s="18">
        <v>45918</v>
      </c>
      <c r="E1165" s="16" t="s">
        <v>11</v>
      </c>
      <c r="F1165" s="16" t="s">
        <v>144</v>
      </c>
    </row>
    <row r="1166" spans="1:11" ht="12.75">
      <c r="A1166" s="16" t="s">
        <v>1143</v>
      </c>
      <c r="B1166" s="17">
        <v>1200000</v>
      </c>
      <c r="C1166" s="17">
        <f t="shared" si="300"/>
        <v>15000</v>
      </c>
      <c r="D1166" s="18">
        <v>45918</v>
      </c>
      <c r="E1166" s="16" t="s">
        <v>24</v>
      </c>
      <c r="F1166" s="16" t="s">
        <v>12</v>
      </c>
      <c r="H1166" s="16" t="s">
        <v>996</v>
      </c>
    </row>
    <row r="1167" spans="1:11" ht="12.75">
      <c r="A1167" s="16" t="s">
        <v>675</v>
      </c>
      <c r="B1167" s="17">
        <v>65000</v>
      </c>
      <c r="C1167" s="17">
        <f t="shared" si="300"/>
        <v>812.5</v>
      </c>
      <c r="D1167" s="18">
        <v>45918</v>
      </c>
      <c r="E1167" s="16" t="s">
        <v>11</v>
      </c>
      <c r="F1167" s="16" t="s">
        <v>12</v>
      </c>
    </row>
    <row r="1168" spans="1:11" ht="12.75">
      <c r="A1168" s="16" t="s">
        <v>1144</v>
      </c>
      <c r="B1168" s="17">
        <v>185000</v>
      </c>
      <c r="C1168" s="17">
        <f t="shared" si="300"/>
        <v>2312.5</v>
      </c>
      <c r="D1168" s="18">
        <v>45918</v>
      </c>
      <c r="E1168" s="16" t="s">
        <v>21</v>
      </c>
      <c r="F1168" s="16" t="s">
        <v>12</v>
      </c>
    </row>
    <row r="1169" spans="1:11" ht="12.75">
      <c r="A1169" s="16" t="s">
        <v>1145</v>
      </c>
      <c r="B1169" s="17">
        <v>30000</v>
      </c>
      <c r="C1169" s="17">
        <f t="shared" ref="C1169:C1170" si="301">0.0175*B1169</f>
        <v>525</v>
      </c>
      <c r="D1169" s="18">
        <v>45918</v>
      </c>
      <c r="E1169" s="16" t="s">
        <v>11</v>
      </c>
      <c r="F1169" s="16" t="s">
        <v>28</v>
      </c>
    </row>
    <row r="1170" spans="1:11" ht="12.75">
      <c r="A1170" s="16" t="s">
        <v>1146</v>
      </c>
      <c r="B1170" s="17">
        <v>250000</v>
      </c>
      <c r="C1170" s="17">
        <f t="shared" si="301"/>
        <v>4375</v>
      </c>
      <c r="D1170" s="18">
        <v>45918</v>
      </c>
      <c r="E1170" s="16" t="s">
        <v>11</v>
      </c>
      <c r="F1170" s="16" t="s">
        <v>28</v>
      </c>
      <c r="I1170" s="28" t="s">
        <v>30</v>
      </c>
    </row>
    <row r="1171" spans="1:11" ht="12.75">
      <c r="A1171" s="16" t="s">
        <v>1147</v>
      </c>
      <c r="B1171" s="17">
        <v>215000</v>
      </c>
      <c r="C1171" s="17">
        <f>0.0125*B1171</f>
        <v>2687.5</v>
      </c>
      <c r="D1171" s="18">
        <v>45918</v>
      </c>
      <c r="E1171" s="16" t="s">
        <v>11</v>
      </c>
      <c r="F1171" s="16" t="s">
        <v>12</v>
      </c>
    </row>
    <row r="1172" spans="1:11" ht="12.75">
      <c r="A1172" s="16" t="s">
        <v>1148</v>
      </c>
      <c r="B1172" s="17">
        <v>100000</v>
      </c>
      <c r="C1172" s="17">
        <f t="shared" ref="C1172:C1173" si="302">0.0175*B1172</f>
        <v>1750.0000000000002</v>
      </c>
      <c r="D1172" s="18">
        <v>45918</v>
      </c>
      <c r="E1172" s="16" t="s">
        <v>11</v>
      </c>
      <c r="F1172" s="16" t="s">
        <v>28</v>
      </c>
      <c r="I1172" s="28" t="s">
        <v>30</v>
      </c>
    </row>
    <row r="1173" spans="1:11" ht="12.75">
      <c r="A1173" s="16" t="s">
        <v>1149</v>
      </c>
      <c r="B1173" s="17">
        <v>115000</v>
      </c>
      <c r="C1173" s="17">
        <f t="shared" si="302"/>
        <v>2012.5000000000002</v>
      </c>
      <c r="D1173" s="18">
        <v>45918</v>
      </c>
      <c r="E1173" s="16" t="s">
        <v>15</v>
      </c>
      <c r="F1173" s="16" t="s">
        <v>28</v>
      </c>
      <c r="H1173" s="24" t="s">
        <v>220</v>
      </c>
      <c r="K1173" s="16">
        <v>402.5</v>
      </c>
    </row>
    <row r="1174" spans="1:11" ht="12.75">
      <c r="A1174" s="16" t="s">
        <v>560</v>
      </c>
      <c r="B1174" s="17">
        <v>111000</v>
      </c>
      <c r="C1174" s="17">
        <f t="shared" ref="C1174:C1175" si="303">0.0125*B1174</f>
        <v>1387.5</v>
      </c>
      <c r="D1174" s="18">
        <v>45918</v>
      </c>
      <c r="E1174" s="16" t="s">
        <v>15</v>
      </c>
      <c r="F1174" s="16" t="s">
        <v>12</v>
      </c>
      <c r="H1174" s="24" t="s">
        <v>51</v>
      </c>
      <c r="K1174" s="16">
        <v>555</v>
      </c>
    </row>
    <row r="1175" spans="1:11" ht="12.75">
      <c r="A1175" s="16" t="s">
        <v>1150</v>
      </c>
      <c r="B1175" s="17">
        <v>85000</v>
      </c>
      <c r="C1175" s="17">
        <f t="shared" si="303"/>
        <v>1062.5</v>
      </c>
      <c r="D1175" s="18">
        <v>45918</v>
      </c>
      <c r="E1175" s="16" t="s">
        <v>11</v>
      </c>
      <c r="F1175" s="16" t="s">
        <v>12</v>
      </c>
    </row>
    <row r="1176" spans="1:11" ht="12.75">
      <c r="A1176" s="16" t="s">
        <v>1151</v>
      </c>
      <c r="B1176" s="17">
        <v>80000</v>
      </c>
      <c r="C1176" s="17">
        <f t="shared" ref="C1176:C1179" si="304">0.0175*B1176</f>
        <v>1400.0000000000002</v>
      </c>
      <c r="D1176" s="18">
        <v>45919</v>
      </c>
      <c r="E1176" s="16" t="s">
        <v>939</v>
      </c>
      <c r="F1176" s="16" t="s">
        <v>28</v>
      </c>
      <c r="H1176" s="16" t="s">
        <v>13</v>
      </c>
      <c r="I1176" s="28" t="s">
        <v>30</v>
      </c>
    </row>
    <row r="1177" spans="1:11" ht="12.75">
      <c r="A1177" s="16" t="s">
        <v>1152</v>
      </c>
      <c r="B1177" s="17">
        <v>120000</v>
      </c>
      <c r="C1177" s="17">
        <f t="shared" si="304"/>
        <v>2100</v>
      </c>
      <c r="D1177" s="18">
        <v>45919</v>
      </c>
      <c r="E1177" s="16" t="s">
        <v>15</v>
      </c>
      <c r="F1177" s="16" t="s">
        <v>28</v>
      </c>
      <c r="H1177" s="24" t="s">
        <v>98</v>
      </c>
      <c r="I1177" s="28" t="s">
        <v>30</v>
      </c>
      <c r="K1177" s="16">
        <v>360</v>
      </c>
    </row>
    <row r="1178" spans="1:11" ht="12.75">
      <c r="A1178" s="16" t="s">
        <v>1153</v>
      </c>
      <c r="B1178" s="17">
        <v>100000</v>
      </c>
      <c r="C1178" s="17">
        <f t="shared" si="304"/>
        <v>1750.0000000000002</v>
      </c>
      <c r="D1178" s="18">
        <v>45919</v>
      </c>
      <c r="E1178" s="16" t="s">
        <v>15</v>
      </c>
      <c r="F1178" s="16" t="s">
        <v>28</v>
      </c>
      <c r="H1178" s="24" t="s">
        <v>220</v>
      </c>
      <c r="I1178" s="28" t="s">
        <v>30</v>
      </c>
      <c r="K1178" s="16">
        <v>350</v>
      </c>
    </row>
    <row r="1179" spans="1:11" ht="12.75">
      <c r="A1179" s="16" t="s">
        <v>1154</v>
      </c>
      <c r="B1179" s="17">
        <v>200000</v>
      </c>
      <c r="C1179" s="17">
        <f t="shared" si="304"/>
        <v>3500.0000000000005</v>
      </c>
      <c r="D1179" s="18">
        <v>45922</v>
      </c>
      <c r="E1179" s="16" t="s">
        <v>345</v>
      </c>
      <c r="F1179" s="16" t="s">
        <v>28</v>
      </c>
      <c r="H1179" s="16" t="s">
        <v>13</v>
      </c>
      <c r="I1179" s="28" t="s">
        <v>30</v>
      </c>
    </row>
    <row r="1180" spans="1:11" ht="12.75">
      <c r="A1180" s="16" t="s">
        <v>114</v>
      </c>
      <c r="B1180" s="17">
        <v>105000</v>
      </c>
      <c r="C1180" s="17">
        <f t="shared" ref="C1180:C1181" si="305">0.0125*B1180</f>
        <v>1312.5</v>
      </c>
      <c r="D1180" s="18">
        <v>45922</v>
      </c>
      <c r="E1180" s="16" t="s">
        <v>11</v>
      </c>
      <c r="F1180" s="16" t="s">
        <v>12</v>
      </c>
    </row>
    <row r="1181" spans="1:11" ht="12.75">
      <c r="A1181" s="16" t="s">
        <v>1155</v>
      </c>
      <c r="B1181" s="17">
        <v>800000</v>
      </c>
      <c r="C1181" s="17">
        <f t="shared" si="305"/>
        <v>10000</v>
      </c>
      <c r="D1181" s="18">
        <v>45922</v>
      </c>
      <c r="E1181" s="16" t="s">
        <v>15</v>
      </c>
      <c r="F1181" s="16" t="s">
        <v>12</v>
      </c>
      <c r="H1181" s="24" t="s">
        <v>35</v>
      </c>
      <c r="K1181" s="16">
        <v>1600</v>
      </c>
    </row>
    <row r="1182" spans="1:11" ht="12.75">
      <c r="A1182" s="16" t="s">
        <v>1156</v>
      </c>
      <c r="B1182" s="17">
        <v>130000</v>
      </c>
      <c r="C1182" s="17">
        <f t="shared" ref="C1182:C1184" si="306">0.0175*B1182</f>
        <v>2275</v>
      </c>
      <c r="D1182" s="18">
        <v>45922</v>
      </c>
      <c r="E1182" s="16" t="s">
        <v>11</v>
      </c>
      <c r="F1182" s="16" t="s">
        <v>28</v>
      </c>
      <c r="I1182" s="28" t="s">
        <v>30</v>
      </c>
    </row>
    <row r="1183" spans="1:11" ht="12.75">
      <c r="A1183" s="16" t="s">
        <v>1157</v>
      </c>
      <c r="B1183" s="17">
        <v>300000</v>
      </c>
      <c r="C1183" s="17">
        <f t="shared" si="306"/>
        <v>5250.0000000000009</v>
      </c>
      <c r="D1183" s="18">
        <v>45922</v>
      </c>
      <c r="E1183" s="16" t="s">
        <v>11</v>
      </c>
      <c r="F1183" s="16" t="s">
        <v>28</v>
      </c>
      <c r="I1183" s="28" t="s">
        <v>30</v>
      </c>
    </row>
    <row r="1184" spans="1:11" ht="12.75">
      <c r="A1184" s="16" t="s">
        <v>1158</v>
      </c>
      <c r="B1184" s="17">
        <v>50000</v>
      </c>
      <c r="C1184" s="17">
        <f t="shared" si="306"/>
        <v>875.00000000000011</v>
      </c>
      <c r="D1184" s="18">
        <v>45922</v>
      </c>
      <c r="E1184" s="16" t="s">
        <v>11</v>
      </c>
      <c r="F1184" s="16" t="s">
        <v>67</v>
      </c>
      <c r="I1184" s="28" t="s">
        <v>30</v>
      </c>
    </row>
    <row r="1185" spans="1:11" ht="12.75">
      <c r="A1185" s="16" t="s">
        <v>1159</v>
      </c>
      <c r="B1185" s="17">
        <v>15000</v>
      </c>
      <c r="C1185" s="17">
        <f>0.0125*B1185</f>
        <v>187.5</v>
      </c>
      <c r="D1185" s="18">
        <v>45922</v>
      </c>
      <c r="E1185" s="16" t="s">
        <v>15</v>
      </c>
      <c r="F1185" s="16" t="s">
        <v>144</v>
      </c>
      <c r="H1185" s="24" t="s">
        <v>54</v>
      </c>
      <c r="K1185" s="16">
        <v>90</v>
      </c>
    </row>
    <row r="1186" spans="1:11" ht="12.75">
      <c r="A1186" s="16" t="s">
        <v>1160</v>
      </c>
      <c r="B1186" s="17">
        <v>250000</v>
      </c>
      <c r="C1186" s="17">
        <f>0.0175*B1186</f>
        <v>4375</v>
      </c>
      <c r="D1186" s="18">
        <v>45922</v>
      </c>
      <c r="E1186" s="16" t="s">
        <v>73</v>
      </c>
      <c r="F1186" s="16" t="s">
        <v>41</v>
      </c>
      <c r="I1186" s="28" t="s">
        <v>30</v>
      </c>
    </row>
    <row r="1187" spans="1:11" ht="12.75">
      <c r="A1187" s="16" t="s">
        <v>391</v>
      </c>
      <c r="B1187" s="17">
        <v>165000</v>
      </c>
      <c r="C1187" s="17">
        <f t="shared" ref="C1187:C1190" si="307">0.0125*B1187</f>
        <v>2062.5</v>
      </c>
      <c r="D1187" s="18">
        <v>45922</v>
      </c>
      <c r="E1187" s="16" t="s">
        <v>11</v>
      </c>
      <c r="F1187" s="16" t="s">
        <v>12</v>
      </c>
    </row>
    <row r="1188" spans="1:11" ht="12.75">
      <c r="A1188" s="16" t="s">
        <v>52</v>
      </c>
      <c r="B1188" s="17">
        <v>1375000</v>
      </c>
      <c r="C1188" s="17">
        <f t="shared" si="307"/>
        <v>17187.5</v>
      </c>
      <c r="D1188" s="18">
        <v>45922</v>
      </c>
      <c r="E1188" s="16" t="s">
        <v>11</v>
      </c>
      <c r="F1188" s="16" t="s">
        <v>12</v>
      </c>
    </row>
    <row r="1189" spans="1:11" ht="12.75">
      <c r="A1189" s="16" t="s">
        <v>1161</v>
      </c>
      <c r="B1189" s="17">
        <v>250000</v>
      </c>
      <c r="C1189" s="17">
        <f t="shared" si="307"/>
        <v>3125</v>
      </c>
      <c r="D1189" s="18">
        <v>45922</v>
      </c>
      <c r="E1189" s="16" t="s">
        <v>11</v>
      </c>
      <c r="F1189" s="16" t="s">
        <v>12</v>
      </c>
    </row>
    <row r="1190" spans="1:11" ht="12.75">
      <c r="A1190" s="16" t="s">
        <v>908</v>
      </c>
      <c r="B1190" s="17">
        <v>25000</v>
      </c>
      <c r="C1190" s="17">
        <f t="shared" si="307"/>
        <v>312.5</v>
      </c>
      <c r="D1190" s="18">
        <v>45918</v>
      </c>
      <c r="E1190" s="16" t="s">
        <v>11</v>
      </c>
      <c r="F1190" s="16" t="s">
        <v>12</v>
      </c>
    </row>
    <row r="1191" spans="1:11" ht="12.75">
      <c r="A1191" s="16" t="s">
        <v>1162</v>
      </c>
      <c r="B1191" s="17">
        <v>150000</v>
      </c>
      <c r="C1191" s="17">
        <f>0.0175*B1191</f>
        <v>2625.0000000000005</v>
      </c>
      <c r="D1191" s="18">
        <v>45923</v>
      </c>
      <c r="E1191" s="16" t="s">
        <v>118</v>
      </c>
      <c r="F1191" s="16" t="s">
        <v>28</v>
      </c>
      <c r="H1191" s="16" t="s">
        <v>13</v>
      </c>
      <c r="I1191" s="28" t="s">
        <v>30</v>
      </c>
    </row>
    <row r="1192" spans="1:11" ht="12.75">
      <c r="A1192" s="16" t="s">
        <v>1163</v>
      </c>
      <c r="B1192" s="17">
        <v>87000</v>
      </c>
      <c r="C1192" s="17">
        <f t="shared" ref="C1192:C1193" si="308">0.0125*B1192</f>
        <v>1087.5</v>
      </c>
      <c r="D1192" s="18">
        <v>45923</v>
      </c>
      <c r="E1192" s="16" t="s">
        <v>1164</v>
      </c>
      <c r="F1192" s="16" t="s">
        <v>12</v>
      </c>
      <c r="H1192" s="16" t="s">
        <v>619</v>
      </c>
    </row>
    <row r="1193" spans="1:11" ht="12.75">
      <c r="A1193" s="16" t="s">
        <v>509</v>
      </c>
      <c r="B1193" s="17">
        <v>175000</v>
      </c>
      <c r="C1193" s="17">
        <f t="shared" si="308"/>
        <v>2187.5</v>
      </c>
      <c r="D1193" s="18">
        <v>45923</v>
      </c>
      <c r="E1193" s="16" t="s">
        <v>11</v>
      </c>
      <c r="F1193" s="16" t="s">
        <v>12</v>
      </c>
    </row>
    <row r="1194" spans="1:11" ht="12.75">
      <c r="A1194" s="16" t="s">
        <v>1165</v>
      </c>
      <c r="B1194" s="17">
        <v>200000</v>
      </c>
      <c r="C1194" s="17">
        <f t="shared" ref="C1194:C1195" si="309">0.0175*B1194</f>
        <v>3500.0000000000005</v>
      </c>
      <c r="D1194" s="18">
        <v>45923</v>
      </c>
      <c r="E1194" s="16" t="s">
        <v>939</v>
      </c>
      <c r="F1194" s="16" t="s">
        <v>28</v>
      </c>
      <c r="H1194" s="16" t="s">
        <v>13</v>
      </c>
      <c r="I1194" s="28" t="s">
        <v>30</v>
      </c>
    </row>
    <row r="1195" spans="1:11" ht="12.75">
      <c r="A1195" s="16" t="s">
        <v>1166</v>
      </c>
      <c r="B1195" s="17">
        <v>100000</v>
      </c>
      <c r="C1195" s="17">
        <f t="shared" si="309"/>
        <v>1750.0000000000002</v>
      </c>
      <c r="D1195" s="18">
        <v>45923</v>
      </c>
      <c r="E1195" s="16" t="s">
        <v>60</v>
      </c>
      <c r="F1195" s="16" t="s">
        <v>28</v>
      </c>
      <c r="I1195" s="28" t="s">
        <v>30</v>
      </c>
    </row>
    <row r="1196" spans="1:11" ht="12.75">
      <c r="A1196" s="16" t="s">
        <v>630</v>
      </c>
      <c r="B1196" s="17">
        <v>10000</v>
      </c>
      <c r="C1196" s="17">
        <f>0.0125*B1196</f>
        <v>125</v>
      </c>
      <c r="D1196" s="18">
        <v>45924</v>
      </c>
      <c r="E1196" s="16" t="s">
        <v>11</v>
      </c>
      <c r="F1196" s="16" t="s">
        <v>144</v>
      </c>
    </row>
    <row r="1197" spans="1:11" ht="12.75">
      <c r="A1197" s="16" t="s">
        <v>1167</v>
      </c>
      <c r="B1197" s="17">
        <v>90000</v>
      </c>
      <c r="C1197" s="17">
        <f>0.0175*B1197</f>
        <v>1575.0000000000002</v>
      </c>
      <c r="D1197" s="18">
        <v>45924</v>
      </c>
      <c r="E1197" s="16" t="s">
        <v>1168</v>
      </c>
      <c r="F1197" s="16" t="s">
        <v>28</v>
      </c>
      <c r="I1197" s="28" t="s">
        <v>30</v>
      </c>
    </row>
    <row r="1198" spans="1:11" ht="12.75">
      <c r="A1198" s="16" t="s">
        <v>1169</v>
      </c>
      <c r="B1198" s="17">
        <v>85000</v>
      </c>
      <c r="C1198" s="17">
        <f>0.0125*B1198</f>
        <v>1062.5</v>
      </c>
      <c r="D1198" s="18">
        <v>45924</v>
      </c>
      <c r="E1198" s="16" t="s">
        <v>11</v>
      </c>
      <c r="F1198" s="16" t="s">
        <v>12</v>
      </c>
    </row>
    <row r="1199" spans="1:11" ht="12.75">
      <c r="A1199" s="16" t="s">
        <v>1170</v>
      </c>
      <c r="B1199" s="17">
        <v>150000</v>
      </c>
      <c r="C1199" s="17">
        <f t="shared" ref="C1199:C1201" si="310">0.0175*B1199</f>
        <v>2625.0000000000005</v>
      </c>
      <c r="D1199" s="18">
        <v>45924</v>
      </c>
      <c r="E1199" s="16" t="s">
        <v>11</v>
      </c>
      <c r="F1199" s="16" t="s">
        <v>28</v>
      </c>
      <c r="I1199" s="28" t="s">
        <v>30</v>
      </c>
    </row>
    <row r="1200" spans="1:11" ht="12.75">
      <c r="A1200" s="16" t="s">
        <v>1171</v>
      </c>
      <c r="B1200" s="17">
        <v>100000</v>
      </c>
      <c r="C1200" s="17">
        <f t="shared" si="310"/>
        <v>1750.0000000000002</v>
      </c>
      <c r="D1200" s="18">
        <v>45924</v>
      </c>
      <c r="E1200" s="16" t="s">
        <v>118</v>
      </c>
      <c r="F1200" s="16" t="s">
        <v>28</v>
      </c>
      <c r="H1200" s="16" t="s">
        <v>13</v>
      </c>
      <c r="I1200" s="28" t="s">
        <v>30</v>
      </c>
    </row>
    <row r="1201" spans="1:11" ht="12.75">
      <c r="A1201" s="16" t="s">
        <v>1172</v>
      </c>
      <c r="B1201" s="17">
        <v>130000</v>
      </c>
      <c r="C1201" s="17">
        <f t="shared" si="310"/>
        <v>2275</v>
      </c>
      <c r="D1201" s="18">
        <v>45924</v>
      </c>
      <c r="E1201" s="16" t="s">
        <v>15</v>
      </c>
      <c r="F1201" s="16" t="s">
        <v>28</v>
      </c>
      <c r="H1201" s="24" t="s">
        <v>16</v>
      </c>
      <c r="I1201" s="28" t="s">
        <v>30</v>
      </c>
      <c r="K1201" s="16">
        <v>520</v>
      </c>
    </row>
    <row r="1202" spans="1:11" ht="12.75">
      <c r="A1202" s="16" t="s">
        <v>1173</v>
      </c>
      <c r="B1202" s="17">
        <v>225000</v>
      </c>
      <c r="C1202" s="17">
        <f t="shared" ref="C1202:C1203" si="311">0.0125*B1202</f>
        <v>2812.5</v>
      </c>
      <c r="D1202" s="18">
        <v>45925</v>
      </c>
      <c r="E1202" s="16" t="s">
        <v>1174</v>
      </c>
      <c r="F1202" s="16" t="s">
        <v>12</v>
      </c>
      <c r="H1202" s="16" t="s">
        <v>996</v>
      </c>
    </row>
    <row r="1203" spans="1:11" ht="12.75">
      <c r="A1203" s="16" t="s">
        <v>1175</v>
      </c>
      <c r="B1203" s="17">
        <v>83500</v>
      </c>
      <c r="C1203" s="17">
        <f t="shared" si="311"/>
        <v>1043.75</v>
      </c>
      <c r="D1203" s="18">
        <v>45925</v>
      </c>
      <c r="E1203" s="16" t="s">
        <v>15</v>
      </c>
      <c r="F1203" s="16" t="s">
        <v>12</v>
      </c>
      <c r="H1203" s="24" t="s">
        <v>51</v>
      </c>
    </row>
    <row r="1204" spans="1:11" ht="12.75">
      <c r="A1204" s="16" t="s">
        <v>1176</v>
      </c>
      <c r="B1204" s="17">
        <v>250000</v>
      </c>
      <c r="C1204" s="17">
        <f>0.0175*B1204</f>
        <v>4375</v>
      </c>
      <c r="D1204" s="18">
        <v>45925</v>
      </c>
      <c r="E1204" s="16" t="s">
        <v>11</v>
      </c>
      <c r="F1204" s="16" t="s">
        <v>41</v>
      </c>
    </row>
    <row r="1205" spans="1:11" ht="12.75">
      <c r="A1205" s="16" t="s">
        <v>1177</v>
      </c>
      <c r="B1205" s="17">
        <v>115000</v>
      </c>
      <c r="C1205" s="17">
        <f>0.0125*B1205</f>
        <v>1437.5</v>
      </c>
      <c r="D1205" s="18">
        <v>45925</v>
      </c>
      <c r="E1205" s="16" t="s">
        <v>11</v>
      </c>
      <c r="F1205" s="16" t="s">
        <v>12</v>
      </c>
    </row>
    <row r="1206" spans="1:11" ht="12.75">
      <c r="A1206" s="16" t="s">
        <v>1178</v>
      </c>
      <c r="B1206" s="17">
        <v>250000</v>
      </c>
      <c r="C1206" s="17">
        <f>0.0175*B1206</f>
        <v>4375</v>
      </c>
      <c r="D1206" s="18">
        <v>45925</v>
      </c>
      <c r="E1206" s="16" t="s">
        <v>60</v>
      </c>
      <c r="F1206" s="16" t="s">
        <v>28</v>
      </c>
      <c r="I1206" s="28" t="s">
        <v>30</v>
      </c>
    </row>
    <row r="1207" spans="1:11" ht="12.75">
      <c r="A1207" s="16" t="s">
        <v>825</v>
      </c>
      <c r="B1207" s="17">
        <v>50000</v>
      </c>
      <c r="C1207" s="17">
        <f>0.0125*B1207</f>
        <v>625</v>
      </c>
      <c r="D1207" s="18">
        <v>45925</v>
      </c>
      <c r="E1207" s="16" t="s">
        <v>11</v>
      </c>
      <c r="F1207" s="16" t="s">
        <v>144</v>
      </c>
    </row>
    <row r="1208" spans="1:11" ht="12.75">
      <c r="A1208" s="16" t="s">
        <v>1179</v>
      </c>
      <c r="B1208" s="17">
        <v>70000</v>
      </c>
      <c r="C1208" s="17">
        <f>0.0175*B1208</f>
        <v>1225.0000000000002</v>
      </c>
      <c r="D1208" s="18">
        <v>45925</v>
      </c>
      <c r="E1208" s="16" t="s">
        <v>1180</v>
      </c>
      <c r="F1208" s="16" t="s">
        <v>28</v>
      </c>
      <c r="I1208" s="28" t="s">
        <v>30</v>
      </c>
    </row>
    <row r="1209" spans="1:11" ht="12.75">
      <c r="A1209" s="16" t="s">
        <v>81</v>
      </c>
      <c r="B1209" s="17">
        <v>25000</v>
      </c>
      <c r="C1209" s="17">
        <f t="shared" ref="C1209:C1212" si="312">0.0125*B1209</f>
        <v>312.5</v>
      </c>
      <c r="D1209" s="18">
        <v>45925</v>
      </c>
      <c r="E1209" s="16" t="s">
        <v>11</v>
      </c>
      <c r="F1209" s="16" t="s">
        <v>144</v>
      </c>
    </row>
    <row r="1210" spans="1:11" ht="12.75">
      <c r="A1210" s="16" t="s">
        <v>1181</v>
      </c>
      <c r="B1210" s="17">
        <v>450000</v>
      </c>
      <c r="C1210" s="17">
        <f t="shared" si="312"/>
        <v>5625</v>
      </c>
      <c r="D1210" s="18">
        <v>45925</v>
      </c>
      <c r="E1210" s="16" t="s">
        <v>1164</v>
      </c>
      <c r="F1210" s="16" t="s">
        <v>144</v>
      </c>
      <c r="H1210" s="16" t="s">
        <v>996</v>
      </c>
    </row>
    <row r="1211" spans="1:11" ht="12.75">
      <c r="A1211" s="16" t="s">
        <v>588</v>
      </c>
      <c r="B1211" s="17">
        <v>150000</v>
      </c>
      <c r="C1211" s="17">
        <f t="shared" si="312"/>
        <v>1875</v>
      </c>
      <c r="D1211" s="18">
        <v>45926</v>
      </c>
      <c r="E1211" s="16" t="s">
        <v>15</v>
      </c>
      <c r="F1211" s="16" t="s">
        <v>12</v>
      </c>
      <c r="H1211" s="24" t="s">
        <v>16</v>
      </c>
      <c r="K1211" s="16">
        <v>600</v>
      </c>
    </row>
    <row r="1212" spans="1:11" ht="12.75">
      <c r="A1212" s="16" t="s">
        <v>1182</v>
      </c>
      <c r="B1212" s="17">
        <v>130000</v>
      </c>
      <c r="C1212" s="17">
        <f t="shared" si="312"/>
        <v>1625</v>
      </c>
      <c r="D1212" s="18">
        <v>45926</v>
      </c>
      <c r="E1212" s="16" t="s">
        <v>11</v>
      </c>
      <c r="F1212" s="16" t="s">
        <v>12</v>
      </c>
    </row>
    <row r="1213" spans="1:11" ht="12.75">
      <c r="A1213" s="16" t="s">
        <v>1183</v>
      </c>
      <c r="B1213" s="17">
        <v>175000</v>
      </c>
      <c r="C1213" s="17">
        <f t="shared" ref="C1213:C1214" si="313">0.0175*B1213</f>
        <v>3062.5000000000005</v>
      </c>
      <c r="D1213" s="18">
        <v>45926</v>
      </c>
      <c r="E1213" s="16" t="s">
        <v>118</v>
      </c>
      <c r="F1213" s="16" t="s">
        <v>28</v>
      </c>
      <c r="H1213" s="16" t="s">
        <v>13</v>
      </c>
      <c r="I1213" s="28" t="s">
        <v>30</v>
      </c>
    </row>
    <row r="1214" spans="1:11" ht="12.75">
      <c r="A1214" s="16" t="s">
        <v>1184</v>
      </c>
      <c r="B1214" s="17">
        <v>50000</v>
      </c>
      <c r="C1214" s="17">
        <f t="shared" si="313"/>
        <v>875.00000000000011</v>
      </c>
      <c r="D1214" s="18">
        <v>45926</v>
      </c>
      <c r="E1214" s="16" t="s">
        <v>24</v>
      </c>
      <c r="F1214" s="16" t="s">
        <v>28</v>
      </c>
      <c r="H1214" s="16" t="s">
        <v>924</v>
      </c>
      <c r="I1214" s="28" t="s">
        <v>30</v>
      </c>
    </row>
    <row r="1215" spans="1:11" ht="12.75">
      <c r="A1215" s="16" t="s">
        <v>1185</v>
      </c>
      <c r="B1215" s="17">
        <v>140000</v>
      </c>
      <c r="C1215" s="17">
        <f t="shared" ref="C1215:C1217" si="314">0.0125*B1215</f>
        <v>1750</v>
      </c>
      <c r="D1215" s="18">
        <v>45926</v>
      </c>
      <c r="E1215" s="16" t="s">
        <v>118</v>
      </c>
      <c r="F1215" s="16" t="s">
        <v>12</v>
      </c>
      <c r="H1215" s="16" t="s">
        <v>22</v>
      </c>
    </row>
    <row r="1216" spans="1:11" ht="12.75">
      <c r="A1216" s="16" t="s">
        <v>1186</v>
      </c>
      <c r="B1216" s="17">
        <v>30000</v>
      </c>
      <c r="C1216" s="17">
        <f t="shared" si="314"/>
        <v>375</v>
      </c>
      <c r="D1216" s="18">
        <v>45926</v>
      </c>
      <c r="E1216" s="16" t="s">
        <v>15</v>
      </c>
      <c r="F1216" s="16" t="s">
        <v>12</v>
      </c>
      <c r="H1216" s="24" t="s">
        <v>54</v>
      </c>
      <c r="K1216" s="16">
        <v>180</v>
      </c>
    </row>
    <row r="1217" spans="1:11" ht="12.75">
      <c r="A1217" s="16" t="s">
        <v>277</v>
      </c>
      <c r="B1217" s="17">
        <v>1575000</v>
      </c>
      <c r="C1217" s="17">
        <f t="shared" si="314"/>
        <v>19687.5</v>
      </c>
      <c r="D1217" s="18">
        <v>45926</v>
      </c>
      <c r="E1217" s="16" t="s">
        <v>15</v>
      </c>
      <c r="F1217" s="16" t="s">
        <v>12</v>
      </c>
      <c r="H1217" s="24" t="s">
        <v>149</v>
      </c>
      <c r="K1217" s="16">
        <v>3937.5</v>
      </c>
    </row>
    <row r="1218" spans="1:11" ht="12.75">
      <c r="A1218" s="16" t="s">
        <v>1033</v>
      </c>
      <c r="B1218" s="17">
        <v>50000</v>
      </c>
      <c r="C1218" s="17">
        <f t="shared" ref="C1218:C1219" si="315">0.0175*B1218</f>
        <v>875.00000000000011</v>
      </c>
      <c r="D1218" s="18">
        <v>45926</v>
      </c>
      <c r="E1218" s="16" t="s">
        <v>24</v>
      </c>
      <c r="F1218" s="16" t="s">
        <v>67</v>
      </c>
      <c r="H1218" s="16" t="s">
        <v>924</v>
      </c>
      <c r="I1218" s="28" t="s">
        <v>30</v>
      </c>
    </row>
    <row r="1219" spans="1:11" ht="12.75">
      <c r="A1219" s="16" t="s">
        <v>1187</v>
      </c>
      <c r="B1219" s="17">
        <v>325000</v>
      </c>
      <c r="C1219" s="17">
        <f t="shared" si="315"/>
        <v>5687.5000000000009</v>
      </c>
      <c r="D1219" s="18">
        <v>45926</v>
      </c>
      <c r="E1219" s="16" t="s">
        <v>1188</v>
      </c>
      <c r="F1219" s="16" t="s">
        <v>28</v>
      </c>
      <c r="H1219" s="16" t="s">
        <v>1189</v>
      </c>
      <c r="I1219" s="28" t="s">
        <v>30</v>
      </c>
      <c r="K1219" s="16">
        <v>325</v>
      </c>
    </row>
    <row r="1220" spans="1:11" ht="12.75">
      <c r="A1220" s="16" t="s">
        <v>1190</v>
      </c>
      <c r="B1220" s="17">
        <v>375000</v>
      </c>
      <c r="C1220" s="17">
        <f t="shared" ref="C1220:C1221" si="316">0.0125*B1220</f>
        <v>4687.5</v>
      </c>
      <c r="D1220" s="18">
        <v>45929</v>
      </c>
      <c r="E1220" s="16" t="s">
        <v>118</v>
      </c>
      <c r="F1220" s="16" t="s">
        <v>12</v>
      </c>
      <c r="H1220" s="16" t="s">
        <v>22</v>
      </c>
    </row>
    <row r="1221" spans="1:11" ht="12.75">
      <c r="A1221" s="16" t="s">
        <v>728</v>
      </c>
      <c r="B1221" s="17">
        <v>110000</v>
      </c>
      <c r="C1221" s="17">
        <f t="shared" si="316"/>
        <v>1375</v>
      </c>
      <c r="D1221" s="18">
        <v>45929</v>
      </c>
      <c r="E1221" s="16" t="s">
        <v>11</v>
      </c>
      <c r="F1221" s="16" t="s">
        <v>12</v>
      </c>
    </row>
    <row r="1222" spans="1:11" ht="12.75">
      <c r="A1222" s="16" t="s">
        <v>1191</v>
      </c>
      <c r="B1222" s="17">
        <v>350000</v>
      </c>
      <c r="C1222" s="17">
        <f>0.0175*B1222</f>
        <v>6125.0000000000009</v>
      </c>
      <c r="D1222" s="18">
        <v>45929</v>
      </c>
      <c r="E1222" s="16" t="s">
        <v>118</v>
      </c>
      <c r="F1222" s="16" t="s">
        <v>28</v>
      </c>
      <c r="H1222" s="16" t="s">
        <v>13</v>
      </c>
      <c r="I1222" s="28" t="s">
        <v>30</v>
      </c>
    </row>
    <row r="1223" spans="1:11" ht="12.75">
      <c r="A1223" s="16" t="s">
        <v>809</v>
      </c>
      <c r="B1223" s="17">
        <v>15000</v>
      </c>
      <c r="C1223" s="17">
        <f t="shared" ref="C1223:C1225" si="317">0.0125*B1223</f>
        <v>187.5</v>
      </c>
      <c r="D1223" s="18">
        <v>45929</v>
      </c>
      <c r="E1223" s="16" t="s">
        <v>11</v>
      </c>
      <c r="F1223" s="16" t="s">
        <v>12</v>
      </c>
    </row>
    <row r="1224" spans="1:11" ht="12.75">
      <c r="A1224" s="16" t="s">
        <v>1192</v>
      </c>
      <c r="B1224" s="17">
        <v>65000</v>
      </c>
      <c r="C1224" s="17">
        <f t="shared" si="317"/>
        <v>812.5</v>
      </c>
      <c r="D1224" s="18">
        <v>45929</v>
      </c>
      <c r="E1224" s="16" t="s">
        <v>11</v>
      </c>
      <c r="F1224" s="16" t="s">
        <v>12</v>
      </c>
    </row>
    <row r="1225" spans="1:11" ht="12.75">
      <c r="A1225" s="16" t="s">
        <v>201</v>
      </c>
      <c r="B1225" s="17">
        <v>62500</v>
      </c>
      <c r="C1225" s="17">
        <f t="shared" si="317"/>
        <v>781.25</v>
      </c>
      <c r="D1225" s="18">
        <v>45929</v>
      </c>
      <c r="E1225" s="16" t="s">
        <v>11</v>
      </c>
      <c r="F1225" s="16" t="s">
        <v>12</v>
      </c>
    </row>
    <row r="1226" spans="1:11" ht="12.75">
      <c r="A1226" s="16" t="s">
        <v>1193</v>
      </c>
      <c r="B1226" s="17">
        <v>60000</v>
      </c>
      <c r="C1226" s="17">
        <f>0.0175*B1226</f>
        <v>1050</v>
      </c>
      <c r="D1226" s="18">
        <v>45929</v>
      </c>
      <c r="E1226" s="16" t="s">
        <v>15</v>
      </c>
      <c r="F1226" s="16" t="s">
        <v>28</v>
      </c>
      <c r="H1226" s="24" t="s">
        <v>16</v>
      </c>
      <c r="I1226" s="28" t="s">
        <v>30</v>
      </c>
      <c r="K1226" s="16">
        <v>240</v>
      </c>
    </row>
    <row r="1227" spans="1:11" ht="12.75">
      <c r="A1227" s="16" t="s">
        <v>977</v>
      </c>
      <c r="B1227" s="17">
        <v>134000</v>
      </c>
      <c r="C1227" s="17">
        <f t="shared" ref="C1227:C1230" si="318">0.0125*B1227</f>
        <v>1675</v>
      </c>
      <c r="D1227" s="18">
        <v>45929</v>
      </c>
      <c r="E1227" s="16" t="s">
        <v>21</v>
      </c>
      <c r="F1227" s="16" t="s">
        <v>12</v>
      </c>
      <c r="H1227" s="16" t="s">
        <v>22</v>
      </c>
    </row>
    <row r="1228" spans="1:11" ht="12.75">
      <c r="A1228" s="16" t="s">
        <v>481</v>
      </c>
      <c r="B1228" s="17">
        <v>850000</v>
      </c>
      <c r="C1228" s="17">
        <f t="shared" si="318"/>
        <v>10625</v>
      </c>
      <c r="D1228" s="18">
        <v>45929</v>
      </c>
      <c r="E1228" s="16" t="s">
        <v>11</v>
      </c>
      <c r="F1228" s="16" t="s">
        <v>12</v>
      </c>
    </row>
    <row r="1229" spans="1:11" ht="12.75">
      <c r="A1229" s="16" t="s">
        <v>1194</v>
      </c>
      <c r="B1229" s="17">
        <v>130000</v>
      </c>
      <c r="C1229" s="17">
        <f t="shared" si="318"/>
        <v>1625</v>
      </c>
      <c r="D1229" s="18">
        <v>45930</v>
      </c>
      <c r="E1229" s="16" t="s">
        <v>24</v>
      </c>
      <c r="F1229" s="16" t="s">
        <v>12</v>
      </c>
      <c r="H1229" s="16" t="s">
        <v>936</v>
      </c>
    </row>
    <row r="1230" spans="1:11" ht="12.75">
      <c r="A1230" s="16" t="s">
        <v>1195</v>
      </c>
      <c r="B1230" s="17">
        <v>170000</v>
      </c>
      <c r="C1230" s="17">
        <f t="shared" si="318"/>
        <v>2125</v>
      </c>
      <c r="D1230" s="18">
        <v>45930</v>
      </c>
      <c r="E1230" s="16" t="s">
        <v>75</v>
      </c>
      <c r="F1230" s="16" t="s">
        <v>12</v>
      </c>
    </row>
    <row r="1231" spans="1:11" ht="12.75">
      <c r="A1231" s="16" t="s">
        <v>1196</v>
      </c>
      <c r="B1231" s="17">
        <v>100000</v>
      </c>
      <c r="C1231" s="17">
        <f>0.0175*B1231</f>
        <v>1750.0000000000002</v>
      </c>
      <c r="D1231" s="18">
        <v>45930</v>
      </c>
      <c r="E1231" s="16" t="s">
        <v>11</v>
      </c>
      <c r="F1231" s="16" t="s">
        <v>28</v>
      </c>
      <c r="I1231" s="28" t="s">
        <v>30</v>
      </c>
    </row>
    <row r="1232" spans="1:11" ht="12.75">
      <c r="A1232" s="16" t="s">
        <v>1197</v>
      </c>
      <c r="B1232" s="17">
        <v>16000</v>
      </c>
      <c r="C1232" s="17">
        <f>0.0125*B1232</f>
        <v>200</v>
      </c>
      <c r="D1232" s="18">
        <v>45930</v>
      </c>
      <c r="E1232" s="16" t="s">
        <v>11</v>
      </c>
      <c r="F1232" s="16" t="s">
        <v>12</v>
      </c>
      <c r="I1232" s="29"/>
    </row>
    <row r="1233" spans="1:11" ht="12.75">
      <c r="A1233" s="16" t="s">
        <v>1198</v>
      </c>
      <c r="B1233" s="17">
        <v>300000</v>
      </c>
      <c r="C1233" s="17">
        <f>0.0175*B1233</f>
        <v>5250.0000000000009</v>
      </c>
      <c r="D1233" s="18">
        <v>45930</v>
      </c>
      <c r="E1233" s="16" t="s">
        <v>24</v>
      </c>
      <c r="F1233" s="16" t="s">
        <v>28</v>
      </c>
      <c r="H1233" s="16" t="s">
        <v>1199</v>
      </c>
    </row>
    <row r="1234" spans="1:11" ht="12.75">
      <c r="A1234" s="16" t="s">
        <v>1200</v>
      </c>
      <c r="B1234" s="17">
        <v>500000</v>
      </c>
      <c r="C1234" s="17">
        <f>0.0125*B1234</f>
        <v>6250</v>
      </c>
      <c r="D1234" s="18">
        <v>45930</v>
      </c>
      <c r="E1234" s="16" t="s">
        <v>951</v>
      </c>
      <c r="F1234" s="16" t="s">
        <v>12</v>
      </c>
      <c r="H1234" s="16" t="s">
        <v>22</v>
      </c>
    </row>
    <row r="1235" spans="1:11" ht="12.75">
      <c r="A1235" s="16" t="s">
        <v>1000</v>
      </c>
      <c r="B1235" s="17">
        <v>100000</v>
      </c>
      <c r="C1235" s="17">
        <f t="shared" ref="C1235:C1236" si="319">0.0175*B1235</f>
        <v>1750.0000000000002</v>
      </c>
      <c r="D1235" s="18">
        <v>45930</v>
      </c>
      <c r="E1235" s="16" t="s">
        <v>60</v>
      </c>
      <c r="F1235" s="16" t="s">
        <v>67</v>
      </c>
      <c r="I1235" s="28" t="s">
        <v>30</v>
      </c>
    </row>
    <row r="1236" spans="1:11" ht="12.75">
      <c r="A1236" s="16" t="s">
        <v>331</v>
      </c>
      <c r="B1236" s="17">
        <v>395000</v>
      </c>
      <c r="C1236" s="17">
        <f t="shared" si="319"/>
        <v>6912.5000000000009</v>
      </c>
      <c r="D1236" s="18">
        <v>45930</v>
      </c>
      <c r="E1236" s="16" t="s">
        <v>180</v>
      </c>
      <c r="F1236" s="16" t="s">
        <v>12</v>
      </c>
    </row>
    <row r="1237" spans="1:11" ht="12.75">
      <c r="A1237" s="16" t="s">
        <v>1201</v>
      </c>
      <c r="B1237" s="17">
        <v>1350000</v>
      </c>
      <c r="C1237" s="17">
        <f>0.0125*B1237</f>
        <v>16875</v>
      </c>
      <c r="D1237" s="18">
        <v>45930</v>
      </c>
      <c r="E1237" s="16" t="s">
        <v>24</v>
      </c>
      <c r="F1237" s="16" t="s">
        <v>12</v>
      </c>
      <c r="H1237" s="16" t="s">
        <v>996</v>
      </c>
    </row>
    <row r="1238" spans="1:11" ht="12.75">
      <c r="A1238" s="11">
        <v>45931</v>
      </c>
      <c r="B1238" s="12">
        <f t="shared" ref="B1238:C1238" si="320">SUM(B1239:B1369)</f>
        <v>28002000</v>
      </c>
      <c r="C1238" s="12">
        <f t="shared" si="320"/>
        <v>411017.5</v>
      </c>
      <c r="D1238" s="13"/>
      <c r="E1238" s="14"/>
      <c r="F1238" s="14"/>
      <c r="G1238" s="14"/>
      <c r="H1238" s="15"/>
      <c r="I1238" s="15"/>
      <c r="J1238" s="15"/>
      <c r="K1238" s="15"/>
    </row>
    <row r="1239" spans="1:11" ht="12.75">
      <c r="A1239" s="16" t="s">
        <v>1202</v>
      </c>
      <c r="B1239" s="17">
        <v>70000</v>
      </c>
      <c r="C1239" s="17">
        <f>0.0125*B1239</f>
        <v>875</v>
      </c>
      <c r="D1239" s="18">
        <v>45931</v>
      </c>
      <c r="E1239" s="16" t="s">
        <v>24</v>
      </c>
      <c r="F1239" s="16" t="s">
        <v>12</v>
      </c>
      <c r="H1239" s="16" t="s">
        <v>619</v>
      </c>
    </row>
    <row r="1240" spans="1:11" ht="12.75">
      <c r="A1240" s="16" t="s">
        <v>1203</v>
      </c>
      <c r="B1240" s="17">
        <v>50000</v>
      </c>
      <c r="C1240" s="17">
        <f t="shared" ref="C1240:C1243" si="321">0.0175*B1240</f>
        <v>875.00000000000011</v>
      </c>
      <c r="D1240" s="18">
        <v>45931</v>
      </c>
      <c r="E1240" s="16" t="s">
        <v>11</v>
      </c>
      <c r="F1240" s="16" t="s">
        <v>28</v>
      </c>
      <c r="I1240" s="28" t="s">
        <v>30</v>
      </c>
    </row>
    <row r="1241" spans="1:11" ht="12.75">
      <c r="A1241" s="16" t="s">
        <v>1204</v>
      </c>
      <c r="B1241" s="17">
        <v>20000</v>
      </c>
      <c r="C1241" s="17">
        <f t="shared" si="321"/>
        <v>350.00000000000006</v>
      </c>
      <c r="D1241" s="18">
        <v>45931</v>
      </c>
      <c r="E1241" s="16" t="s">
        <v>11</v>
      </c>
      <c r="F1241" s="16" t="s">
        <v>28</v>
      </c>
      <c r="I1241" s="28" t="s">
        <v>30</v>
      </c>
    </row>
    <row r="1242" spans="1:11" ht="12.75">
      <c r="A1242" s="16" t="s">
        <v>1205</v>
      </c>
      <c r="B1242" s="17">
        <v>50000</v>
      </c>
      <c r="C1242" s="17">
        <f t="shared" si="321"/>
        <v>875.00000000000011</v>
      </c>
      <c r="D1242" s="18">
        <v>45931</v>
      </c>
      <c r="E1242" s="16" t="s">
        <v>11</v>
      </c>
      <c r="F1242" s="16" t="s">
        <v>28</v>
      </c>
      <c r="I1242" s="28" t="s">
        <v>30</v>
      </c>
    </row>
    <row r="1243" spans="1:11" ht="12.75">
      <c r="A1243" s="16" t="s">
        <v>1206</v>
      </c>
      <c r="B1243" s="17">
        <v>120000</v>
      </c>
      <c r="C1243" s="17">
        <f t="shared" si="321"/>
        <v>2100</v>
      </c>
      <c r="D1243" s="18">
        <v>45931</v>
      </c>
      <c r="E1243" s="16" t="s">
        <v>1207</v>
      </c>
      <c r="F1243" s="16" t="s">
        <v>41</v>
      </c>
      <c r="H1243" s="16" t="s">
        <v>13</v>
      </c>
    </row>
    <row r="1244" spans="1:11" ht="12.75">
      <c r="A1244" s="16" t="s">
        <v>1208</v>
      </c>
      <c r="B1244" s="17">
        <v>19500</v>
      </c>
      <c r="C1244" s="17">
        <f>0.0125*B1244</f>
        <v>243.75</v>
      </c>
      <c r="D1244" s="18">
        <v>45931</v>
      </c>
      <c r="E1244" s="16" t="s">
        <v>15</v>
      </c>
      <c r="F1244" s="16" t="s">
        <v>12</v>
      </c>
      <c r="H1244" s="24" t="s">
        <v>54</v>
      </c>
      <c r="K1244" s="16">
        <v>117</v>
      </c>
    </row>
    <row r="1245" spans="1:11" ht="12.75">
      <c r="A1245" s="16" t="s">
        <v>1209</v>
      </c>
      <c r="B1245" s="17">
        <v>500000</v>
      </c>
      <c r="C1245" s="17">
        <f t="shared" ref="C1245:C1247" si="322">0.0175*B1245</f>
        <v>8750</v>
      </c>
      <c r="D1245" s="18">
        <v>45931</v>
      </c>
      <c r="E1245" s="16" t="s">
        <v>118</v>
      </c>
      <c r="F1245" s="16" t="s">
        <v>41</v>
      </c>
      <c r="H1245" s="16" t="s">
        <v>13</v>
      </c>
      <c r="I1245" s="28" t="s">
        <v>30</v>
      </c>
    </row>
    <row r="1246" spans="1:11" ht="12.75">
      <c r="A1246" s="16" t="s">
        <v>1210</v>
      </c>
      <c r="B1246" s="17">
        <v>30000</v>
      </c>
      <c r="C1246" s="17">
        <f t="shared" si="322"/>
        <v>525</v>
      </c>
      <c r="D1246" s="18">
        <v>45931</v>
      </c>
      <c r="E1246" s="16" t="s">
        <v>939</v>
      </c>
      <c r="F1246" s="16" t="s">
        <v>28</v>
      </c>
      <c r="H1246" s="16" t="s">
        <v>13</v>
      </c>
      <c r="I1246" s="28" t="s">
        <v>30</v>
      </c>
    </row>
    <row r="1247" spans="1:11" ht="12.75">
      <c r="A1247" s="16" t="s">
        <v>1211</v>
      </c>
      <c r="B1247" s="17">
        <v>200000</v>
      </c>
      <c r="C1247" s="17">
        <f t="shared" si="322"/>
        <v>3500.0000000000005</v>
      </c>
      <c r="D1247" s="18">
        <v>45932</v>
      </c>
      <c r="E1247" s="16" t="s">
        <v>15</v>
      </c>
      <c r="F1247" s="16" t="s">
        <v>28</v>
      </c>
      <c r="H1247" s="24" t="s">
        <v>54</v>
      </c>
      <c r="K1247" s="16">
        <v>1200</v>
      </c>
    </row>
    <row r="1248" spans="1:11" ht="12.75">
      <c r="A1248" s="16" t="s">
        <v>688</v>
      </c>
      <c r="B1248" s="17">
        <v>150000</v>
      </c>
      <c r="C1248" s="17">
        <f>0.0125*B1248</f>
        <v>1875</v>
      </c>
      <c r="D1248" s="18">
        <v>45932</v>
      </c>
      <c r="E1248" s="16" t="s">
        <v>11</v>
      </c>
      <c r="F1248" s="16" t="s">
        <v>12</v>
      </c>
    </row>
    <row r="1249" spans="1:11" ht="12.75">
      <c r="A1249" s="16" t="s">
        <v>1212</v>
      </c>
      <c r="B1249" s="17">
        <v>100000</v>
      </c>
      <c r="C1249" s="17">
        <f>0.0175*B1249</f>
        <v>1750.0000000000002</v>
      </c>
      <c r="D1249" s="18">
        <v>45932</v>
      </c>
      <c r="E1249" s="16" t="s">
        <v>15</v>
      </c>
      <c r="F1249" s="16" t="s">
        <v>28</v>
      </c>
      <c r="H1249" s="24" t="s">
        <v>35</v>
      </c>
    </row>
    <row r="1250" spans="1:11" ht="12.75">
      <c r="A1250" s="16" t="s">
        <v>564</v>
      </c>
      <c r="B1250" s="17">
        <v>25000</v>
      </c>
      <c r="C1250" s="17">
        <f>0.0125*B1250</f>
        <v>312.5</v>
      </c>
      <c r="D1250" s="18">
        <v>45932</v>
      </c>
      <c r="E1250" s="16" t="s">
        <v>24</v>
      </c>
      <c r="F1250" s="16" t="s">
        <v>144</v>
      </c>
    </row>
    <row r="1251" spans="1:11" ht="12.75">
      <c r="A1251" s="16" t="s">
        <v>1213</v>
      </c>
      <c r="B1251" s="17">
        <v>250000</v>
      </c>
      <c r="C1251" s="17">
        <f t="shared" ref="C1251:C1252" si="323">0.0175*B1251</f>
        <v>4375</v>
      </c>
      <c r="D1251" s="18">
        <v>45932</v>
      </c>
      <c r="E1251" s="16" t="s">
        <v>15</v>
      </c>
      <c r="F1251" s="16" t="s">
        <v>41</v>
      </c>
      <c r="H1251" s="24" t="s">
        <v>220</v>
      </c>
      <c r="I1251" s="28" t="s">
        <v>30</v>
      </c>
      <c r="K1251" s="16">
        <v>875</v>
      </c>
    </row>
    <row r="1252" spans="1:11" ht="12.75">
      <c r="A1252" s="16" t="s">
        <v>865</v>
      </c>
      <c r="B1252" s="17">
        <v>50000</v>
      </c>
      <c r="C1252" s="17">
        <f t="shared" si="323"/>
        <v>875.00000000000011</v>
      </c>
      <c r="D1252" s="18">
        <v>45932</v>
      </c>
      <c r="E1252" s="16" t="s">
        <v>11</v>
      </c>
      <c r="F1252" s="16" t="s">
        <v>67</v>
      </c>
      <c r="I1252" s="28" t="s">
        <v>30</v>
      </c>
    </row>
    <row r="1253" spans="1:11" ht="12.75">
      <c r="A1253" s="16" t="s">
        <v>1214</v>
      </c>
      <c r="B1253" s="17">
        <v>900000</v>
      </c>
      <c r="C1253" s="17">
        <f>0.0125*B1253</f>
        <v>11250</v>
      </c>
      <c r="D1253" s="18">
        <v>45933</v>
      </c>
      <c r="E1253" s="16" t="s">
        <v>15</v>
      </c>
      <c r="F1253" s="16" t="s">
        <v>12</v>
      </c>
      <c r="H1253" s="24" t="s">
        <v>282</v>
      </c>
    </row>
    <row r="1254" spans="1:11" ht="12.75">
      <c r="A1254" s="16" t="s">
        <v>1215</v>
      </c>
      <c r="B1254" s="17">
        <v>50000</v>
      </c>
      <c r="C1254" s="17">
        <f>0.0175*B1254</f>
        <v>875.00000000000011</v>
      </c>
      <c r="D1254" s="18">
        <v>45933</v>
      </c>
      <c r="E1254" s="16" t="s">
        <v>11</v>
      </c>
      <c r="F1254" s="16" t="s">
        <v>28</v>
      </c>
      <c r="I1254" s="28" t="s">
        <v>30</v>
      </c>
    </row>
    <row r="1255" spans="1:11" ht="12.75">
      <c r="A1255" s="16" t="s">
        <v>1216</v>
      </c>
      <c r="B1255" s="17">
        <v>350000</v>
      </c>
      <c r="C1255" s="17">
        <f t="shared" ref="C1255:C1256" si="324">0.0125*B1255</f>
        <v>4375</v>
      </c>
      <c r="D1255" s="18">
        <v>45933</v>
      </c>
      <c r="E1255" s="16" t="s">
        <v>11</v>
      </c>
      <c r="F1255" s="16" t="s">
        <v>12</v>
      </c>
      <c r="H1255" s="24"/>
    </row>
    <row r="1256" spans="1:11" ht="12.75">
      <c r="A1256" s="16" t="s">
        <v>1217</v>
      </c>
      <c r="B1256" s="17">
        <v>870000</v>
      </c>
      <c r="C1256" s="17">
        <f t="shared" si="324"/>
        <v>10875</v>
      </c>
      <c r="D1256" s="18">
        <v>45933</v>
      </c>
      <c r="E1256" s="16" t="s">
        <v>24</v>
      </c>
      <c r="F1256" s="16" t="s">
        <v>12</v>
      </c>
      <c r="H1256" s="16" t="s">
        <v>619</v>
      </c>
    </row>
    <row r="1257" spans="1:11" ht="12.75">
      <c r="A1257" s="16" t="s">
        <v>1218</v>
      </c>
      <c r="B1257" s="17">
        <v>25000</v>
      </c>
      <c r="C1257" s="17">
        <f>0.0175*B1257</f>
        <v>437.50000000000006</v>
      </c>
      <c r="D1257" s="18">
        <v>45933</v>
      </c>
      <c r="E1257" s="16" t="s">
        <v>11</v>
      </c>
      <c r="F1257" s="16" t="s">
        <v>28</v>
      </c>
      <c r="I1257" s="28" t="s">
        <v>30</v>
      </c>
    </row>
    <row r="1258" spans="1:11" ht="12.75">
      <c r="A1258" s="16" t="s">
        <v>348</v>
      </c>
      <c r="B1258" s="17">
        <v>800000</v>
      </c>
      <c r="C1258" s="17">
        <f t="shared" ref="C1258:C1259" si="325">0.0125*B1258</f>
        <v>10000</v>
      </c>
      <c r="D1258" s="18">
        <v>45933</v>
      </c>
      <c r="E1258" s="16" t="s">
        <v>60</v>
      </c>
      <c r="F1258" s="16" t="s">
        <v>12</v>
      </c>
    </row>
    <row r="1259" spans="1:11" ht="12.75">
      <c r="A1259" s="16" t="s">
        <v>1219</v>
      </c>
      <c r="B1259" s="17">
        <v>450000</v>
      </c>
      <c r="C1259" s="17">
        <f t="shared" si="325"/>
        <v>5625</v>
      </c>
      <c r="D1259" s="18">
        <v>45933</v>
      </c>
      <c r="E1259" s="16" t="s">
        <v>15</v>
      </c>
      <c r="F1259" s="16" t="s">
        <v>12</v>
      </c>
      <c r="H1259" s="24" t="s">
        <v>16</v>
      </c>
      <c r="K1259" s="16">
        <v>1800</v>
      </c>
    </row>
    <row r="1260" spans="1:11" ht="12.75">
      <c r="A1260" s="16" t="s">
        <v>1220</v>
      </c>
      <c r="B1260" s="17">
        <v>52000</v>
      </c>
      <c r="C1260" s="17">
        <f t="shared" ref="C1260:C1261" si="326">0.0175*B1260</f>
        <v>910.00000000000011</v>
      </c>
      <c r="D1260" s="18">
        <v>45936</v>
      </c>
      <c r="E1260" s="16" t="s">
        <v>1221</v>
      </c>
      <c r="F1260" s="16" t="s">
        <v>28</v>
      </c>
      <c r="I1260" s="28" t="s">
        <v>30</v>
      </c>
    </row>
    <row r="1261" spans="1:11" ht="12.75">
      <c r="A1261" s="16" t="s">
        <v>1222</v>
      </c>
      <c r="B1261" s="17">
        <v>20000</v>
      </c>
      <c r="C1261" s="17">
        <f t="shared" si="326"/>
        <v>350.00000000000006</v>
      </c>
      <c r="D1261" s="18">
        <v>45936</v>
      </c>
      <c r="E1261" s="16" t="s">
        <v>11</v>
      </c>
      <c r="F1261" s="16" t="s">
        <v>28</v>
      </c>
      <c r="I1261" s="28" t="s">
        <v>30</v>
      </c>
    </row>
    <row r="1262" spans="1:11" ht="12.75">
      <c r="A1262" s="16" t="s">
        <v>1223</v>
      </c>
      <c r="B1262" s="17">
        <v>245000</v>
      </c>
      <c r="C1262" s="17">
        <f t="shared" ref="C1262:C1267" si="327">0.0125*B1262</f>
        <v>3062.5</v>
      </c>
      <c r="D1262" s="18">
        <v>45937</v>
      </c>
      <c r="E1262" s="16" t="s">
        <v>60</v>
      </c>
      <c r="F1262" s="16" t="s">
        <v>12</v>
      </c>
    </row>
    <row r="1263" spans="1:11" ht="12.75">
      <c r="A1263" s="16" t="s">
        <v>1104</v>
      </c>
      <c r="B1263" s="17">
        <v>85000</v>
      </c>
      <c r="C1263" s="17">
        <f t="shared" si="327"/>
        <v>1062.5</v>
      </c>
      <c r="D1263" s="18">
        <v>45937</v>
      </c>
      <c r="E1263" s="16" t="s">
        <v>11</v>
      </c>
      <c r="F1263" s="16" t="s">
        <v>12</v>
      </c>
    </row>
    <row r="1264" spans="1:11" ht="12.75">
      <c r="A1264" s="16" t="s">
        <v>622</v>
      </c>
      <c r="B1264" s="17">
        <v>145000</v>
      </c>
      <c r="C1264" s="17">
        <f t="shared" si="327"/>
        <v>1812.5</v>
      </c>
      <c r="D1264" s="18">
        <v>45937</v>
      </c>
      <c r="E1264" s="16" t="s">
        <v>15</v>
      </c>
      <c r="F1264" s="16" t="s">
        <v>12</v>
      </c>
      <c r="H1264" s="24" t="s">
        <v>16</v>
      </c>
      <c r="K1264" s="16">
        <v>580</v>
      </c>
    </row>
    <row r="1265" spans="1:11" ht="12.75">
      <c r="A1265" s="16" t="s">
        <v>592</v>
      </c>
      <c r="B1265" s="17">
        <v>110000</v>
      </c>
      <c r="C1265" s="17">
        <f t="shared" si="327"/>
        <v>1375</v>
      </c>
      <c r="D1265" s="18">
        <v>45937</v>
      </c>
      <c r="E1265" s="16" t="s">
        <v>1207</v>
      </c>
      <c r="F1265" s="16" t="s">
        <v>12</v>
      </c>
    </row>
    <row r="1266" spans="1:11" ht="12.75">
      <c r="A1266" s="16" t="s">
        <v>733</v>
      </c>
      <c r="B1266" s="17">
        <v>500000</v>
      </c>
      <c r="C1266" s="17">
        <f t="shared" si="327"/>
        <v>6250</v>
      </c>
      <c r="D1266" s="18">
        <v>45937</v>
      </c>
      <c r="E1266" s="16" t="s">
        <v>11</v>
      </c>
      <c r="F1266" s="16" t="s">
        <v>12</v>
      </c>
    </row>
    <row r="1267" spans="1:11" ht="12.75">
      <c r="A1267" s="16" t="s">
        <v>1224</v>
      </c>
      <c r="B1267" s="17">
        <v>95000</v>
      </c>
      <c r="C1267" s="17">
        <f t="shared" si="327"/>
        <v>1187.5</v>
      </c>
      <c r="D1267" s="18">
        <v>45937</v>
      </c>
      <c r="E1267" s="16" t="s">
        <v>11</v>
      </c>
      <c r="F1267" s="16" t="s">
        <v>12</v>
      </c>
    </row>
    <row r="1268" spans="1:11" ht="12.75">
      <c r="A1268" s="16" t="s">
        <v>1225</v>
      </c>
      <c r="B1268" s="17">
        <v>25000</v>
      </c>
      <c r="C1268" s="17">
        <f t="shared" ref="C1268:C1271" si="328">0.0175*B1268</f>
        <v>437.50000000000006</v>
      </c>
      <c r="D1268" s="18">
        <v>45937</v>
      </c>
      <c r="E1268" s="16" t="s">
        <v>118</v>
      </c>
      <c r="F1268" s="16" t="s">
        <v>28</v>
      </c>
      <c r="H1268" s="16" t="s">
        <v>13</v>
      </c>
      <c r="I1268" s="28" t="s">
        <v>30</v>
      </c>
    </row>
    <row r="1269" spans="1:11" ht="12.75">
      <c r="A1269" s="16" t="s">
        <v>1226</v>
      </c>
      <c r="B1269" s="17">
        <v>20000</v>
      </c>
      <c r="C1269" s="17">
        <f t="shared" si="328"/>
        <v>350.00000000000006</v>
      </c>
      <c r="D1269" s="18">
        <v>45937</v>
      </c>
      <c r="E1269" s="16" t="s">
        <v>1227</v>
      </c>
      <c r="F1269" s="16" t="s">
        <v>28</v>
      </c>
      <c r="H1269" s="16" t="s">
        <v>13</v>
      </c>
      <c r="I1269" s="28" t="s">
        <v>30</v>
      </c>
    </row>
    <row r="1270" spans="1:11" ht="12.75">
      <c r="A1270" s="16" t="s">
        <v>1228</v>
      </c>
      <c r="B1270" s="17">
        <v>250000</v>
      </c>
      <c r="C1270" s="17">
        <f t="shared" si="328"/>
        <v>4375</v>
      </c>
      <c r="D1270" s="18">
        <v>45937</v>
      </c>
      <c r="E1270" s="16" t="s">
        <v>943</v>
      </c>
      <c r="F1270" s="16" t="s">
        <v>28</v>
      </c>
      <c r="H1270" s="16" t="s">
        <v>1229</v>
      </c>
      <c r="I1270" s="28" t="s">
        <v>30</v>
      </c>
    </row>
    <row r="1271" spans="1:11" ht="12.75">
      <c r="A1271" s="16" t="s">
        <v>1230</v>
      </c>
      <c r="B1271" s="17">
        <v>150000</v>
      </c>
      <c r="C1271" s="17">
        <f t="shared" si="328"/>
        <v>2625.0000000000005</v>
      </c>
      <c r="D1271" s="18">
        <v>45937</v>
      </c>
      <c r="E1271" s="16" t="s">
        <v>15</v>
      </c>
      <c r="F1271" s="16" t="s">
        <v>28</v>
      </c>
      <c r="H1271" s="24" t="s">
        <v>54</v>
      </c>
      <c r="I1271" s="28" t="s">
        <v>30</v>
      </c>
      <c r="K1271" s="16">
        <v>900</v>
      </c>
    </row>
    <row r="1272" spans="1:11" ht="12.75">
      <c r="A1272" s="16" t="s">
        <v>1231</v>
      </c>
      <c r="B1272" s="17">
        <v>70000</v>
      </c>
      <c r="C1272" s="17">
        <f t="shared" ref="C1272:C1274" si="329">0.0125*B1272</f>
        <v>875</v>
      </c>
      <c r="D1272" s="18">
        <v>45937</v>
      </c>
      <c r="E1272" s="16" t="s">
        <v>60</v>
      </c>
      <c r="F1272" s="16" t="s">
        <v>12</v>
      </c>
    </row>
    <row r="1273" spans="1:11" ht="12.75">
      <c r="A1273" s="16" t="s">
        <v>1232</v>
      </c>
      <c r="B1273" s="17">
        <v>115000</v>
      </c>
      <c r="C1273" s="17">
        <f t="shared" si="329"/>
        <v>1437.5</v>
      </c>
      <c r="D1273" s="18">
        <v>45937</v>
      </c>
      <c r="E1273" s="16" t="s">
        <v>60</v>
      </c>
      <c r="F1273" s="16" t="s">
        <v>28</v>
      </c>
    </row>
    <row r="1274" spans="1:11" ht="12.75">
      <c r="A1274" s="16" t="s">
        <v>353</v>
      </c>
      <c r="B1274" s="17">
        <v>350000</v>
      </c>
      <c r="C1274" s="17">
        <f t="shared" si="329"/>
        <v>4375</v>
      </c>
      <c r="D1274" s="18">
        <v>45938</v>
      </c>
      <c r="E1274" s="16" t="s">
        <v>11</v>
      </c>
      <c r="F1274" s="16" t="s">
        <v>12</v>
      </c>
    </row>
    <row r="1275" spans="1:11" ht="12.75">
      <c r="A1275" s="16" t="s">
        <v>1233</v>
      </c>
      <c r="B1275" s="17">
        <v>50000</v>
      </c>
      <c r="C1275" s="17">
        <f t="shared" ref="C1275:C1280" si="330">0.0175*B1275</f>
        <v>875.00000000000011</v>
      </c>
      <c r="D1275" s="18">
        <v>45938</v>
      </c>
      <c r="E1275" s="16" t="s">
        <v>15</v>
      </c>
      <c r="F1275" s="16" t="s">
        <v>28</v>
      </c>
      <c r="H1275" s="24" t="s">
        <v>54</v>
      </c>
      <c r="I1275" s="28" t="s">
        <v>30</v>
      </c>
      <c r="K1275" s="16">
        <v>300</v>
      </c>
    </row>
    <row r="1276" spans="1:11" ht="12.75">
      <c r="A1276" s="16" t="s">
        <v>1234</v>
      </c>
      <c r="B1276" s="17">
        <v>400000</v>
      </c>
      <c r="C1276" s="17">
        <f t="shared" si="330"/>
        <v>7000.0000000000009</v>
      </c>
      <c r="D1276" s="18">
        <v>45938</v>
      </c>
      <c r="E1276" s="16" t="s">
        <v>60</v>
      </c>
      <c r="F1276" s="16" t="s">
        <v>28</v>
      </c>
      <c r="I1276" s="28" t="s">
        <v>30</v>
      </c>
    </row>
    <row r="1277" spans="1:11" ht="12.75">
      <c r="A1277" s="16" t="s">
        <v>1235</v>
      </c>
      <c r="B1277" s="17">
        <v>300000</v>
      </c>
      <c r="C1277" s="17">
        <f t="shared" si="330"/>
        <v>5250.0000000000009</v>
      </c>
      <c r="D1277" s="18">
        <v>45938</v>
      </c>
      <c r="E1277" s="16" t="s">
        <v>11</v>
      </c>
      <c r="F1277" s="16" t="s">
        <v>28</v>
      </c>
      <c r="I1277" s="28" t="s">
        <v>30</v>
      </c>
    </row>
    <row r="1278" spans="1:11" ht="12.75">
      <c r="A1278" s="16" t="s">
        <v>1236</v>
      </c>
      <c r="B1278" s="17">
        <v>25000</v>
      </c>
      <c r="C1278" s="17">
        <f t="shared" si="330"/>
        <v>437.50000000000006</v>
      </c>
      <c r="D1278" s="18">
        <v>45938</v>
      </c>
      <c r="E1278" s="16" t="s">
        <v>15</v>
      </c>
      <c r="F1278" s="16" t="s">
        <v>28</v>
      </c>
      <c r="H1278" s="24" t="s">
        <v>54</v>
      </c>
      <c r="I1278" s="28" t="s">
        <v>30</v>
      </c>
    </row>
    <row r="1279" spans="1:11" ht="12.75">
      <c r="A1279" s="16" t="s">
        <v>1237</v>
      </c>
      <c r="B1279" s="17">
        <v>500000</v>
      </c>
      <c r="C1279" s="17">
        <f t="shared" si="330"/>
        <v>8750</v>
      </c>
      <c r="D1279" s="18">
        <v>45938</v>
      </c>
      <c r="E1279" s="16" t="s">
        <v>376</v>
      </c>
      <c r="F1279" s="16" t="s">
        <v>28</v>
      </c>
      <c r="H1279" s="16" t="s">
        <v>13</v>
      </c>
      <c r="I1279" s="28" t="s">
        <v>30</v>
      </c>
    </row>
    <row r="1280" spans="1:11" ht="12.75">
      <c r="A1280" s="16" t="s">
        <v>1238</v>
      </c>
      <c r="B1280" s="17">
        <v>60000</v>
      </c>
      <c r="C1280" s="17">
        <f t="shared" si="330"/>
        <v>1050</v>
      </c>
      <c r="D1280" s="18">
        <v>45939</v>
      </c>
      <c r="E1280" s="16" t="s">
        <v>40</v>
      </c>
      <c r="F1280" s="16" t="s">
        <v>28</v>
      </c>
    </row>
    <row r="1281" spans="1:11" ht="12.75">
      <c r="A1281" s="16" t="s">
        <v>454</v>
      </c>
      <c r="B1281" s="17">
        <v>200000</v>
      </c>
      <c r="C1281" s="17">
        <f t="shared" ref="C1281:C1282" si="331">0.0125*B1281</f>
        <v>2500</v>
      </c>
      <c r="D1281" s="18">
        <v>45939</v>
      </c>
      <c r="E1281" s="16" t="s">
        <v>11</v>
      </c>
      <c r="F1281" s="16" t="s">
        <v>144</v>
      </c>
    </row>
    <row r="1282" spans="1:11" ht="12.75">
      <c r="A1282" s="16" t="s">
        <v>1239</v>
      </c>
      <c r="B1282" s="17">
        <v>925000</v>
      </c>
      <c r="C1282" s="17">
        <f t="shared" si="331"/>
        <v>11562.5</v>
      </c>
      <c r="D1282" s="18">
        <v>45939</v>
      </c>
      <c r="E1282" s="16" t="s">
        <v>11</v>
      </c>
      <c r="F1282" s="16" t="s">
        <v>12</v>
      </c>
    </row>
    <row r="1283" spans="1:11" ht="12.75">
      <c r="A1283" s="16" t="s">
        <v>1240</v>
      </c>
      <c r="B1283" s="17">
        <v>150000</v>
      </c>
      <c r="C1283" s="17">
        <f>0.0175*B1283</f>
        <v>2625.0000000000005</v>
      </c>
      <c r="D1283" s="18">
        <v>45939</v>
      </c>
      <c r="E1283" s="16" t="s">
        <v>118</v>
      </c>
      <c r="F1283" s="16" t="s">
        <v>28</v>
      </c>
      <c r="H1283" s="16" t="s">
        <v>13</v>
      </c>
      <c r="I1283" s="28" t="s">
        <v>30</v>
      </c>
    </row>
    <row r="1284" spans="1:11" ht="12.75">
      <c r="A1284" s="16" t="s">
        <v>1241</v>
      </c>
      <c r="B1284" s="17">
        <v>105000</v>
      </c>
      <c r="C1284" s="17">
        <f t="shared" ref="C1284:C1285" si="332">0.0125*B1284</f>
        <v>1312.5</v>
      </c>
      <c r="D1284" s="18">
        <v>45940</v>
      </c>
      <c r="E1284" s="16" t="s">
        <v>15</v>
      </c>
      <c r="F1284" s="16" t="s">
        <v>12</v>
      </c>
      <c r="H1284" s="24" t="s">
        <v>54</v>
      </c>
      <c r="K1284" s="16">
        <v>630</v>
      </c>
    </row>
    <row r="1285" spans="1:11" ht="12.75">
      <c r="A1285" s="16" t="s">
        <v>1242</v>
      </c>
      <c r="B1285" s="17">
        <v>165000</v>
      </c>
      <c r="C1285" s="17">
        <f t="shared" si="332"/>
        <v>2062.5</v>
      </c>
      <c r="D1285" s="18">
        <v>45940</v>
      </c>
      <c r="E1285" s="16" t="s">
        <v>1207</v>
      </c>
      <c r="F1285" s="16" t="s">
        <v>12</v>
      </c>
      <c r="H1285" s="16" t="s">
        <v>22</v>
      </c>
    </row>
    <row r="1286" spans="1:11" ht="12.75">
      <c r="A1286" s="16" t="s">
        <v>1243</v>
      </c>
      <c r="B1286" s="17">
        <v>90000</v>
      </c>
      <c r="C1286" s="17">
        <f>0.0175*B1286</f>
        <v>1575.0000000000002</v>
      </c>
      <c r="D1286" s="18">
        <v>45940</v>
      </c>
      <c r="E1286" s="16" t="s">
        <v>24</v>
      </c>
      <c r="F1286" s="16" t="s">
        <v>28</v>
      </c>
      <c r="H1286" s="16" t="s">
        <v>642</v>
      </c>
      <c r="I1286" s="28" t="s">
        <v>30</v>
      </c>
    </row>
    <row r="1287" spans="1:11" ht="12.75">
      <c r="A1287" s="16" t="s">
        <v>1244</v>
      </c>
      <c r="B1287" s="17">
        <v>200000</v>
      </c>
      <c r="C1287" s="17">
        <f>0.0125*B1287</f>
        <v>2500</v>
      </c>
      <c r="D1287" s="18">
        <v>45940</v>
      </c>
      <c r="E1287" s="16" t="s">
        <v>24</v>
      </c>
      <c r="F1287" s="16" t="s">
        <v>12</v>
      </c>
      <c r="H1287" s="16" t="s">
        <v>619</v>
      </c>
    </row>
    <row r="1288" spans="1:11" ht="12.75">
      <c r="A1288" s="16" t="s">
        <v>1245</v>
      </c>
      <c r="B1288" s="17">
        <v>55000</v>
      </c>
      <c r="C1288" s="17">
        <f>0.0175*B1288</f>
        <v>962.50000000000011</v>
      </c>
      <c r="D1288" s="18">
        <v>45940</v>
      </c>
      <c r="E1288" s="16" t="s">
        <v>15</v>
      </c>
      <c r="F1288" s="16" t="s">
        <v>28</v>
      </c>
      <c r="H1288" s="24" t="s">
        <v>98</v>
      </c>
      <c r="I1288" s="28" t="s">
        <v>30</v>
      </c>
      <c r="K1288" s="16">
        <v>165</v>
      </c>
    </row>
    <row r="1289" spans="1:11" ht="12.75">
      <c r="A1289" s="16" t="s">
        <v>1246</v>
      </c>
      <c r="B1289" s="17">
        <v>100000</v>
      </c>
      <c r="C1289" s="17">
        <f>0.0125*B1289</f>
        <v>1250</v>
      </c>
      <c r="D1289" s="18">
        <v>45944</v>
      </c>
      <c r="E1289" s="16" t="s">
        <v>11</v>
      </c>
      <c r="F1289" s="16" t="s">
        <v>12</v>
      </c>
    </row>
    <row r="1290" spans="1:11" ht="12.75">
      <c r="A1290" s="16" t="s">
        <v>1247</v>
      </c>
      <c r="B1290" s="17">
        <v>171500</v>
      </c>
      <c r="C1290" s="17">
        <f>0.0175*B1290</f>
        <v>3001.2500000000005</v>
      </c>
      <c r="D1290" s="18">
        <v>45944</v>
      </c>
      <c r="E1290" s="16" t="s">
        <v>11</v>
      </c>
      <c r="F1290" s="16" t="s">
        <v>28</v>
      </c>
      <c r="I1290" s="28" t="s">
        <v>30</v>
      </c>
    </row>
    <row r="1291" spans="1:11" ht="12.75">
      <c r="A1291" s="16" t="s">
        <v>1248</v>
      </c>
      <c r="B1291" s="17">
        <v>500000</v>
      </c>
      <c r="C1291" s="17">
        <f>0.0125*B1291</f>
        <v>6250</v>
      </c>
      <c r="D1291" s="18">
        <v>45944</v>
      </c>
      <c r="E1291" s="16" t="s">
        <v>11</v>
      </c>
      <c r="F1291" s="16" t="s">
        <v>12</v>
      </c>
    </row>
    <row r="1292" spans="1:11" ht="12.75">
      <c r="A1292" s="16" t="s">
        <v>1249</v>
      </c>
      <c r="B1292" s="17">
        <v>100000</v>
      </c>
      <c r="C1292" s="17">
        <f>0.0175*B1292</f>
        <v>1750.0000000000002</v>
      </c>
      <c r="D1292" s="18">
        <v>45944</v>
      </c>
      <c r="E1292" s="16" t="s">
        <v>11</v>
      </c>
      <c r="F1292" s="16" t="s">
        <v>28</v>
      </c>
      <c r="I1292" s="28" t="s">
        <v>30</v>
      </c>
    </row>
    <row r="1293" spans="1:11" ht="12.75">
      <c r="A1293" s="16" t="s">
        <v>1250</v>
      </c>
      <c r="B1293" s="17">
        <v>107500</v>
      </c>
      <c r="C1293" s="17">
        <f t="shared" ref="C1293:C1294" si="333">0.0125*B1293</f>
        <v>1343.75</v>
      </c>
      <c r="D1293" s="18">
        <v>45944</v>
      </c>
      <c r="E1293" s="16" t="s">
        <v>11</v>
      </c>
      <c r="F1293" s="16" t="s">
        <v>12</v>
      </c>
    </row>
    <row r="1294" spans="1:11" ht="12.75">
      <c r="A1294" s="16" t="s">
        <v>1251</v>
      </c>
      <c r="B1294" s="17">
        <v>75000</v>
      </c>
      <c r="C1294" s="17">
        <f t="shared" si="333"/>
        <v>937.5</v>
      </c>
      <c r="D1294" s="18">
        <v>45944</v>
      </c>
      <c r="E1294" s="16" t="s">
        <v>11</v>
      </c>
      <c r="F1294" s="16" t="s">
        <v>12</v>
      </c>
    </row>
    <row r="1295" spans="1:11" ht="12.75">
      <c r="A1295" s="16" t="s">
        <v>1252</v>
      </c>
      <c r="B1295" s="17">
        <v>65000</v>
      </c>
      <c r="C1295" s="17">
        <f t="shared" ref="C1295:C1296" si="334">0.0175*B1295</f>
        <v>1137.5</v>
      </c>
      <c r="D1295" s="18">
        <v>45944</v>
      </c>
      <c r="E1295" s="16" t="s">
        <v>11</v>
      </c>
      <c r="F1295" s="16" t="s">
        <v>41</v>
      </c>
    </row>
    <row r="1296" spans="1:11" ht="12.75">
      <c r="A1296" s="16" t="s">
        <v>1253</v>
      </c>
      <c r="B1296" s="17">
        <v>75000</v>
      </c>
      <c r="C1296" s="17">
        <f t="shared" si="334"/>
        <v>1312.5000000000002</v>
      </c>
      <c r="D1296" s="18">
        <v>45944</v>
      </c>
      <c r="E1296" s="16" t="s">
        <v>21</v>
      </c>
      <c r="F1296" s="16" t="s">
        <v>28</v>
      </c>
      <c r="H1296" s="16" t="s">
        <v>13</v>
      </c>
      <c r="I1296" s="28" t="s">
        <v>30</v>
      </c>
    </row>
    <row r="1297" spans="1:11" ht="12.75">
      <c r="A1297" s="16" t="s">
        <v>639</v>
      </c>
      <c r="B1297" s="17">
        <v>240000</v>
      </c>
      <c r="C1297" s="17">
        <f t="shared" ref="C1297:C1300" si="335">0.0125*B1297</f>
        <v>3000</v>
      </c>
      <c r="D1297" s="18">
        <v>45944</v>
      </c>
      <c r="E1297" s="16" t="s">
        <v>11</v>
      </c>
      <c r="F1297" s="16" t="s">
        <v>12</v>
      </c>
    </row>
    <row r="1298" spans="1:11" ht="12.75">
      <c r="A1298" s="16" t="s">
        <v>1254</v>
      </c>
      <c r="B1298" s="17">
        <v>20000</v>
      </c>
      <c r="C1298" s="17">
        <f t="shared" si="335"/>
        <v>250</v>
      </c>
      <c r="D1298" s="18">
        <v>45945</v>
      </c>
      <c r="E1298" s="16" t="s">
        <v>11</v>
      </c>
      <c r="F1298" s="16" t="s">
        <v>12</v>
      </c>
    </row>
    <row r="1299" spans="1:11" ht="12.75">
      <c r="A1299" s="16" t="s">
        <v>1255</v>
      </c>
      <c r="B1299" s="17">
        <v>110000</v>
      </c>
      <c r="C1299" s="17">
        <f t="shared" si="335"/>
        <v>1375</v>
      </c>
      <c r="D1299" s="18">
        <v>45945</v>
      </c>
      <c r="E1299" s="16" t="s">
        <v>376</v>
      </c>
      <c r="F1299" s="16" t="s">
        <v>12</v>
      </c>
    </row>
    <row r="1300" spans="1:11" ht="12.75">
      <c r="A1300" s="16" t="s">
        <v>1256</v>
      </c>
      <c r="B1300" s="17">
        <v>150000</v>
      </c>
      <c r="C1300" s="17">
        <f t="shared" si="335"/>
        <v>1875</v>
      </c>
      <c r="D1300" s="18">
        <v>45946</v>
      </c>
      <c r="E1300" s="16" t="s">
        <v>11</v>
      </c>
      <c r="F1300" s="16" t="s">
        <v>12</v>
      </c>
    </row>
    <row r="1301" spans="1:11" ht="12.75">
      <c r="A1301" s="16" t="s">
        <v>1257</v>
      </c>
      <c r="B1301" s="17">
        <v>200000</v>
      </c>
      <c r="C1301" s="17">
        <f>0.0175*B1301</f>
        <v>3500.0000000000005</v>
      </c>
      <c r="D1301" s="18">
        <v>45946</v>
      </c>
      <c r="E1301" s="16" t="s">
        <v>804</v>
      </c>
      <c r="F1301" s="16" t="s">
        <v>28</v>
      </c>
      <c r="H1301" s="16" t="s">
        <v>13</v>
      </c>
      <c r="I1301" s="28" t="s">
        <v>30</v>
      </c>
    </row>
    <row r="1302" spans="1:11" ht="12.75">
      <c r="A1302" s="16" t="s">
        <v>1258</v>
      </c>
      <c r="B1302" s="17">
        <v>415000</v>
      </c>
      <c r="C1302" s="17">
        <f>0.0125*B1302</f>
        <v>5187.5</v>
      </c>
      <c r="D1302" s="18">
        <v>45946</v>
      </c>
      <c r="E1302" s="16" t="s">
        <v>15</v>
      </c>
      <c r="F1302" s="16" t="s">
        <v>12</v>
      </c>
      <c r="H1302" s="24" t="s">
        <v>98</v>
      </c>
      <c r="K1302" s="16">
        <v>1245</v>
      </c>
    </row>
    <row r="1303" spans="1:11" ht="12.75">
      <c r="A1303" s="16" t="s">
        <v>498</v>
      </c>
      <c r="B1303" s="17">
        <v>350000</v>
      </c>
      <c r="C1303" s="17">
        <f t="shared" ref="C1303:C1304" si="336">0.0175*B1303</f>
        <v>6125.0000000000009</v>
      </c>
      <c r="D1303" s="18">
        <v>45946</v>
      </c>
      <c r="E1303" s="16" t="s">
        <v>15</v>
      </c>
      <c r="F1303" s="16" t="s">
        <v>41</v>
      </c>
      <c r="H1303" s="24" t="s">
        <v>98</v>
      </c>
      <c r="I1303" s="28" t="s">
        <v>30</v>
      </c>
      <c r="K1303" s="16">
        <v>1050</v>
      </c>
    </row>
    <row r="1304" spans="1:11" ht="12.75">
      <c r="A1304" s="16" t="s">
        <v>1259</v>
      </c>
      <c r="B1304" s="17">
        <v>165000</v>
      </c>
      <c r="C1304" s="17">
        <f t="shared" si="336"/>
        <v>2887.5000000000005</v>
      </c>
      <c r="D1304" s="18">
        <v>45946</v>
      </c>
      <c r="E1304" s="16" t="s">
        <v>118</v>
      </c>
      <c r="F1304" s="16" t="s">
        <v>28</v>
      </c>
      <c r="H1304" s="16" t="s">
        <v>13</v>
      </c>
      <c r="I1304" s="28" t="s">
        <v>30</v>
      </c>
    </row>
    <row r="1305" spans="1:11" ht="12.75">
      <c r="A1305" s="16" t="s">
        <v>1260</v>
      </c>
      <c r="B1305" s="17">
        <v>150000</v>
      </c>
      <c r="C1305" s="17">
        <f>0.0125*B1305</f>
        <v>1875</v>
      </c>
      <c r="D1305" s="18">
        <v>45947</v>
      </c>
      <c r="E1305" s="16" t="s">
        <v>40</v>
      </c>
      <c r="F1305" s="16" t="s">
        <v>144</v>
      </c>
    </row>
    <row r="1306" spans="1:11" ht="12.75">
      <c r="A1306" s="16" t="s">
        <v>1261</v>
      </c>
      <c r="B1306" s="17">
        <v>250000</v>
      </c>
      <c r="C1306" s="17">
        <f t="shared" ref="C1306:C1308" si="337">0.0175*B1306</f>
        <v>4375</v>
      </c>
      <c r="D1306" s="18">
        <v>45947</v>
      </c>
      <c r="E1306" s="16" t="s">
        <v>24</v>
      </c>
      <c r="F1306" s="16" t="s">
        <v>28</v>
      </c>
      <c r="H1306" s="16" t="s">
        <v>642</v>
      </c>
      <c r="I1306" s="28" t="s">
        <v>30</v>
      </c>
    </row>
    <row r="1307" spans="1:11" ht="12.75">
      <c r="A1307" s="16" t="s">
        <v>1262</v>
      </c>
      <c r="B1307" s="17">
        <v>100000</v>
      </c>
      <c r="C1307" s="17">
        <f t="shared" si="337"/>
        <v>1750.0000000000002</v>
      </c>
      <c r="D1307" s="18">
        <v>45947</v>
      </c>
      <c r="E1307" s="16" t="s">
        <v>11</v>
      </c>
      <c r="F1307" s="16" t="s">
        <v>28</v>
      </c>
      <c r="I1307" s="28" t="s">
        <v>30</v>
      </c>
    </row>
    <row r="1308" spans="1:11" ht="12.75">
      <c r="A1308" s="16" t="s">
        <v>1263</v>
      </c>
      <c r="B1308" s="17">
        <v>60000</v>
      </c>
      <c r="C1308" s="17">
        <f t="shared" si="337"/>
        <v>1050</v>
      </c>
      <c r="D1308" s="18">
        <v>45947</v>
      </c>
      <c r="E1308" s="16" t="s">
        <v>118</v>
      </c>
      <c r="F1308" s="16" t="s">
        <v>28</v>
      </c>
      <c r="H1308" s="16" t="s">
        <v>13</v>
      </c>
      <c r="I1308" s="28" t="s">
        <v>30</v>
      </c>
    </row>
    <row r="1309" spans="1:11" ht="12.75">
      <c r="A1309" s="16" t="s">
        <v>543</v>
      </c>
      <c r="B1309" s="17">
        <v>140000</v>
      </c>
      <c r="C1309" s="17">
        <f>0.0125*B1309</f>
        <v>1750</v>
      </c>
      <c r="D1309" s="18">
        <v>45950</v>
      </c>
      <c r="E1309" s="16" t="s">
        <v>73</v>
      </c>
      <c r="F1309" s="16" t="s">
        <v>12</v>
      </c>
    </row>
    <row r="1310" spans="1:11" ht="12.75">
      <c r="A1310" s="16" t="s">
        <v>1264</v>
      </c>
      <c r="B1310" s="17">
        <v>20000</v>
      </c>
      <c r="C1310" s="17">
        <f t="shared" ref="C1310:C1311" si="338">0.0175*B1310</f>
        <v>350.00000000000006</v>
      </c>
      <c r="D1310" s="18">
        <v>45950</v>
      </c>
      <c r="E1310" s="16" t="s">
        <v>11</v>
      </c>
      <c r="F1310" s="16" t="s">
        <v>41</v>
      </c>
    </row>
    <row r="1311" spans="1:11" ht="12.75">
      <c r="A1311" s="16" t="s">
        <v>1265</v>
      </c>
      <c r="B1311" s="17">
        <v>75000</v>
      </c>
      <c r="C1311" s="17">
        <f t="shared" si="338"/>
        <v>1312.5000000000002</v>
      </c>
      <c r="D1311" s="18">
        <v>45950</v>
      </c>
      <c r="E1311" s="16" t="s">
        <v>1164</v>
      </c>
      <c r="F1311" s="16" t="s">
        <v>67</v>
      </c>
      <c r="H1311" s="16" t="s">
        <v>924</v>
      </c>
      <c r="I1311" s="28" t="s">
        <v>30</v>
      </c>
    </row>
    <row r="1312" spans="1:11" ht="12.75">
      <c r="A1312" s="16" t="s">
        <v>401</v>
      </c>
      <c r="B1312" s="17">
        <v>255000</v>
      </c>
      <c r="C1312" s="17">
        <f>0.0125*B1312</f>
        <v>3187.5</v>
      </c>
      <c r="D1312" s="18">
        <v>45950</v>
      </c>
      <c r="E1312" s="16" t="s">
        <v>60</v>
      </c>
      <c r="F1312" s="16" t="s">
        <v>12</v>
      </c>
    </row>
    <row r="1313" spans="1:11" ht="12.75">
      <c r="A1313" s="16" t="s">
        <v>1266</v>
      </c>
      <c r="B1313" s="17">
        <v>250000</v>
      </c>
      <c r="C1313" s="17">
        <f t="shared" ref="C1313:C1315" si="339">0.0175*B1313</f>
        <v>4375</v>
      </c>
      <c r="D1313" s="18">
        <v>45951</v>
      </c>
      <c r="E1313" s="16" t="s">
        <v>15</v>
      </c>
      <c r="F1313" s="16" t="s">
        <v>28</v>
      </c>
      <c r="H1313" s="24" t="s">
        <v>172</v>
      </c>
      <c r="K1313" s="16">
        <v>375</v>
      </c>
    </row>
    <row r="1314" spans="1:11" ht="12.75">
      <c r="A1314" s="16" t="s">
        <v>1267</v>
      </c>
      <c r="B1314" s="17">
        <v>100000</v>
      </c>
      <c r="C1314" s="17">
        <f t="shared" si="339"/>
        <v>1750.0000000000002</v>
      </c>
      <c r="D1314" s="18">
        <v>45951</v>
      </c>
      <c r="E1314" s="16" t="s">
        <v>60</v>
      </c>
      <c r="F1314" s="16" t="s">
        <v>28</v>
      </c>
      <c r="I1314" s="28" t="s">
        <v>30</v>
      </c>
    </row>
    <row r="1315" spans="1:11" ht="12.75">
      <c r="A1315" s="16" t="s">
        <v>1268</v>
      </c>
      <c r="B1315" s="17">
        <v>220000</v>
      </c>
      <c r="C1315" s="17">
        <f t="shared" si="339"/>
        <v>3850.0000000000005</v>
      </c>
      <c r="D1315" s="18">
        <v>45951</v>
      </c>
      <c r="E1315" s="16" t="s">
        <v>24</v>
      </c>
      <c r="F1315" s="16" t="s">
        <v>28</v>
      </c>
      <c r="H1315" s="16" t="s">
        <v>642</v>
      </c>
      <c r="I1315" s="28" t="s">
        <v>30</v>
      </c>
    </row>
    <row r="1316" spans="1:11" ht="12.75">
      <c r="A1316" s="16" t="s">
        <v>1269</v>
      </c>
      <c r="B1316" s="17">
        <v>325000</v>
      </c>
      <c r="C1316" s="17">
        <f t="shared" ref="C1316:C1319" si="340">0.0125*B1316</f>
        <v>4062.5</v>
      </c>
      <c r="D1316" s="18">
        <v>45951</v>
      </c>
      <c r="E1316" s="16" t="s">
        <v>60</v>
      </c>
      <c r="F1316" s="16" t="s">
        <v>12</v>
      </c>
    </row>
    <row r="1317" spans="1:11" ht="12.75">
      <c r="A1317" s="16" t="s">
        <v>1194</v>
      </c>
      <c r="B1317" s="17">
        <v>175000</v>
      </c>
      <c r="C1317" s="17">
        <f t="shared" si="340"/>
        <v>2187.5</v>
      </c>
      <c r="D1317" s="18">
        <v>45952</v>
      </c>
      <c r="E1317" s="16" t="s">
        <v>24</v>
      </c>
      <c r="F1317" s="16" t="s">
        <v>12</v>
      </c>
      <c r="H1317" s="16" t="s">
        <v>948</v>
      </c>
    </row>
    <row r="1318" spans="1:11" ht="12.75">
      <c r="A1318" s="16" t="s">
        <v>763</v>
      </c>
      <c r="B1318" s="17">
        <v>155000</v>
      </c>
      <c r="C1318" s="17">
        <f t="shared" si="340"/>
        <v>1937.5</v>
      </c>
      <c r="D1318" s="18">
        <v>45952</v>
      </c>
      <c r="E1318" s="16" t="s">
        <v>11</v>
      </c>
      <c r="F1318" s="16" t="s">
        <v>12</v>
      </c>
    </row>
    <row r="1319" spans="1:11" ht="12.75">
      <c r="A1319" s="16" t="s">
        <v>1270</v>
      </c>
      <c r="B1319" s="17">
        <v>37000</v>
      </c>
      <c r="C1319" s="17">
        <f t="shared" si="340"/>
        <v>462.5</v>
      </c>
      <c r="D1319" s="18">
        <v>45952</v>
      </c>
      <c r="E1319" s="16" t="s">
        <v>24</v>
      </c>
      <c r="F1319" s="16" t="s">
        <v>12</v>
      </c>
      <c r="H1319" s="16" t="s">
        <v>936</v>
      </c>
    </row>
    <row r="1320" spans="1:11" ht="12.75">
      <c r="A1320" s="16" t="s">
        <v>657</v>
      </c>
      <c r="B1320" s="17">
        <v>1000000</v>
      </c>
      <c r="C1320" s="17">
        <f t="shared" ref="C1320:C1321" si="341">0.0175*B1320</f>
        <v>17500</v>
      </c>
      <c r="D1320" s="18">
        <v>45952</v>
      </c>
      <c r="E1320" s="16" t="s">
        <v>118</v>
      </c>
      <c r="F1320" s="16" t="s">
        <v>41</v>
      </c>
      <c r="H1320" s="16" t="s">
        <v>13</v>
      </c>
      <c r="I1320" s="28" t="s">
        <v>30</v>
      </c>
    </row>
    <row r="1321" spans="1:11" ht="12.75">
      <c r="A1321" s="16" t="s">
        <v>1271</v>
      </c>
      <c r="B1321" s="17">
        <v>150000</v>
      </c>
      <c r="C1321" s="17">
        <f t="shared" si="341"/>
        <v>2625.0000000000005</v>
      </c>
      <c r="D1321" s="18">
        <v>45952</v>
      </c>
      <c r="E1321" s="16" t="s">
        <v>15</v>
      </c>
      <c r="F1321" s="16" t="s">
        <v>28</v>
      </c>
      <c r="H1321" s="24" t="s">
        <v>16</v>
      </c>
      <c r="I1321" s="28" t="s">
        <v>30</v>
      </c>
      <c r="K1321" s="16">
        <v>600</v>
      </c>
    </row>
    <row r="1322" spans="1:11" ht="12.75">
      <c r="A1322" s="16" t="s">
        <v>1272</v>
      </c>
      <c r="B1322" s="17">
        <v>50000</v>
      </c>
      <c r="C1322" s="17">
        <f>0.0125*B1322</f>
        <v>625</v>
      </c>
      <c r="D1322" s="18">
        <v>45952</v>
      </c>
      <c r="E1322" s="16" t="s">
        <v>15</v>
      </c>
      <c r="F1322" s="16" t="s">
        <v>144</v>
      </c>
      <c r="H1322" s="24" t="s">
        <v>51</v>
      </c>
      <c r="K1322" s="16">
        <v>250</v>
      </c>
    </row>
    <row r="1323" spans="1:11" ht="12.75">
      <c r="A1323" s="16" t="s">
        <v>1273</v>
      </c>
      <c r="B1323" s="17">
        <v>80000</v>
      </c>
      <c r="C1323" s="17">
        <f t="shared" ref="C1323:C1325" si="342">0.0175*B1323</f>
        <v>1400.0000000000002</v>
      </c>
      <c r="D1323" s="18">
        <v>45952</v>
      </c>
      <c r="E1323" s="16" t="s">
        <v>1221</v>
      </c>
      <c r="F1323" s="16" t="s">
        <v>28</v>
      </c>
      <c r="H1323" s="16" t="s">
        <v>13</v>
      </c>
      <c r="I1323" s="28" t="s">
        <v>30</v>
      </c>
    </row>
    <row r="1324" spans="1:11" ht="12.75">
      <c r="A1324" s="16" t="s">
        <v>1274</v>
      </c>
      <c r="B1324" s="17">
        <v>100000</v>
      </c>
      <c r="C1324" s="17">
        <f t="shared" si="342"/>
        <v>1750.0000000000002</v>
      </c>
      <c r="D1324" s="18">
        <v>45952</v>
      </c>
      <c r="E1324" s="16" t="s">
        <v>118</v>
      </c>
      <c r="F1324" s="16" t="s">
        <v>28</v>
      </c>
      <c r="H1324" s="16" t="s">
        <v>13</v>
      </c>
      <c r="I1324" s="28" t="s">
        <v>30</v>
      </c>
    </row>
    <row r="1325" spans="1:11" ht="12.75">
      <c r="A1325" s="16" t="s">
        <v>1275</v>
      </c>
      <c r="B1325" s="17">
        <v>150000</v>
      </c>
      <c r="C1325" s="17">
        <f t="shared" si="342"/>
        <v>2625.0000000000005</v>
      </c>
      <c r="D1325" s="18">
        <v>45953</v>
      </c>
      <c r="E1325" s="16" t="s">
        <v>60</v>
      </c>
      <c r="F1325" s="16" t="s">
        <v>28</v>
      </c>
      <c r="I1325" s="28" t="s">
        <v>30</v>
      </c>
    </row>
    <row r="1326" spans="1:11" ht="12.75">
      <c r="A1326" s="16" t="s">
        <v>1276</v>
      </c>
      <c r="B1326" s="17">
        <v>135000</v>
      </c>
      <c r="C1326" s="17">
        <f t="shared" ref="C1326:C1329" si="343">0.0125*B1326</f>
        <v>1687.5</v>
      </c>
      <c r="D1326" s="18">
        <v>45953</v>
      </c>
      <c r="E1326" s="16" t="s">
        <v>1277</v>
      </c>
      <c r="F1326" s="16" t="s">
        <v>12</v>
      </c>
      <c r="H1326" s="16" t="s">
        <v>22</v>
      </c>
    </row>
    <row r="1327" spans="1:11" ht="12.75">
      <c r="A1327" s="16" t="s">
        <v>102</v>
      </c>
      <c r="B1327" s="17">
        <v>70000</v>
      </c>
      <c r="C1327" s="17">
        <f t="shared" si="343"/>
        <v>875</v>
      </c>
      <c r="D1327" s="18">
        <v>45953</v>
      </c>
      <c r="E1327" s="16" t="s">
        <v>11</v>
      </c>
      <c r="F1327" s="16" t="s">
        <v>12</v>
      </c>
    </row>
    <row r="1328" spans="1:11" ht="12.75">
      <c r="A1328" s="16" t="s">
        <v>1278</v>
      </c>
      <c r="B1328" s="17">
        <v>85000</v>
      </c>
      <c r="C1328" s="17">
        <f t="shared" si="343"/>
        <v>1062.5</v>
      </c>
      <c r="D1328" s="18">
        <v>45953</v>
      </c>
      <c r="E1328" s="16" t="s">
        <v>24</v>
      </c>
      <c r="F1328" s="16" t="s">
        <v>12</v>
      </c>
      <c r="H1328" s="16" t="s">
        <v>948</v>
      </c>
    </row>
    <row r="1329" spans="1:11" ht="12.75">
      <c r="A1329" s="16" t="s">
        <v>1279</v>
      </c>
      <c r="B1329" s="17">
        <v>550000</v>
      </c>
      <c r="C1329" s="17">
        <f t="shared" si="343"/>
        <v>6875</v>
      </c>
      <c r="D1329" s="18">
        <v>45953</v>
      </c>
      <c r="E1329" s="16" t="s">
        <v>165</v>
      </c>
      <c r="F1329" s="16" t="s">
        <v>12</v>
      </c>
      <c r="H1329" s="16" t="s">
        <v>22</v>
      </c>
    </row>
    <row r="1330" spans="1:11" ht="12.75">
      <c r="A1330" s="16" t="s">
        <v>1280</v>
      </c>
      <c r="B1330" s="17">
        <v>100000</v>
      </c>
      <c r="C1330" s="17">
        <f t="shared" ref="C1330:C1338" si="344">0.0175*B1330</f>
        <v>1750.0000000000002</v>
      </c>
      <c r="D1330" s="18">
        <v>45954</v>
      </c>
      <c r="E1330" s="16" t="s">
        <v>60</v>
      </c>
      <c r="F1330" s="16" t="s">
        <v>28</v>
      </c>
      <c r="I1330" s="28" t="s">
        <v>30</v>
      </c>
    </row>
    <row r="1331" spans="1:11" ht="12.75">
      <c r="A1331" s="16" t="s">
        <v>1281</v>
      </c>
      <c r="B1331" s="17">
        <v>400000</v>
      </c>
      <c r="C1331" s="17">
        <f t="shared" si="344"/>
        <v>7000.0000000000009</v>
      </c>
      <c r="D1331" s="18">
        <v>45954</v>
      </c>
      <c r="E1331" s="16" t="s">
        <v>15</v>
      </c>
      <c r="F1331" s="16" t="s">
        <v>28</v>
      </c>
      <c r="H1331" s="24" t="s">
        <v>98</v>
      </c>
      <c r="I1331" s="28" t="s">
        <v>30</v>
      </c>
      <c r="K1331" s="16">
        <v>1200</v>
      </c>
    </row>
    <row r="1332" spans="1:11" ht="12.75">
      <c r="A1332" s="16" t="s">
        <v>1282</v>
      </c>
      <c r="B1332" s="17">
        <v>225000</v>
      </c>
      <c r="C1332" s="17">
        <f t="shared" si="344"/>
        <v>3937.5000000000005</v>
      </c>
      <c r="D1332" s="18">
        <v>45954</v>
      </c>
      <c r="E1332" s="16" t="s">
        <v>24</v>
      </c>
      <c r="F1332" s="16" t="s">
        <v>28</v>
      </c>
      <c r="H1332" s="16" t="s">
        <v>642</v>
      </c>
      <c r="I1332" s="28" t="s">
        <v>30</v>
      </c>
    </row>
    <row r="1333" spans="1:11" ht="12.75">
      <c r="A1333" s="16" t="s">
        <v>1283</v>
      </c>
      <c r="B1333" s="17">
        <v>150000</v>
      </c>
      <c r="C1333" s="17">
        <f t="shared" si="344"/>
        <v>2625.0000000000005</v>
      </c>
      <c r="D1333" s="18">
        <v>45954</v>
      </c>
      <c r="E1333" s="16" t="s">
        <v>203</v>
      </c>
      <c r="F1333" s="16" t="s">
        <v>28</v>
      </c>
      <c r="H1333" s="24" t="s">
        <v>98</v>
      </c>
      <c r="I1333" s="28" t="s">
        <v>30</v>
      </c>
      <c r="K1333" s="16">
        <v>450</v>
      </c>
    </row>
    <row r="1334" spans="1:11" ht="12.75">
      <c r="A1334" s="16" t="s">
        <v>1284</v>
      </c>
      <c r="B1334" s="17">
        <v>750000</v>
      </c>
      <c r="C1334" s="17">
        <f t="shared" si="344"/>
        <v>13125.000000000002</v>
      </c>
      <c r="D1334" s="18">
        <v>45954</v>
      </c>
      <c r="E1334" s="16" t="s">
        <v>203</v>
      </c>
      <c r="F1334" s="16" t="s">
        <v>28</v>
      </c>
      <c r="H1334" s="24" t="s">
        <v>1285</v>
      </c>
      <c r="I1334" s="28" t="s">
        <v>30</v>
      </c>
      <c r="K1334" s="16">
        <v>656.25</v>
      </c>
    </row>
    <row r="1335" spans="1:11" ht="12.75">
      <c r="A1335" s="16" t="s">
        <v>1286</v>
      </c>
      <c r="B1335" s="17">
        <v>110000</v>
      </c>
      <c r="C1335" s="17">
        <f t="shared" si="344"/>
        <v>1925.0000000000002</v>
      </c>
      <c r="D1335" s="18">
        <v>45954</v>
      </c>
      <c r="E1335" s="16" t="s">
        <v>203</v>
      </c>
      <c r="F1335" s="16" t="s">
        <v>28</v>
      </c>
      <c r="H1335" s="24" t="s">
        <v>35</v>
      </c>
      <c r="I1335" s="28" t="s">
        <v>30</v>
      </c>
      <c r="K1335" s="16">
        <v>220</v>
      </c>
    </row>
    <row r="1336" spans="1:11" ht="12.75">
      <c r="A1336" s="16" t="s">
        <v>1287</v>
      </c>
      <c r="B1336" s="17">
        <v>100000</v>
      </c>
      <c r="C1336" s="17">
        <f t="shared" si="344"/>
        <v>1750.0000000000002</v>
      </c>
      <c r="D1336" s="18">
        <v>45954</v>
      </c>
      <c r="E1336" s="16" t="s">
        <v>118</v>
      </c>
      <c r="F1336" s="16" t="s">
        <v>28</v>
      </c>
      <c r="H1336" s="16" t="s">
        <v>13</v>
      </c>
      <c r="I1336" s="28" t="s">
        <v>30</v>
      </c>
    </row>
    <row r="1337" spans="1:11" ht="12.75">
      <c r="A1337" s="16" t="s">
        <v>1288</v>
      </c>
      <c r="B1337" s="17">
        <v>300000</v>
      </c>
      <c r="C1337" s="17">
        <f t="shared" si="344"/>
        <v>5250.0000000000009</v>
      </c>
      <c r="D1337" s="18">
        <v>45954</v>
      </c>
      <c r="E1337" s="16" t="s">
        <v>118</v>
      </c>
      <c r="F1337" s="16" t="s">
        <v>28</v>
      </c>
      <c r="H1337" s="16" t="s">
        <v>13</v>
      </c>
      <c r="I1337" s="28" t="s">
        <v>30</v>
      </c>
    </row>
    <row r="1338" spans="1:11" ht="12.75">
      <c r="A1338" s="16" t="s">
        <v>1289</v>
      </c>
      <c r="B1338" s="17">
        <v>20000</v>
      </c>
      <c r="C1338" s="17">
        <f t="shared" si="344"/>
        <v>350.00000000000006</v>
      </c>
      <c r="D1338" s="18">
        <v>45957</v>
      </c>
      <c r="E1338" s="16" t="s">
        <v>11</v>
      </c>
      <c r="F1338" s="16" t="s">
        <v>28</v>
      </c>
    </row>
    <row r="1339" spans="1:11" ht="12.75">
      <c r="A1339" s="16" t="s">
        <v>838</v>
      </c>
      <c r="B1339" s="17">
        <v>335000</v>
      </c>
      <c r="C1339" s="17">
        <f>0.0125*B1339</f>
        <v>4187.5</v>
      </c>
      <c r="D1339" s="18">
        <v>45957</v>
      </c>
      <c r="E1339" s="16" t="s">
        <v>11</v>
      </c>
      <c r="F1339" s="16" t="s">
        <v>12</v>
      </c>
    </row>
    <row r="1340" spans="1:11" ht="12.75">
      <c r="A1340" s="16" t="s">
        <v>1290</v>
      </c>
      <c r="B1340" s="17">
        <v>200000</v>
      </c>
      <c r="C1340" s="17">
        <f t="shared" ref="C1340:C1341" si="345">0.0175*B1340</f>
        <v>3500.0000000000005</v>
      </c>
      <c r="D1340" s="18">
        <v>45957</v>
      </c>
      <c r="E1340" s="16" t="s">
        <v>24</v>
      </c>
      <c r="F1340" s="16" t="s">
        <v>28</v>
      </c>
      <c r="H1340" s="16" t="s">
        <v>642</v>
      </c>
      <c r="I1340" s="28" t="s">
        <v>30</v>
      </c>
    </row>
    <row r="1341" spans="1:11" ht="12.75">
      <c r="A1341" s="16" t="s">
        <v>1291</v>
      </c>
      <c r="B1341" s="17">
        <v>154000</v>
      </c>
      <c r="C1341" s="17">
        <f t="shared" si="345"/>
        <v>2695.0000000000005</v>
      </c>
      <c r="D1341" s="18">
        <v>45957</v>
      </c>
      <c r="E1341" s="16" t="s">
        <v>939</v>
      </c>
      <c r="F1341" s="16" t="s">
        <v>28</v>
      </c>
      <c r="H1341" s="16" t="s">
        <v>13</v>
      </c>
      <c r="I1341" s="28" t="s">
        <v>30</v>
      </c>
    </row>
    <row r="1342" spans="1:11" ht="12.75">
      <c r="A1342" s="16" t="s">
        <v>1292</v>
      </c>
      <c r="B1342" s="17">
        <v>160000</v>
      </c>
      <c r="C1342" s="17">
        <f t="shared" ref="C1342:C1343" si="346">0.0125*B1342</f>
        <v>2000</v>
      </c>
      <c r="D1342" s="18">
        <v>45957</v>
      </c>
      <c r="E1342" s="16" t="s">
        <v>11</v>
      </c>
      <c r="F1342" s="16" t="s">
        <v>12</v>
      </c>
    </row>
    <row r="1343" spans="1:11" ht="12.75">
      <c r="A1343" s="16" t="s">
        <v>248</v>
      </c>
      <c r="B1343" s="17">
        <v>30000</v>
      </c>
      <c r="C1343" s="17">
        <f t="shared" si="346"/>
        <v>375</v>
      </c>
      <c r="D1343" s="18">
        <v>45957</v>
      </c>
      <c r="E1343" s="16" t="s">
        <v>15</v>
      </c>
      <c r="F1343" s="16" t="s">
        <v>144</v>
      </c>
      <c r="H1343" s="24" t="s">
        <v>54</v>
      </c>
      <c r="K1343" s="16">
        <v>180</v>
      </c>
    </row>
    <row r="1344" spans="1:11" ht="12.75">
      <c r="A1344" s="16" t="s">
        <v>1293</v>
      </c>
      <c r="B1344" s="17">
        <v>50000</v>
      </c>
      <c r="C1344" s="17">
        <f t="shared" ref="C1344:C1345" si="347">0.0175*B1344</f>
        <v>875.00000000000011</v>
      </c>
      <c r="D1344" s="18">
        <v>45958</v>
      </c>
      <c r="E1344" s="16" t="s">
        <v>60</v>
      </c>
      <c r="F1344" s="16" t="s">
        <v>67</v>
      </c>
      <c r="I1344" s="28" t="s">
        <v>30</v>
      </c>
    </row>
    <row r="1345" spans="1:11" ht="12.75">
      <c r="A1345" s="16" t="s">
        <v>1294</v>
      </c>
      <c r="B1345" s="17">
        <v>10000</v>
      </c>
      <c r="C1345" s="17">
        <f t="shared" si="347"/>
        <v>175.00000000000003</v>
      </c>
      <c r="D1345" s="18">
        <v>45958</v>
      </c>
      <c r="E1345" s="16" t="s">
        <v>11</v>
      </c>
      <c r="F1345" s="16" t="s">
        <v>28</v>
      </c>
      <c r="I1345" s="28" t="s">
        <v>30</v>
      </c>
    </row>
    <row r="1346" spans="1:11" ht="12.75">
      <c r="A1346" s="16" t="s">
        <v>1295</v>
      </c>
      <c r="B1346" s="17">
        <v>22000</v>
      </c>
      <c r="C1346" s="17">
        <f t="shared" ref="C1346:C1348" si="348">0.0125*B1346</f>
        <v>275</v>
      </c>
      <c r="D1346" s="18">
        <v>45959</v>
      </c>
      <c r="E1346" s="16" t="s">
        <v>11</v>
      </c>
      <c r="F1346" s="16" t="s">
        <v>12</v>
      </c>
    </row>
    <row r="1347" spans="1:11" ht="12.75">
      <c r="A1347" s="16" t="s">
        <v>1296</v>
      </c>
      <c r="B1347" s="17">
        <v>35000</v>
      </c>
      <c r="C1347" s="17">
        <f t="shared" si="348"/>
        <v>437.5</v>
      </c>
      <c r="D1347" s="18">
        <v>45959</v>
      </c>
      <c r="E1347" s="16" t="s">
        <v>11</v>
      </c>
      <c r="F1347" s="16" t="s">
        <v>12</v>
      </c>
    </row>
    <row r="1348" spans="1:11" ht="12.75">
      <c r="A1348" s="16" t="s">
        <v>1297</v>
      </c>
      <c r="B1348" s="17">
        <v>2000000</v>
      </c>
      <c r="C1348" s="17">
        <f t="shared" si="348"/>
        <v>25000</v>
      </c>
      <c r="D1348" s="18">
        <v>45959</v>
      </c>
      <c r="E1348" s="16" t="s">
        <v>24</v>
      </c>
      <c r="F1348" s="16" t="s">
        <v>12</v>
      </c>
      <c r="H1348" s="16" t="s">
        <v>1298</v>
      </c>
    </row>
    <row r="1349" spans="1:11" ht="12.75">
      <c r="A1349" s="16" t="s">
        <v>881</v>
      </c>
      <c r="B1349" s="17">
        <v>75000</v>
      </c>
      <c r="C1349" s="17">
        <f t="shared" ref="C1349:C1352" si="349">0.0175*B1349</f>
        <v>1312.5000000000002</v>
      </c>
      <c r="D1349" s="18">
        <v>45959</v>
      </c>
      <c r="E1349" s="16" t="s">
        <v>11</v>
      </c>
      <c r="F1349" s="16" t="s">
        <v>41</v>
      </c>
    </row>
    <row r="1350" spans="1:11" ht="12.75">
      <c r="A1350" s="16" t="s">
        <v>1299</v>
      </c>
      <c r="B1350" s="17">
        <v>150000</v>
      </c>
      <c r="C1350" s="17">
        <f t="shared" si="349"/>
        <v>2625.0000000000005</v>
      </c>
      <c r="D1350" s="18">
        <v>45959</v>
      </c>
      <c r="E1350" s="16" t="s">
        <v>943</v>
      </c>
      <c r="F1350" s="16" t="s">
        <v>28</v>
      </c>
      <c r="H1350" s="16" t="s">
        <v>13</v>
      </c>
      <c r="I1350" s="28" t="s">
        <v>30</v>
      </c>
    </row>
    <row r="1351" spans="1:11" ht="12.75">
      <c r="A1351" s="16" t="s">
        <v>1300</v>
      </c>
      <c r="B1351" s="17">
        <v>750000</v>
      </c>
      <c r="C1351" s="17">
        <f t="shared" si="349"/>
        <v>13125.000000000002</v>
      </c>
      <c r="D1351" s="18">
        <v>45959</v>
      </c>
      <c r="E1351" s="16" t="s">
        <v>118</v>
      </c>
      <c r="F1351" s="16" t="s">
        <v>144</v>
      </c>
    </row>
    <row r="1352" spans="1:11" ht="12.75">
      <c r="A1352" s="16" t="s">
        <v>1301</v>
      </c>
      <c r="B1352" s="17">
        <v>110000</v>
      </c>
      <c r="C1352" s="17">
        <f t="shared" si="349"/>
        <v>1925.0000000000002</v>
      </c>
      <c r="D1352" s="18">
        <v>45960</v>
      </c>
      <c r="E1352" s="16" t="s">
        <v>15</v>
      </c>
      <c r="F1352" s="16" t="s">
        <v>28</v>
      </c>
      <c r="H1352" s="24" t="s">
        <v>98</v>
      </c>
      <c r="I1352" s="28" t="s">
        <v>30</v>
      </c>
      <c r="K1352" s="16">
        <v>330</v>
      </c>
    </row>
    <row r="1353" spans="1:11" ht="12.75">
      <c r="A1353" s="16" t="s">
        <v>1302</v>
      </c>
      <c r="B1353" s="17">
        <v>30000</v>
      </c>
      <c r="C1353" s="17">
        <f>0.0125*B1353</f>
        <v>375</v>
      </c>
      <c r="D1353" s="18">
        <v>45960</v>
      </c>
      <c r="E1353" s="16" t="s">
        <v>15</v>
      </c>
      <c r="F1353" s="16" t="s">
        <v>12</v>
      </c>
      <c r="H1353" s="24" t="s">
        <v>282</v>
      </c>
      <c r="K1353" s="16">
        <v>30</v>
      </c>
    </row>
    <row r="1354" spans="1:11" ht="12.75">
      <c r="A1354" s="16" t="s">
        <v>1303</v>
      </c>
      <c r="B1354" s="17">
        <v>100000</v>
      </c>
      <c r="C1354" s="17">
        <f>0.0175*B1354</f>
        <v>1750.0000000000002</v>
      </c>
      <c r="D1354" s="18">
        <v>45960</v>
      </c>
      <c r="E1354" s="16" t="s">
        <v>118</v>
      </c>
      <c r="F1354" s="16" t="s">
        <v>28</v>
      </c>
      <c r="H1354" s="16" t="s">
        <v>13</v>
      </c>
      <c r="I1354" s="28" t="s">
        <v>30</v>
      </c>
    </row>
    <row r="1355" spans="1:11" ht="12.75">
      <c r="A1355" s="16" t="s">
        <v>1304</v>
      </c>
      <c r="B1355" s="17">
        <v>150000</v>
      </c>
      <c r="C1355" s="17">
        <f t="shared" ref="C1355:C1357" si="350">0.0125*B1355</f>
        <v>1875</v>
      </c>
      <c r="D1355" s="18">
        <v>45960</v>
      </c>
      <c r="E1355" s="16" t="s">
        <v>11</v>
      </c>
      <c r="F1355" s="16" t="s">
        <v>12</v>
      </c>
    </row>
    <row r="1356" spans="1:11" ht="12.75">
      <c r="A1356" s="16" t="s">
        <v>773</v>
      </c>
      <c r="B1356" s="17">
        <v>790000</v>
      </c>
      <c r="C1356" s="17">
        <f t="shared" si="350"/>
        <v>9875</v>
      </c>
      <c r="D1356" s="18">
        <v>45960</v>
      </c>
      <c r="E1356" s="16" t="s">
        <v>394</v>
      </c>
      <c r="F1356" s="16" t="s">
        <v>12</v>
      </c>
      <c r="H1356" s="24" t="s">
        <v>282</v>
      </c>
      <c r="K1356" s="16">
        <v>790</v>
      </c>
    </row>
    <row r="1357" spans="1:11" ht="12.75">
      <c r="A1357" s="16" t="s">
        <v>798</v>
      </c>
      <c r="B1357" s="17">
        <v>200000</v>
      </c>
      <c r="C1357" s="17">
        <f t="shared" si="350"/>
        <v>2500</v>
      </c>
      <c r="D1357" s="18">
        <v>45960</v>
      </c>
      <c r="E1357" s="16" t="s">
        <v>24</v>
      </c>
      <c r="F1357" s="16" t="s">
        <v>12</v>
      </c>
      <c r="H1357" s="16" t="s">
        <v>948</v>
      </c>
    </row>
    <row r="1358" spans="1:11" ht="12.75">
      <c r="A1358" s="16" t="s">
        <v>1305</v>
      </c>
      <c r="B1358" s="17">
        <v>300000</v>
      </c>
      <c r="C1358" s="17">
        <f t="shared" ref="C1358:C1361" si="351">0.0175*B1358</f>
        <v>5250.0000000000009</v>
      </c>
      <c r="D1358" s="18">
        <v>45961</v>
      </c>
      <c r="E1358" s="16" t="s">
        <v>1306</v>
      </c>
      <c r="F1358" s="16" t="s">
        <v>28</v>
      </c>
      <c r="H1358" s="24" t="s">
        <v>1307</v>
      </c>
      <c r="I1358" s="28" t="s">
        <v>30</v>
      </c>
      <c r="K1358" s="16">
        <v>750</v>
      </c>
    </row>
    <row r="1359" spans="1:11" ht="12.75">
      <c r="A1359" s="16" t="s">
        <v>1308</v>
      </c>
      <c r="B1359" s="17">
        <v>26000</v>
      </c>
      <c r="C1359" s="17">
        <f t="shared" si="351"/>
        <v>455.00000000000006</v>
      </c>
      <c r="D1359" s="18">
        <v>45961</v>
      </c>
      <c r="E1359" s="16" t="s">
        <v>15</v>
      </c>
      <c r="F1359" s="16" t="s">
        <v>28</v>
      </c>
      <c r="H1359" s="24" t="s">
        <v>54</v>
      </c>
      <c r="I1359" s="28" t="s">
        <v>30</v>
      </c>
      <c r="K1359" s="16">
        <v>156</v>
      </c>
    </row>
    <row r="1360" spans="1:11" ht="12.75">
      <c r="A1360" s="16" t="s">
        <v>1309</v>
      </c>
      <c r="B1360" s="17">
        <v>250000</v>
      </c>
      <c r="C1360" s="17">
        <f t="shared" si="351"/>
        <v>4375</v>
      </c>
      <c r="D1360" s="18">
        <v>45961</v>
      </c>
      <c r="E1360" s="16" t="s">
        <v>15</v>
      </c>
      <c r="F1360" s="16" t="s">
        <v>28</v>
      </c>
      <c r="H1360" s="24" t="s">
        <v>172</v>
      </c>
      <c r="I1360" s="28" t="s">
        <v>30</v>
      </c>
      <c r="K1360" s="16">
        <v>375</v>
      </c>
    </row>
    <row r="1361" spans="1:11" ht="12.75">
      <c r="A1361" s="16" t="s">
        <v>1310</v>
      </c>
      <c r="B1361" s="17">
        <v>10000</v>
      </c>
      <c r="C1361" s="17">
        <f t="shared" si="351"/>
        <v>175.00000000000003</v>
      </c>
      <c r="D1361" s="18">
        <v>45961</v>
      </c>
      <c r="E1361" s="16" t="s">
        <v>15</v>
      </c>
      <c r="F1361" s="16" t="s">
        <v>28</v>
      </c>
      <c r="H1361" s="24" t="s">
        <v>54</v>
      </c>
      <c r="I1361" s="28" t="s">
        <v>30</v>
      </c>
      <c r="K1361" s="16">
        <v>60</v>
      </c>
    </row>
    <row r="1362" spans="1:11" ht="12.75">
      <c r="A1362" s="16" t="s">
        <v>717</v>
      </c>
      <c r="B1362" s="17">
        <v>820000</v>
      </c>
      <c r="C1362" s="17">
        <f t="shared" ref="C1362:C1363" si="352">0.0125*B1362</f>
        <v>10250</v>
      </c>
      <c r="D1362" s="18">
        <v>45961</v>
      </c>
      <c r="E1362" s="16" t="s">
        <v>24</v>
      </c>
      <c r="F1362" s="16" t="s">
        <v>12</v>
      </c>
      <c r="H1362" s="16" t="s">
        <v>1047</v>
      </c>
    </row>
    <row r="1363" spans="1:11" ht="12.75">
      <c r="A1363" s="16" t="s">
        <v>655</v>
      </c>
      <c r="B1363" s="17">
        <v>72500</v>
      </c>
      <c r="C1363" s="17">
        <f t="shared" si="352"/>
        <v>906.25</v>
      </c>
      <c r="D1363" s="18">
        <v>45961</v>
      </c>
      <c r="E1363" s="16" t="s">
        <v>11</v>
      </c>
      <c r="F1363" s="16" t="s">
        <v>12</v>
      </c>
    </row>
    <row r="1364" spans="1:11" ht="12.75">
      <c r="A1364" s="16" t="s">
        <v>1311</v>
      </c>
      <c r="B1364" s="17">
        <v>15000</v>
      </c>
      <c r="C1364" s="17">
        <f t="shared" ref="C1364:C1365" si="353">0.0175*B1364</f>
        <v>262.5</v>
      </c>
      <c r="D1364" s="18">
        <v>45961</v>
      </c>
      <c r="E1364" s="16" t="s">
        <v>15</v>
      </c>
      <c r="F1364" s="16" t="s">
        <v>28</v>
      </c>
      <c r="H1364" s="24" t="s">
        <v>54</v>
      </c>
      <c r="K1364" s="16">
        <v>90</v>
      </c>
    </row>
    <row r="1365" spans="1:11" ht="12.75">
      <c r="A1365" s="16" t="s">
        <v>1312</v>
      </c>
      <c r="B1365" s="17">
        <v>300000</v>
      </c>
      <c r="C1365" s="17">
        <f t="shared" si="353"/>
        <v>5250.0000000000009</v>
      </c>
      <c r="D1365" s="18">
        <v>45961</v>
      </c>
      <c r="E1365" s="16" t="s">
        <v>24</v>
      </c>
      <c r="F1365" s="16" t="s">
        <v>28</v>
      </c>
      <c r="H1365" s="16" t="s">
        <v>642</v>
      </c>
      <c r="I1365" s="28" t="s">
        <v>30</v>
      </c>
    </row>
    <row r="1366" spans="1:11" ht="12.75">
      <c r="A1366" s="16" t="s">
        <v>972</v>
      </c>
      <c r="B1366" s="17">
        <v>185000</v>
      </c>
      <c r="C1366" s="17">
        <f>0.0125*B1366</f>
        <v>2312.5</v>
      </c>
      <c r="D1366" s="18">
        <v>45961</v>
      </c>
      <c r="E1366" s="16" t="s">
        <v>11</v>
      </c>
      <c r="F1366" s="16" t="s">
        <v>12</v>
      </c>
    </row>
    <row r="1367" spans="1:11" ht="12.75">
      <c r="A1367" s="16" t="s">
        <v>1313</v>
      </c>
      <c r="B1367" s="17">
        <v>70000</v>
      </c>
      <c r="C1367" s="17">
        <f t="shared" ref="C1367:C1368" si="354">0.0175*B1367</f>
        <v>1225.0000000000002</v>
      </c>
      <c r="D1367" s="18">
        <v>45961</v>
      </c>
      <c r="E1367" s="16" t="s">
        <v>92</v>
      </c>
      <c r="F1367" s="16" t="s">
        <v>28</v>
      </c>
      <c r="I1367" s="28" t="s">
        <v>30</v>
      </c>
    </row>
    <row r="1368" spans="1:11" ht="12.75">
      <c r="A1368" s="16" t="s">
        <v>1314</v>
      </c>
      <c r="B1368" s="17">
        <v>200000</v>
      </c>
      <c r="C1368" s="17">
        <f t="shared" si="354"/>
        <v>3500.0000000000005</v>
      </c>
      <c r="D1368" s="18">
        <v>45961</v>
      </c>
      <c r="E1368" s="16" t="s">
        <v>24</v>
      </c>
      <c r="F1368" s="16" t="s">
        <v>144</v>
      </c>
      <c r="H1368" s="16" t="s">
        <v>948</v>
      </c>
    </row>
    <row r="1369" spans="1:11" ht="12.75">
      <c r="A1369" s="16" t="s">
        <v>299</v>
      </c>
      <c r="B1369" s="17">
        <v>185000</v>
      </c>
      <c r="C1369" s="17">
        <f>0.0125*B1369</f>
        <v>2312.5</v>
      </c>
      <c r="D1369" s="18">
        <v>45961</v>
      </c>
      <c r="E1369" s="16" t="s">
        <v>11</v>
      </c>
      <c r="F1369" s="16" t="s">
        <v>12</v>
      </c>
    </row>
    <row r="1370" spans="1:11" ht="12.75">
      <c r="A1370" s="11">
        <v>45964</v>
      </c>
      <c r="B1370" s="12">
        <f>SUM(B1371:B1522)</f>
        <v>31473000</v>
      </c>
      <c r="C1370" s="12">
        <f>SUM(C1371:C1528)</f>
        <v>473942.5</v>
      </c>
      <c r="D1370" s="13"/>
      <c r="E1370" s="14"/>
      <c r="F1370" s="14"/>
      <c r="G1370" s="14"/>
      <c r="H1370" s="15"/>
      <c r="I1370" s="15"/>
      <c r="J1370" s="15"/>
      <c r="K1370" s="15"/>
    </row>
    <row r="1371" spans="1:11" ht="12.75">
      <c r="A1371" s="16" t="s">
        <v>1315</v>
      </c>
      <c r="B1371" s="17">
        <v>130000</v>
      </c>
      <c r="C1371" s="17">
        <f t="shared" ref="C1371:C1372" si="355">0.0125*B1371</f>
        <v>1625</v>
      </c>
      <c r="D1371" s="18">
        <v>45964</v>
      </c>
      <c r="E1371" s="16" t="s">
        <v>11</v>
      </c>
      <c r="F1371" s="16" t="s">
        <v>12</v>
      </c>
    </row>
    <row r="1372" spans="1:11" ht="12.75">
      <c r="A1372" s="16" t="s">
        <v>1316</v>
      </c>
      <c r="B1372" s="17">
        <v>125000</v>
      </c>
      <c r="C1372" s="17">
        <f t="shared" si="355"/>
        <v>1562.5</v>
      </c>
      <c r="D1372" s="18">
        <v>45964</v>
      </c>
      <c r="E1372" s="16" t="s">
        <v>24</v>
      </c>
      <c r="F1372" s="16" t="s">
        <v>12</v>
      </c>
      <c r="H1372" s="16" t="s">
        <v>948</v>
      </c>
    </row>
    <row r="1373" spans="1:11" ht="12.75">
      <c r="A1373" s="16" t="s">
        <v>1317</v>
      </c>
      <c r="B1373" s="17">
        <v>60000</v>
      </c>
      <c r="C1373" s="17">
        <f t="shared" ref="C1373:C1374" si="356">0.0175*B1373</f>
        <v>1050</v>
      </c>
      <c r="D1373" s="18">
        <v>45964</v>
      </c>
      <c r="E1373" s="16" t="s">
        <v>15</v>
      </c>
      <c r="F1373" s="16" t="s">
        <v>28</v>
      </c>
      <c r="H1373" s="24" t="s">
        <v>98</v>
      </c>
      <c r="I1373" s="28" t="s">
        <v>30</v>
      </c>
    </row>
    <row r="1374" spans="1:11" ht="12.75">
      <c r="A1374" s="16" t="s">
        <v>1318</v>
      </c>
      <c r="B1374" s="17">
        <v>350000</v>
      </c>
      <c r="C1374" s="17">
        <f t="shared" si="356"/>
        <v>6125.0000000000009</v>
      </c>
      <c r="D1374" s="18">
        <v>45964</v>
      </c>
      <c r="E1374" s="16" t="s">
        <v>118</v>
      </c>
      <c r="F1374" s="16" t="s">
        <v>28</v>
      </c>
      <c r="H1374" s="16" t="s">
        <v>13</v>
      </c>
      <c r="I1374" s="28" t="s">
        <v>30</v>
      </c>
    </row>
    <row r="1375" spans="1:11" ht="12.75">
      <c r="A1375" s="16" t="s">
        <v>1319</v>
      </c>
      <c r="B1375" s="17">
        <v>90000</v>
      </c>
      <c r="C1375" s="17">
        <f>0.0125*B1375</f>
        <v>1125</v>
      </c>
      <c r="D1375" s="18">
        <v>45964</v>
      </c>
      <c r="E1375" s="16" t="s">
        <v>15</v>
      </c>
      <c r="F1375" s="16" t="s">
        <v>12</v>
      </c>
      <c r="H1375" s="24" t="s">
        <v>54</v>
      </c>
      <c r="I1375" s="29"/>
    </row>
    <row r="1376" spans="1:11" ht="12.75">
      <c r="A1376" s="16" t="s">
        <v>1320</v>
      </c>
      <c r="B1376" s="17">
        <v>275000</v>
      </c>
      <c r="C1376" s="17">
        <f t="shared" ref="C1376:C1380" si="357">0.0175*B1376</f>
        <v>4812.5000000000009</v>
      </c>
      <c r="D1376" s="18">
        <v>45965</v>
      </c>
      <c r="E1376" s="16" t="s">
        <v>1321</v>
      </c>
      <c r="F1376" s="16" t="s">
        <v>28</v>
      </c>
      <c r="H1376" s="24" t="s">
        <v>16</v>
      </c>
      <c r="I1376" s="28" t="s">
        <v>30</v>
      </c>
    </row>
    <row r="1377" spans="1:9" ht="12.75">
      <c r="A1377" s="16" t="s">
        <v>1322</v>
      </c>
      <c r="B1377" s="17">
        <v>53000</v>
      </c>
      <c r="C1377" s="17">
        <f t="shared" si="357"/>
        <v>927.50000000000011</v>
      </c>
      <c r="D1377" s="18">
        <v>45965</v>
      </c>
      <c r="E1377" s="16" t="s">
        <v>203</v>
      </c>
      <c r="F1377" s="16" t="s">
        <v>28</v>
      </c>
      <c r="H1377" s="24" t="s">
        <v>16</v>
      </c>
      <c r="I1377" s="28" t="s">
        <v>30</v>
      </c>
    </row>
    <row r="1378" spans="1:9" ht="12.75">
      <c r="A1378" s="16" t="s">
        <v>1323</v>
      </c>
      <c r="B1378" s="17">
        <v>50000</v>
      </c>
      <c r="C1378" s="17">
        <f t="shared" si="357"/>
        <v>875.00000000000011</v>
      </c>
      <c r="D1378" s="18">
        <v>45965</v>
      </c>
      <c r="E1378" s="16" t="s">
        <v>203</v>
      </c>
      <c r="F1378" s="16" t="s">
        <v>28</v>
      </c>
      <c r="H1378" s="24" t="s">
        <v>16</v>
      </c>
      <c r="I1378" s="28" t="s">
        <v>30</v>
      </c>
    </row>
    <row r="1379" spans="1:9" ht="12.75">
      <c r="A1379" s="16" t="s">
        <v>1324</v>
      </c>
      <c r="B1379" s="17">
        <v>40000</v>
      </c>
      <c r="C1379" s="17">
        <f t="shared" si="357"/>
        <v>700.00000000000011</v>
      </c>
      <c r="D1379" s="18">
        <v>45965</v>
      </c>
      <c r="E1379" s="16" t="s">
        <v>951</v>
      </c>
      <c r="F1379" s="16" t="s">
        <v>67</v>
      </c>
      <c r="H1379" s="16" t="s">
        <v>13</v>
      </c>
      <c r="I1379" s="28" t="s">
        <v>30</v>
      </c>
    </row>
    <row r="1380" spans="1:9" ht="12.75">
      <c r="A1380" s="16" t="s">
        <v>1325</v>
      </c>
      <c r="B1380" s="17">
        <v>70000</v>
      </c>
      <c r="C1380" s="17">
        <f t="shared" si="357"/>
        <v>1225.0000000000002</v>
      </c>
      <c r="D1380" s="18">
        <v>45965</v>
      </c>
      <c r="E1380" s="16" t="s">
        <v>24</v>
      </c>
      <c r="F1380" s="16" t="s">
        <v>67</v>
      </c>
      <c r="H1380" s="16" t="s">
        <v>924</v>
      </c>
      <c r="I1380" s="28" t="s">
        <v>30</v>
      </c>
    </row>
    <row r="1381" spans="1:9" ht="12.75">
      <c r="A1381" s="16" t="s">
        <v>766</v>
      </c>
      <c r="B1381" s="17">
        <v>1450000</v>
      </c>
      <c r="C1381" s="17">
        <f>0.0125*B1381</f>
        <v>18125</v>
      </c>
      <c r="D1381" s="18">
        <v>45965</v>
      </c>
      <c r="E1381" s="16" t="s">
        <v>11</v>
      </c>
      <c r="F1381" s="16" t="s">
        <v>12</v>
      </c>
    </row>
    <row r="1382" spans="1:9" ht="12.75">
      <c r="A1382" s="16" t="s">
        <v>1326</v>
      </c>
      <c r="B1382" s="17">
        <v>175000</v>
      </c>
      <c r="C1382" s="17">
        <f>0.0175*B1382</f>
        <v>3062.5000000000005</v>
      </c>
      <c r="D1382" s="18">
        <v>45965</v>
      </c>
      <c r="E1382" s="16" t="s">
        <v>60</v>
      </c>
      <c r="F1382" s="16" t="s">
        <v>28</v>
      </c>
      <c r="I1382" s="28" t="s">
        <v>30</v>
      </c>
    </row>
    <row r="1383" spans="1:9" ht="12.75">
      <c r="A1383" s="16" t="s">
        <v>1327</v>
      </c>
      <c r="B1383" s="17">
        <v>99000</v>
      </c>
      <c r="C1383" s="17">
        <f>0.0125*B1383</f>
        <v>1237.5</v>
      </c>
      <c r="D1383" s="18">
        <v>45966</v>
      </c>
      <c r="E1383" s="16" t="s">
        <v>203</v>
      </c>
      <c r="F1383" s="16" t="s">
        <v>12</v>
      </c>
      <c r="H1383" s="24" t="s">
        <v>51</v>
      </c>
    </row>
    <row r="1384" spans="1:9" ht="12.75">
      <c r="A1384" s="16" t="s">
        <v>1328</v>
      </c>
      <c r="B1384" s="17">
        <v>80000</v>
      </c>
      <c r="C1384" s="17">
        <f t="shared" ref="C1384:C1385" si="358">0.0175*B1384</f>
        <v>1400.0000000000002</v>
      </c>
      <c r="D1384" s="18">
        <v>45966</v>
      </c>
      <c r="E1384" s="16" t="s">
        <v>203</v>
      </c>
      <c r="F1384" s="16" t="s">
        <v>28</v>
      </c>
      <c r="H1384" s="24" t="s">
        <v>16</v>
      </c>
      <c r="I1384" s="28" t="s">
        <v>30</v>
      </c>
    </row>
    <row r="1385" spans="1:9" ht="12.75">
      <c r="A1385" s="16" t="s">
        <v>1329</v>
      </c>
      <c r="B1385" s="17">
        <v>175000</v>
      </c>
      <c r="C1385" s="17">
        <f t="shared" si="358"/>
        <v>3062.5000000000005</v>
      </c>
      <c r="D1385" s="18">
        <v>45966</v>
      </c>
      <c r="E1385" s="16" t="s">
        <v>899</v>
      </c>
      <c r="F1385" s="16" t="s">
        <v>28</v>
      </c>
      <c r="I1385" s="28" t="s">
        <v>30</v>
      </c>
    </row>
    <row r="1386" spans="1:9" ht="12.75">
      <c r="A1386" s="16" t="s">
        <v>1330</v>
      </c>
      <c r="B1386" s="17">
        <v>75000</v>
      </c>
      <c r="C1386" s="17">
        <f>0.0125*B1386</f>
        <v>937.5</v>
      </c>
      <c r="D1386" s="18">
        <v>45966</v>
      </c>
      <c r="E1386" s="16" t="s">
        <v>11</v>
      </c>
      <c r="F1386" s="16" t="s">
        <v>12</v>
      </c>
    </row>
    <row r="1387" spans="1:9" ht="12.75">
      <c r="A1387" s="16" t="s">
        <v>1331</v>
      </c>
      <c r="B1387" s="17">
        <v>200000</v>
      </c>
      <c r="C1387" s="17">
        <f>0.0175*B1387</f>
        <v>3500.0000000000005</v>
      </c>
      <c r="D1387" s="18">
        <v>45966</v>
      </c>
      <c r="E1387" s="16" t="s">
        <v>11</v>
      </c>
      <c r="F1387" s="16" t="s">
        <v>28</v>
      </c>
      <c r="I1387" s="28" t="s">
        <v>30</v>
      </c>
    </row>
    <row r="1388" spans="1:9" ht="12.75">
      <c r="A1388" s="16" t="s">
        <v>510</v>
      </c>
      <c r="B1388" s="17">
        <v>125000</v>
      </c>
      <c r="C1388" s="17">
        <f>0.0125*B1388</f>
        <v>1562.5</v>
      </c>
      <c r="D1388" s="18">
        <v>45966</v>
      </c>
      <c r="E1388" s="16" t="s">
        <v>24</v>
      </c>
      <c r="F1388" s="16" t="s">
        <v>144</v>
      </c>
      <c r="H1388" s="16" t="s">
        <v>948</v>
      </c>
    </row>
    <row r="1389" spans="1:9" ht="12.75">
      <c r="A1389" s="16" t="s">
        <v>1332</v>
      </c>
      <c r="B1389" s="17">
        <v>150000</v>
      </c>
      <c r="C1389" s="17">
        <f t="shared" ref="C1389:C1391" si="359">0.0175*B1389</f>
        <v>2625.0000000000005</v>
      </c>
      <c r="D1389" s="18">
        <v>45966</v>
      </c>
      <c r="E1389" s="16" t="s">
        <v>939</v>
      </c>
      <c r="F1389" s="16" t="s">
        <v>28</v>
      </c>
      <c r="H1389" s="16" t="s">
        <v>13</v>
      </c>
      <c r="I1389" s="28" t="s">
        <v>30</v>
      </c>
    </row>
    <row r="1390" spans="1:9" ht="12.75">
      <c r="A1390" s="16" t="s">
        <v>1333</v>
      </c>
      <c r="B1390" s="17">
        <v>30000</v>
      </c>
      <c r="C1390" s="17">
        <f t="shared" si="359"/>
        <v>525</v>
      </c>
      <c r="D1390" s="18">
        <v>45967</v>
      </c>
      <c r="E1390" s="16" t="s">
        <v>11</v>
      </c>
      <c r="F1390" s="16" t="s">
        <v>28</v>
      </c>
      <c r="I1390" s="28" t="s">
        <v>30</v>
      </c>
    </row>
    <row r="1391" spans="1:9" ht="12.75">
      <c r="A1391" s="16" t="s">
        <v>1334</v>
      </c>
      <c r="B1391" s="17">
        <v>95000</v>
      </c>
      <c r="C1391" s="17">
        <f t="shared" si="359"/>
        <v>1662.5000000000002</v>
      </c>
      <c r="D1391" s="18">
        <v>45967</v>
      </c>
      <c r="E1391" s="16" t="s">
        <v>15</v>
      </c>
      <c r="F1391" s="16" t="s">
        <v>28</v>
      </c>
      <c r="H1391" s="24" t="s">
        <v>98</v>
      </c>
    </row>
    <row r="1392" spans="1:9" ht="12.75">
      <c r="A1392" s="16" t="s">
        <v>1335</v>
      </c>
      <c r="B1392" s="17">
        <v>325000</v>
      </c>
      <c r="C1392" s="17">
        <f t="shared" ref="C1392:C1393" si="360">0.0125*B1392</f>
        <v>4062.5</v>
      </c>
      <c r="D1392" s="18">
        <v>45967</v>
      </c>
      <c r="E1392" s="16" t="s">
        <v>11</v>
      </c>
      <c r="F1392" s="16" t="s">
        <v>12</v>
      </c>
    </row>
    <row r="1393" spans="1:9" ht="12.75">
      <c r="A1393" s="16" t="s">
        <v>1336</v>
      </c>
      <c r="B1393" s="17">
        <v>10000</v>
      </c>
      <c r="C1393" s="17">
        <f t="shared" si="360"/>
        <v>125</v>
      </c>
      <c r="D1393" s="18">
        <v>45967</v>
      </c>
      <c r="E1393" s="16" t="s">
        <v>15</v>
      </c>
      <c r="F1393" s="16" t="s">
        <v>144</v>
      </c>
      <c r="H1393" s="24" t="s">
        <v>1337</v>
      </c>
    </row>
    <row r="1394" spans="1:9" ht="12.75">
      <c r="A1394" s="16" t="s">
        <v>1338</v>
      </c>
      <c r="B1394" s="17">
        <v>230000</v>
      </c>
      <c r="C1394" s="17">
        <f t="shared" ref="C1394:C1397" si="361">0.0175*B1394</f>
        <v>4025.0000000000005</v>
      </c>
      <c r="D1394" s="18">
        <v>45967</v>
      </c>
      <c r="E1394" s="16" t="s">
        <v>939</v>
      </c>
      <c r="F1394" s="16" t="s">
        <v>28</v>
      </c>
      <c r="H1394" s="16" t="s">
        <v>13</v>
      </c>
      <c r="I1394" s="28" t="s">
        <v>30</v>
      </c>
    </row>
    <row r="1395" spans="1:9" ht="12.75">
      <c r="A1395" s="16" t="s">
        <v>1339</v>
      </c>
      <c r="B1395" s="17">
        <v>80000</v>
      </c>
      <c r="C1395" s="17">
        <f t="shared" si="361"/>
        <v>1400.0000000000002</v>
      </c>
      <c r="D1395" s="18">
        <v>45967</v>
      </c>
      <c r="E1395" s="16" t="s">
        <v>60</v>
      </c>
      <c r="F1395" s="16" t="s">
        <v>28</v>
      </c>
      <c r="I1395" s="28" t="s">
        <v>30</v>
      </c>
    </row>
    <row r="1396" spans="1:9" ht="12.75">
      <c r="A1396" s="16" t="s">
        <v>1340</v>
      </c>
      <c r="B1396" s="17">
        <v>50000</v>
      </c>
      <c r="C1396" s="17">
        <f t="shared" si="361"/>
        <v>875.00000000000011</v>
      </c>
      <c r="D1396" s="18">
        <v>45967</v>
      </c>
      <c r="E1396" s="16" t="s">
        <v>11</v>
      </c>
      <c r="F1396" s="16" t="s">
        <v>28</v>
      </c>
      <c r="I1396" s="28" t="s">
        <v>30</v>
      </c>
    </row>
    <row r="1397" spans="1:9" ht="12.75">
      <c r="A1397" s="16" t="s">
        <v>1341</v>
      </c>
      <c r="B1397" s="17">
        <v>85000</v>
      </c>
      <c r="C1397" s="17">
        <f t="shared" si="361"/>
        <v>1487.5000000000002</v>
      </c>
      <c r="D1397" s="18">
        <v>45967</v>
      </c>
      <c r="E1397" s="16" t="s">
        <v>15</v>
      </c>
      <c r="F1397" s="16" t="s">
        <v>28</v>
      </c>
      <c r="H1397" s="24" t="s">
        <v>98</v>
      </c>
      <c r="I1397" s="28" t="s">
        <v>30</v>
      </c>
    </row>
    <row r="1398" spans="1:9" ht="12.75">
      <c r="A1398" s="16" t="s">
        <v>1342</v>
      </c>
      <c r="B1398" s="17">
        <v>165000</v>
      </c>
      <c r="C1398" s="17">
        <f t="shared" ref="C1398:C1399" si="362">0.0125*B1398</f>
        <v>2062.5</v>
      </c>
      <c r="D1398" s="18">
        <v>45967</v>
      </c>
      <c r="E1398" s="16" t="s">
        <v>11</v>
      </c>
      <c r="F1398" s="16" t="s">
        <v>12</v>
      </c>
    </row>
    <row r="1399" spans="1:9" ht="12.75">
      <c r="A1399" s="16" t="s">
        <v>23</v>
      </c>
      <c r="B1399" s="17">
        <v>250000</v>
      </c>
      <c r="C1399" s="17">
        <f t="shared" si="362"/>
        <v>3125</v>
      </c>
      <c r="D1399" s="18">
        <v>45967</v>
      </c>
      <c r="E1399" s="16" t="s">
        <v>24</v>
      </c>
      <c r="F1399" s="16" t="s">
        <v>12</v>
      </c>
      <c r="H1399" s="16" t="s">
        <v>948</v>
      </c>
    </row>
    <row r="1400" spans="1:9" ht="12.75">
      <c r="A1400" s="16" t="s">
        <v>1343</v>
      </c>
      <c r="B1400" s="17">
        <v>100000</v>
      </c>
      <c r="C1400" s="17">
        <f t="shared" ref="C1400:C1401" si="363">0.0175*B1400</f>
        <v>1750.0000000000002</v>
      </c>
      <c r="D1400" s="18">
        <v>45967</v>
      </c>
      <c r="E1400" s="16" t="s">
        <v>15</v>
      </c>
      <c r="F1400" s="16" t="s">
        <v>28</v>
      </c>
      <c r="H1400" s="24" t="s">
        <v>54</v>
      </c>
    </row>
    <row r="1401" spans="1:9" ht="12.75">
      <c r="A1401" s="16" t="s">
        <v>1344</v>
      </c>
      <c r="B1401" s="17">
        <v>50000</v>
      </c>
      <c r="C1401" s="17">
        <f t="shared" si="363"/>
        <v>875.00000000000011</v>
      </c>
      <c r="D1401" s="18">
        <v>45968</v>
      </c>
      <c r="E1401" s="16" t="s">
        <v>11</v>
      </c>
      <c r="F1401" s="16" t="s">
        <v>28</v>
      </c>
      <c r="I1401" s="28" t="s">
        <v>30</v>
      </c>
    </row>
    <row r="1402" spans="1:9" ht="12.75">
      <c r="A1402" s="16" t="s">
        <v>633</v>
      </c>
      <c r="B1402" s="17">
        <v>32000</v>
      </c>
      <c r="C1402" s="17">
        <f t="shared" ref="C1402:C1403" si="364">0.0125*B1402</f>
        <v>400</v>
      </c>
      <c r="D1402" s="18">
        <v>45968</v>
      </c>
      <c r="E1402" s="16" t="s">
        <v>15</v>
      </c>
      <c r="F1402" s="16" t="s">
        <v>12</v>
      </c>
      <c r="H1402" s="24" t="s">
        <v>54</v>
      </c>
    </row>
    <row r="1403" spans="1:9" ht="12.75">
      <c r="A1403" s="16" t="s">
        <v>14</v>
      </c>
      <c r="B1403" s="17">
        <v>50000</v>
      </c>
      <c r="C1403" s="17">
        <f t="shared" si="364"/>
        <v>625</v>
      </c>
      <c r="D1403" s="18">
        <v>45968</v>
      </c>
      <c r="E1403" s="16" t="s">
        <v>15</v>
      </c>
      <c r="F1403" s="16" t="s">
        <v>12</v>
      </c>
      <c r="H1403" s="24" t="s">
        <v>51</v>
      </c>
    </row>
    <row r="1404" spans="1:9" ht="12.75">
      <c r="A1404" s="16" t="s">
        <v>1345</v>
      </c>
      <c r="B1404" s="17">
        <v>500000</v>
      </c>
      <c r="C1404" s="17">
        <f t="shared" ref="C1404:C1406" si="365">0.0175*B1404</f>
        <v>8750</v>
      </c>
      <c r="D1404" s="18">
        <v>45968</v>
      </c>
      <c r="E1404" s="16" t="s">
        <v>1346</v>
      </c>
      <c r="F1404" s="16" t="s">
        <v>28</v>
      </c>
      <c r="I1404" s="28" t="s">
        <v>30</v>
      </c>
    </row>
    <row r="1405" spans="1:9" ht="12.75">
      <c r="A1405" s="16" t="s">
        <v>866</v>
      </c>
      <c r="B1405" s="17">
        <v>275000</v>
      </c>
      <c r="C1405" s="17">
        <f t="shared" si="365"/>
        <v>4812.5000000000009</v>
      </c>
      <c r="D1405" s="18">
        <v>45968</v>
      </c>
      <c r="E1405" s="16" t="s">
        <v>118</v>
      </c>
      <c r="F1405" s="16" t="s">
        <v>67</v>
      </c>
      <c r="H1405" s="16" t="s">
        <v>13</v>
      </c>
      <c r="I1405" s="28" t="s">
        <v>30</v>
      </c>
    </row>
    <row r="1406" spans="1:9" ht="12.75">
      <c r="A1406" s="16" t="s">
        <v>1347</v>
      </c>
      <c r="B1406" s="17">
        <v>200000</v>
      </c>
      <c r="C1406" s="17">
        <f t="shared" si="365"/>
        <v>3500.0000000000005</v>
      </c>
      <c r="D1406" s="18">
        <v>45968</v>
      </c>
      <c r="E1406" s="16" t="s">
        <v>24</v>
      </c>
      <c r="F1406" s="16" t="s">
        <v>28</v>
      </c>
      <c r="H1406" s="16" t="s">
        <v>642</v>
      </c>
      <c r="I1406" s="28" t="s">
        <v>30</v>
      </c>
    </row>
    <row r="1407" spans="1:9" ht="12.75">
      <c r="A1407" s="16" t="s">
        <v>1348</v>
      </c>
      <c r="B1407" s="17">
        <v>265000</v>
      </c>
      <c r="C1407" s="17">
        <f t="shared" ref="C1407:C1410" si="366">0.0125*B1407</f>
        <v>3312.5</v>
      </c>
      <c r="D1407" s="18">
        <v>45968</v>
      </c>
      <c r="E1407" s="16" t="s">
        <v>11</v>
      </c>
      <c r="F1407" s="16" t="s">
        <v>12</v>
      </c>
    </row>
    <row r="1408" spans="1:9" ht="12.75">
      <c r="A1408" s="16" t="s">
        <v>1349</v>
      </c>
      <c r="B1408" s="17">
        <v>50000</v>
      </c>
      <c r="C1408" s="17">
        <f t="shared" si="366"/>
        <v>625</v>
      </c>
      <c r="D1408" s="18">
        <v>45968</v>
      </c>
      <c r="E1408" s="16" t="s">
        <v>11</v>
      </c>
      <c r="F1408" s="16" t="s">
        <v>12</v>
      </c>
    </row>
    <row r="1409" spans="1:9" ht="12.75">
      <c r="A1409" s="16" t="s">
        <v>1350</v>
      </c>
      <c r="B1409" s="17">
        <v>155000</v>
      </c>
      <c r="C1409" s="17">
        <f t="shared" si="366"/>
        <v>1937.5</v>
      </c>
      <c r="D1409" s="18">
        <v>45968</v>
      </c>
      <c r="E1409" s="16" t="s">
        <v>11</v>
      </c>
      <c r="F1409" s="16" t="s">
        <v>12</v>
      </c>
    </row>
    <row r="1410" spans="1:9" ht="12.75">
      <c r="A1410" s="16" t="s">
        <v>389</v>
      </c>
      <c r="B1410" s="17">
        <v>30000</v>
      </c>
      <c r="C1410" s="17">
        <f t="shared" si="366"/>
        <v>375</v>
      </c>
      <c r="D1410" s="18">
        <v>45968</v>
      </c>
      <c r="E1410" s="16" t="s">
        <v>15</v>
      </c>
      <c r="F1410" s="16" t="s">
        <v>12</v>
      </c>
      <c r="H1410" s="24" t="s">
        <v>149</v>
      </c>
    </row>
    <row r="1411" spans="1:9" ht="12.75">
      <c r="A1411" s="16" t="s">
        <v>1351</v>
      </c>
      <c r="B1411" s="17">
        <v>675000</v>
      </c>
      <c r="C1411" s="17">
        <f>0.0175*B1411</f>
        <v>11812.500000000002</v>
      </c>
      <c r="D1411" s="18">
        <v>45968</v>
      </c>
      <c r="E1411" s="16" t="s">
        <v>11</v>
      </c>
      <c r="F1411" s="16" t="s">
        <v>28</v>
      </c>
      <c r="I1411" s="28" t="s">
        <v>30</v>
      </c>
    </row>
    <row r="1412" spans="1:9" ht="12.75">
      <c r="A1412" s="16" t="s">
        <v>184</v>
      </c>
      <c r="B1412" s="17">
        <v>230000</v>
      </c>
      <c r="C1412" s="17">
        <f t="shared" ref="C1412:C1415" si="367">0.0125*B1412</f>
        <v>2875</v>
      </c>
      <c r="D1412" s="18">
        <v>45968</v>
      </c>
      <c r="E1412" s="16" t="s">
        <v>60</v>
      </c>
      <c r="F1412" s="16" t="s">
        <v>12</v>
      </c>
    </row>
    <row r="1413" spans="1:9" ht="12.75">
      <c r="A1413" s="16" t="s">
        <v>1352</v>
      </c>
      <c r="B1413" s="17">
        <v>250000</v>
      </c>
      <c r="C1413" s="17">
        <f t="shared" si="367"/>
        <v>3125</v>
      </c>
      <c r="D1413" s="18">
        <v>45971</v>
      </c>
      <c r="E1413" s="16" t="s">
        <v>69</v>
      </c>
      <c r="F1413" s="16" t="s">
        <v>12</v>
      </c>
      <c r="H1413" s="16" t="s">
        <v>22</v>
      </c>
    </row>
    <row r="1414" spans="1:9" ht="12.75">
      <c r="A1414" s="16" t="s">
        <v>1353</v>
      </c>
      <c r="B1414" s="17">
        <v>250000</v>
      </c>
      <c r="C1414" s="17">
        <f t="shared" si="367"/>
        <v>3125</v>
      </c>
      <c r="D1414" s="18">
        <v>45971</v>
      </c>
      <c r="E1414" s="16" t="s">
        <v>75</v>
      </c>
      <c r="F1414" s="16" t="s">
        <v>12</v>
      </c>
    </row>
    <row r="1415" spans="1:9" ht="12.75">
      <c r="A1415" s="16" t="s">
        <v>1354</v>
      </c>
      <c r="B1415" s="17">
        <v>50000</v>
      </c>
      <c r="C1415" s="17">
        <f t="shared" si="367"/>
        <v>625</v>
      </c>
      <c r="D1415" s="18">
        <v>45971</v>
      </c>
      <c r="E1415" s="16" t="s">
        <v>60</v>
      </c>
      <c r="F1415" s="16" t="s">
        <v>12</v>
      </c>
    </row>
    <row r="1416" spans="1:9" ht="12.75">
      <c r="A1416" s="16" t="s">
        <v>1355</v>
      </c>
      <c r="B1416" s="17">
        <v>1000000</v>
      </c>
      <c r="C1416" s="17">
        <f>0.0175*B1416</f>
        <v>17500</v>
      </c>
      <c r="D1416" s="18">
        <v>45971</v>
      </c>
      <c r="E1416" s="16" t="s">
        <v>568</v>
      </c>
      <c r="F1416" s="16" t="s">
        <v>28</v>
      </c>
      <c r="I1416" s="28" t="s">
        <v>30</v>
      </c>
    </row>
    <row r="1417" spans="1:9" ht="12.75">
      <c r="A1417" s="16" t="s">
        <v>1356</v>
      </c>
      <c r="B1417" s="17">
        <v>525000</v>
      </c>
      <c r="C1417" s="17">
        <f>0.0125*B1417</f>
        <v>6562.5</v>
      </c>
      <c r="D1417" s="18">
        <v>45971</v>
      </c>
      <c r="E1417" s="16" t="s">
        <v>24</v>
      </c>
      <c r="F1417" s="16" t="s">
        <v>12</v>
      </c>
      <c r="H1417" s="16" t="s">
        <v>948</v>
      </c>
    </row>
    <row r="1418" spans="1:9" ht="12.75">
      <c r="A1418" s="16" t="s">
        <v>1357</v>
      </c>
      <c r="B1418" s="17">
        <v>60000</v>
      </c>
      <c r="C1418" s="17">
        <f>0.0175*B1418</f>
        <v>1050</v>
      </c>
      <c r="D1418" s="18">
        <v>45971</v>
      </c>
      <c r="E1418" s="16" t="s">
        <v>75</v>
      </c>
      <c r="F1418" s="16" t="s">
        <v>28</v>
      </c>
      <c r="H1418" s="16" t="s">
        <v>1358</v>
      </c>
    </row>
    <row r="1419" spans="1:9" ht="12.75">
      <c r="A1419" s="16" t="s">
        <v>1359</v>
      </c>
      <c r="B1419" s="17">
        <v>35000</v>
      </c>
      <c r="C1419" s="17">
        <f t="shared" ref="C1419:C1420" si="368">0.0125*B1419</f>
        <v>437.5</v>
      </c>
      <c r="D1419" s="18">
        <v>45971</v>
      </c>
      <c r="E1419" s="16" t="s">
        <v>75</v>
      </c>
      <c r="F1419" s="16" t="s">
        <v>12</v>
      </c>
      <c r="H1419" s="16"/>
    </row>
    <row r="1420" spans="1:9" ht="12.75">
      <c r="A1420" s="16" t="s">
        <v>1360</v>
      </c>
      <c r="B1420" s="17">
        <v>75000</v>
      </c>
      <c r="C1420" s="17">
        <f t="shared" si="368"/>
        <v>937.5</v>
      </c>
      <c r="D1420" s="18">
        <v>45971</v>
      </c>
      <c r="E1420" s="16" t="s">
        <v>75</v>
      </c>
      <c r="F1420" s="16" t="s">
        <v>12</v>
      </c>
      <c r="H1420" s="16" t="s">
        <v>1361</v>
      </c>
    </row>
    <row r="1421" spans="1:9" ht="12.75">
      <c r="A1421" s="16" t="s">
        <v>1362</v>
      </c>
      <c r="B1421" s="17">
        <v>140000</v>
      </c>
      <c r="C1421" s="17">
        <f t="shared" ref="C1421:C1424" si="369">0.0175*B1421</f>
        <v>2450.0000000000005</v>
      </c>
      <c r="D1421" s="18">
        <v>45971</v>
      </c>
      <c r="E1421" s="16" t="s">
        <v>24</v>
      </c>
      <c r="F1421" s="16" t="s">
        <v>28</v>
      </c>
      <c r="H1421" s="16" t="s">
        <v>642</v>
      </c>
    </row>
    <row r="1422" spans="1:9" ht="12.75">
      <c r="A1422" s="16" t="s">
        <v>881</v>
      </c>
      <c r="B1422" s="17">
        <v>50000</v>
      </c>
      <c r="C1422" s="17">
        <f t="shared" si="369"/>
        <v>875.00000000000011</v>
      </c>
      <c r="D1422" s="18">
        <v>45971</v>
      </c>
      <c r="E1422" s="16" t="s">
        <v>11</v>
      </c>
      <c r="F1422" s="16" t="s">
        <v>67</v>
      </c>
    </row>
    <row r="1423" spans="1:9" ht="12.75">
      <c r="A1423" s="16" t="s">
        <v>1363</v>
      </c>
      <c r="B1423" s="17">
        <v>150000</v>
      </c>
      <c r="C1423" s="17">
        <f t="shared" si="369"/>
        <v>2625.0000000000005</v>
      </c>
      <c r="D1423" s="18">
        <v>45973</v>
      </c>
      <c r="E1423" s="16" t="s">
        <v>60</v>
      </c>
      <c r="F1423" s="16" t="s">
        <v>28</v>
      </c>
      <c r="I1423" s="28" t="s">
        <v>30</v>
      </c>
    </row>
    <row r="1424" spans="1:9" ht="12.75">
      <c r="A1424" s="16" t="s">
        <v>1364</v>
      </c>
      <c r="B1424" s="17">
        <v>275000</v>
      </c>
      <c r="C1424" s="17">
        <f t="shared" si="369"/>
        <v>4812.5000000000009</v>
      </c>
      <c r="D1424" s="18">
        <v>45973</v>
      </c>
      <c r="E1424" s="16" t="s">
        <v>60</v>
      </c>
      <c r="F1424" s="16" t="s">
        <v>28</v>
      </c>
      <c r="I1424" s="28" t="s">
        <v>30</v>
      </c>
    </row>
    <row r="1425" spans="1:9" ht="12.75">
      <c r="A1425" s="16" t="s">
        <v>419</v>
      </c>
      <c r="B1425" s="17">
        <v>275000</v>
      </c>
      <c r="C1425" s="17">
        <f>0.0125*B1425</f>
        <v>3437.5</v>
      </c>
      <c r="D1425" s="18">
        <v>45973</v>
      </c>
      <c r="E1425" s="16" t="s">
        <v>11</v>
      </c>
      <c r="F1425" s="16" t="s">
        <v>12</v>
      </c>
    </row>
    <row r="1426" spans="1:9" ht="12.75">
      <c r="A1426" s="16" t="s">
        <v>1365</v>
      </c>
      <c r="B1426" s="17">
        <v>325000</v>
      </c>
      <c r="C1426" s="17">
        <f>0.0175*B1426</f>
        <v>5687.5000000000009</v>
      </c>
      <c r="D1426" s="18">
        <v>45973</v>
      </c>
      <c r="E1426" s="16" t="s">
        <v>73</v>
      </c>
      <c r="F1426" s="16" t="s">
        <v>28</v>
      </c>
    </row>
    <row r="1427" spans="1:9" ht="12.75">
      <c r="A1427" s="16" t="s">
        <v>134</v>
      </c>
      <c r="B1427" s="17">
        <v>290000</v>
      </c>
      <c r="C1427" s="17">
        <f t="shared" ref="C1427:C1428" si="370">0.0125*B1427</f>
        <v>3625</v>
      </c>
      <c r="D1427" s="18">
        <v>45973</v>
      </c>
      <c r="E1427" s="16" t="s">
        <v>345</v>
      </c>
      <c r="F1427" s="16" t="s">
        <v>12</v>
      </c>
      <c r="H1427" s="16" t="s">
        <v>22</v>
      </c>
    </row>
    <row r="1428" spans="1:9" ht="12.75">
      <c r="A1428" s="16" t="s">
        <v>1366</v>
      </c>
      <c r="B1428" s="17">
        <v>150000</v>
      </c>
      <c r="C1428" s="17">
        <f t="shared" si="370"/>
        <v>1875</v>
      </c>
      <c r="D1428" s="18">
        <v>45973</v>
      </c>
      <c r="E1428" s="16" t="s">
        <v>11</v>
      </c>
      <c r="F1428" s="16" t="s">
        <v>12</v>
      </c>
    </row>
    <row r="1429" spans="1:9" ht="12.75">
      <c r="A1429" s="16" t="s">
        <v>1367</v>
      </c>
      <c r="B1429" s="17">
        <v>1000000</v>
      </c>
      <c r="C1429" s="17">
        <f>0.0175*B1429</f>
        <v>17500</v>
      </c>
      <c r="D1429" s="18">
        <v>45974</v>
      </c>
      <c r="E1429" s="16" t="s">
        <v>118</v>
      </c>
      <c r="F1429" s="16" t="s">
        <v>28</v>
      </c>
      <c r="H1429" s="16" t="s">
        <v>13</v>
      </c>
      <c r="I1429" s="28" t="s">
        <v>30</v>
      </c>
    </row>
    <row r="1430" spans="1:9" ht="12.75">
      <c r="A1430" s="16" t="s">
        <v>1368</v>
      </c>
      <c r="B1430" s="17">
        <v>45000</v>
      </c>
      <c r="C1430" s="17">
        <f>0.0125*B1430</f>
        <v>562.5</v>
      </c>
      <c r="D1430" s="18">
        <v>45974</v>
      </c>
      <c r="E1430" s="16" t="s">
        <v>15</v>
      </c>
      <c r="F1430" s="16" t="s">
        <v>12</v>
      </c>
      <c r="H1430" s="24" t="s">
        <v>54</v>
      </c>
    </row>
    <row r="1431" spans="1:9" ht="12.75">
      <c r="A1431" s="16" t="s">
        <v>1369</v>
      </c>
      <c r="B1431" s="17">
        <v>250000</v>
      </c>
      <c r="C1431" s="17">
        <f t="shared" ref="C1431:C1433" si="371">0.0175*B1431</f>
        <v>4375</v>
      </c>
      <c r="D1431" s="18">
        <v>45974</v>
      </c>
      <c r="E1431" s="16" t="s">
        <v>118</v>
      </c>
      <c r="F1431" s="16" t="s">
        <v>144</v>
      </c>
      <c r="H1431" s="16" t="s">
        <v>22</v>
      </c>
    </row>
    <row r="1432" spans="1:9" ht="12.75">
      <c r="A1432" s="16" t="s">
        <v>1370</v>
      </c>
      <c r="B1432" s="17">
        <v>35000</v>
      </c>
      <c r="C1432" s="17">
        <f t="shared" si="371"/>
        <v>612.50000000000011</v>
      </c>
      <c r="D1432" s="18">
        <v>45974</v>
      </c>
      <c r="E1432" s="16" t="s">
        <v>15</v>
      </c>
      <c r="F1432" s="16" t="s">
        <v>28</v>
      </c>
      <c r="H1432" s="24" t="s">
        <v>51</v>
      </c>
      <c r="I1432" s="28" t="s">
        <v>30</v>
      </c>
    </row>
    <row r="1433" spans="1:9" ht="12.75">
      <c r="A1433" s="16" t="s">
        <v>1371</v>
      </c>
      <c r="B1433" s="17">
        <v>130000</v>
      </c>
      <c r="C1433" s="17">
        <f t="shared" si="371"/>
        <v>2275</v>
      </c>
      <c r="D1433" s="18">
        <v>45974</v>
      </c>
      <c r="E1433" s="16" t="s">
        <v>15</v>
      </c>
      <c r="F1433" s="16" t="s">
        <v>28</v>
      </c>
      <c r="H1433" s="24" t="s">
        <v>16</v>
      </c>
      <c r="I1433" s="28" t="s">
        <v>30</v>
      </c>
    </row>
    <row r="1434" spans="1:9" ht="12.75">
      <c r="A1434" s="16" t="s">
        <v>1372</v>
      </c>
      <c r="B1434" s="17">
        <v>50000</v>
      </c>
      <c r="C1434" s="17">
        <f>0.0125*B1434</f>
        <v>625</v>
      </c>
      <c r="D1434" s="18">
        <v>45974</v>
      </c>
      <c r="E1434" s="16" t="s">
        <v>15</v>
      </c>
      <c r="F1434" s="16" t="s">
        <v>12</v>
      </c>
      <c r="H1434" s="24" t="s">
        <v>54</v>
      </c>
    </row>
    <row r="1435" spans="1:9" ht="12.75">
      <c r="A1435" s="16" t="s">
        <v>1373</v>
      </c>
      <c r="B1435" s="17">
        <v>1000000</v>
      </c>
      <c r="C1435" s="17">
        <f t="shared" ref="C1435:C1436" si="372">0.0175*B1435</f>
        <v>17500</v>
      </c>
      <c r="D1435" s="18">
        <v>45974</v>
      </c>
      <c r="E1435" s="16" t="s">
        <v>118</v>
      </c>
      <c r="F1435" s="16" t="s">
        <v>28</v>
      </c>
      <c r="H1435" s="24" t="s">
        <v>13</v>
      </c>
      <c r="I1435" s="28" t="s">
        <v>30</v>
      </c>
    </row>
    <row r="1436" spans="1:9" ht="12.75">
      <c r="A1436" s="16" t="s">
        <v>1374</v>
      </c>
      <c r="B1436" s="17">
        <v>85000</v>
      </c>
      <c r="C1436" s="17">
        <f t="shared" si="372"/>
        <v>1487.5000000000002</v>
      </c>
      <c r="D1436" s="18">
        <v>45974</v>
      </c>
      <c r="E1436" s="16" t="s">
        <v>15</v>
      </c>
      <c r="F1436" s="16" t="s">
        <v>28</v>
      </c>
      <c r="H1436" s="24" t="s">
        <v>390</v>
      </c>
      <c r="I1436" s="28" t="s">
        <v>30</v>
      </c>
    </row>
    <row r="1437" spans="1:9" ht="12.75">
      <c r="A1437" s="16" t="s">
        <v>530</v>
      </c>
      <c r="B1437" s="17">
        <v>260000</v>
      </c>
      <c r="C1437" s="17">
        <f>0.0125*B1437</f>
        <v>3250</v>
      </c>
      <c r="D1437" s="18">
        <v>45975</v>
      </c>
      <c r="E1437" s="16" t="s">
        <v>1375</v>
      </c>
      <c r="F1437" s="16" t="s">
        <v>12</v>
      </c>
    </row>
    <row r="1438" spans="1:9" ht="12.75">
      <c r="A1438" s="16" t="s">
        <v>1376</v>
      </c>
      <c r="B1438" s="17">
        <v>40000</v>
      </c>
      <c r="C1438" s="17">
        <f>0.0175*B1438</f>
        <v>700.00000000000011</v>
      </c>
      <c r="D1438" s="18">
        <v>45975</v>
      </c>
      <c r="E1438" s="16" t="s">
        <v>939</v>
      </c>
      <c r="F1438" s="16" t="s">
        <v>28</v>
      </c>
      <c r="H1438" s="16" t="s">
        <v>13</v>
      </c>
      <c r="I1438" s="28" t="s">
        <v>30</v>
      </c>
    </row>
    <row r="1439" spans="1:9" ht="12.75">
      <c r="A1439" s="16" t="s">
        <v>1377</v>
      </c>
      <c r="B1439" s="17">
        <v>160000</v>
      </c>
      <c r="C1439" s="17">
        <f>0.0125*B1439</f>
        <v>2000</v>
      </c>
      <c r="D1439" s="18">
        <v>45975</v>
      </c>
      <c r="E1439" s="16" t="s">
        <v>15</v>
      </c>
      <c r="F1439" s="16" t="s">
        <v>12</v>
      </c>
      <c r="H1439" s="24" t="s">
        <v>16</v>
      </c>
    </row>
    <row r="1440" spans="1:9" ht="12.75">
      <c r="A1440" s="16" t="s">
        <v>1378</v>
      </c>
      <c r="B1440" s="17">
        <v>10000</v>
      </c>
      <c r="C1440" s="17">
        <f t="shared" ref="C1440:C1445" si="373">0.0175*B1440</f>
        <v>175.00000000000003</v>
      </c>
      <c r="D1440" s="18">
        <v>45975</v>
      </c>
      <c r="E1440" s="16" t="s">
        <v>15</v>
      </c>
      <c r="F1440" s="16" t="s">
        <v>28</v>
      </c>
      <c r="H1440" s="24" t="s">
        <v>54</v>
      </c>
      <c r="I1440" s="28" t="s">
        <v>30</v>
      </c>
    </row>
    <row r="1441" spans="1:9" ht="12.75">
      <c r="A1441" s="16" t="s">
        <v>1379</v>
      </c>
      <c r="B1441" s="17">
        <v>18000</v>
      </c>
      <c r="C1441" s="17">
        <f t="shared" si="373"/>
        <v>315.00000000000006</v>
      </c>
      <c r="D1441" s="18">
        <v>45975</v>
      </c>
      <c r="E1441" s="16" t="s">
        <v>15</v>
      </c>
      <c r="F1441" s="16" t="s">
        <v>28</v>
      </c>
      <c r="H1441" s="24" t="s">
        <v>54</v>
      </c>
      <c r="I1441" s="28" t="s">
        <v>30</v>
      </c>
    </row>
    <row r="1442" spans="1:9" ht="12.75">
      <c r="A1442" s="16" t="s">
        <v>1380</v>
      </c>
      <c r="B1442" s="17">
        <v>100000</v>
      </c>
      <c r="C1442" s="17">
        <f t="shared" si="373"/>
        <v>1750.0000000000002</v>
      </c>
      <c r="D1442" s="18">
        <v>45978</v>
      </c>
      <c r="E1442" s="16" t="s">
        <v>15</v>
      </c>
      <c r="F1442" s="16" t="s">
        <v>28</v>
      </c>
      <c r="H1442" s="24" t="s">
        <v>98</v>
      </c>
      <c r="I1442" s="28" t="s">
        <v>30</v>
      </c>
    </row>
    <row r="1443" spans="1:9" ht="12.75">
      <c r="A1443" s="16" t="s">
        <v>1381</v>
      </c>
      <c r="B1443" s="17">
        <v>65000</v>
      </c>
      <c r="C1443" s="17">
        <f t="shared" si="373"/>
        <v>1137.5</v>
      </c>
      <c r="D1443" s="18">
        <v>45978</v>
      </c>
      <c r="E1443" s="16" t="s">
        <v>11</v>
      </c>
      <c r="F1443" s="16" t="s">
        <v>28</v>
      </c>
      <c r="I1443" s="28" t="s">
        <v>30</v>
      </c>
    </row>
    <row r="1444" spans="1:9" ht="12.75">
      <c r="A1444" s="16" t="s">
        <v>1382</v>
      </c>
      <c r="B1444" s="17">
        <v>165000</v>
      </c>
      <c r="C1444" s="17">
        <f t="shared" si="373"/>
        <v>2887.5000000000005</v>
      </c>
      <c r="D1444" s="18">
        <v>45978</v>
      </c>
      <c r="E1444" s="16" t="s">
        <v>926</v>
      </c>
      <c r="F1444" s="16" t="s">
        <v>28</v>
      </c>
      <c r="I1444" s="28" t="s">
        <v>30</v>
      </c>
    </row>
    <row r="1445" spans="1:9" ht="12.75">
      <c r="A1445" s="16" t="s">
        <v>407</v>
      </c>
      <c r="B1445" s="17">
        <v>250000</v>
      </c>
      <c r="C1445" s="17">
        <f t="shared" si="373"/>
        <v>4375</v>
      </c>
      <c r="D1445" s="18">
        <v>45978</v>
      </c>
      <c r="E1445" s="16" t="s">
        <v>11</v>
      </c>
      <c r="F1445" s="16" t="s">
        <v>649</v>
      </c>
    </row>
    <row r="1446" spans="1:9" ht="12.75">
      <c r="A1446" s="16" t="s">
        <v>647</v>
      </c>
      <c r="B1446" s="17">
        <v>80000</v>
      </c>
      <c r="C1446" s="17">
        <f>0.0125*B1446</f>
        <v>1000</v>
      </c>
      <c r="D1446" s="18">
        <v>45978</v>
      </c>
      <c r="E1446" s="16" t="s">
        <v>11</v>
      </c>
      <c r="F1446" s="16" t="s">
        <v>12</v>
      </c>
    </row>
    <row r="1447" spans="1:9" ht="12.75">
      <c r="A1447" s="16" t="s">
        <v>1383</v>
      </c>
      <c r="B1447" s="17">
        <v>175000</v>
      </c>
      <c r="C1447" s="17">
        <f>0.0175*B1447</f>
        <v>3062.5000000000005</v>
      </c>
      <c r="D1447" s="18">
        <v>45978</v>
      </c>
      <c r="E1447" s="16" t="s">
        <v>11</v>
      </c>
      <c r="F1447" s="16" t="s">
        <v>28</v>
      </c>
      <c r="I1447" s="28" t="s">
        <v>30</v>
      </c>
    </row>
    <row r="1448" spans="1:9" ht="12.75">
      <c r="A1448" s="16" t="s">
        <v>1384</v>
      </c>
      <c r="B1448" s="17">
        <v>60000</v>
      </c>
      <c r="C1448" s="17">
        <f t="shared" ref="C1448:C1451" si="374">0.0125*B1448</f>
        <v>750</v>
      </c>
      <c r="D1448" s="18">
        <v>45979</v>
      </c>
      <c r="E1448" s="16" t="s">
        <v>24</v>
      </c>
      <c r="F1448" s="16" t="s">
        <v>12</v>
      </c>
      <c r="H1448" s="16" t="s">
        <v>948</v>
      </c>
    </row>
    <row r="1449" spans="1:9" ht="12.75">
      <c r="A1449" s="16" t="s">
        <v>1385</v>
      </c>
      <c r="B1449" s="17">
        <v>325000</v>
      </c>
      <c r="C1449" s="17">
        <f t="shared" si="374"/>
        <v>4062.5</v>
      </c>
      <c r="D1449" s="18">
        <v>45979</v>
      </c>
      <c r="E1449" s="16" t="s">
        <v>11</v>
      </c>
      <c r="F1449" s="16" t="s">
        <v>12</v>
      </c>
    </row>
    <row r="1450" spans="1:9" ht="12.75">
      <c r="A1450" s="16" t="s">
        <v>1386</v>
      </c>
      <c r="B1450" s="17">
        <v>8000</v>
      </c>
      <c r="C1450" s="17">
        <f t="shared" si="374"/>
        <v>100</v>
      </c>
      <c r="D1450" s="18">
        <v>45979</v>
      </c>
      <c r="E1450" s="16" t="s">
        <v>15</v>
      </c>
      <c r="F1450" s="16" t="s">
        <v>12</v>
      </c>
      <c r="H1450" s="24" t="s">
        <v>149</v>
      </c>
    </row>
    <row r="1451" spans="1:9" ht="12.75">
      <c r="A1451" s="16" t="s">
        <v>1387</v>
      </c>
      <c r="B1451" s="17">
        <v>160000</v>
      </c>
      <c r="C1451" s="17">
        <f t="shared" si="374"/>
        <v>2000</v>
      </c>
      <c r="D1451" s="18">
        <v>45979</v>
      </c>
      <c r="E1451" s="16" t="s">
        <v>1388</v>
      </c>
      <c r="F1451" s="16" t="s">
        <v>12</v>
      </c>
    </row>
    <row r="1452" spans="1:9" ht="12.75">
      <c r="A1452" s="16" t="s">
        <v>1389</v>
      </c>
      <c r="B1452" s="17">
        <v>60000</v>
      </c>
      <c r="C1452" s="17">
        <f>0.0175*B1452</f>
        <v>1050</v>
      </c>
      <c r="D1452" s="18">
        <v>45979</v>
      </c>
      <c r="E1452" s="16" t="s">
        <v>951</v>
      </c>
      <c r="F1452" s="16" t="s">
        <v>28</v>
      </c>
      <c r="H1452" s="16" t="s">
        <v>13</v>
      </c>
      <c r="I1452" s="28" t="s">
        <v>30</v>
      </c>
    </row>
    <row r="1453" spans="1:9" ht="12.75">
      <c r="A1453" s="16" t="s">
        <v>1390</v>
      </c>
      <c r="B1453" s="17">
        <v>45000</v>
      </c>
      <c r="C1453" s="17">
        <f t="shared" ref="C1453:C1454" si="375">0.0125*B1453</f>
        <v>562.5</v>
      </c>
      <c r="D1453" s="18">
        <v>45979</v>
      </c>
      <c r="E1453" s="16" t="s">
        <v>60</v>
      </c>
      <c r="F1453" s="16" t="s">
        <v>12</v>
      </c>
    </row>
    <row r="1454" spans="1:9" ht="12.75">
      <c r="A1454" s="16" t="s">
        <v>1391</v>
      </c>
      <c r="B1454" s="17">
        <v>70000</v>
      </c>
      <c r="C1454" s="17">
        <f t="shared" si="375"/>
        <v>875</v>
      </c>
      <c r="D1454" s="18">
        <v>45979</v>
      </c>
      <c r="E1454" s="16" t="s">
        <v>21</v>
      </c>
      <c r="F1454" s="16" t="s">
        <v>12</v>
      </c>
      <c r="H1454" s="16" t="s">
        <v>22</v>
      </c>
    </row>
    <row r="1455" spans="1:9" ht="12.75">
      <c r="A1455" s="16" t="s">
        <v>1392</v>
      </c>
      <c r="B1455" s="17">
        <v>100000</v>
      </c>
      <c r="C1455" s="17">
        <f t="shared" ref="C1455:C1456" si="376">0.0175*B1455</f>
        <v>1750.0000000000002</v>
      </c>
      <c r="D1455" s="18">
        <v>45979</v>
      </c>
      <c r="E1455" s="16" t="s">
        <v>60</v>
      </c>
      <c r="F1455" s="16" t="s">
        <v>28</v>
      </c>
      <c r="I1455" s="28" t="s">
        <v>30</v>
      </c>
    </row>
    <row r="1456" spans="1:9" ht="12.75">
      <c r="A1456" s="16" t="s">
        <v>1393</v>
      </c>
      <c r="B1456" s="17">
        <v>1250000</v>
      </c>
      <c r="C1456" s="17">
        <f t="shared" si="376"/>
        <v>21875.000000000004</v>
      </c>
      <c r="D1456" s="18">
        <v>45980</v>
      </c>
      <c r="E1456" s="16" t="s">
        <v>118</v>
      </c>
      <c r="F1456" s="16" t="s">
        <v>28</v>
      </c>
      <c r="H1456" s="16" t="s">
        <v>1394</v>
      </c>
      <c r="I1456" s="28" t="s">
        <v>30</v>
      </c>
    </row>
    <row r="1457" spans="1:9" ht="12.75">
      <c r="A1457" s="16" t="s">
        <v>1395</v>
      </c>
      <c r="B1457" s="17">
        <v>220000</v>
      </c>
      <c r="C1457" s="17">
        <f>0.0125*B1457</f>
        <v>2750</v>
      </c>
      <c r="D1457" s="18">
        <v>45973</v>
      </c>
      <c r="E1457" s="16" t="s">
        <v>118</v>
      </c>
      <c r="F1457" s="16" t="s">
        <v>12</v>
      </c>
      <c r="H1457" s="16" t="s">
        <v>22</v>
      </c>
    </row>
    <row r="1458" spans="1:9" ht="12.75">
      <c r="A1458" s="16" t="s">
        <v>1396</v>
      </c>
      <c r="B1458" s="17">
        <v>20000</v>
      </c>
      <c r="C1458" s="17">
        <f t="shared" ref="C1458:C1459" si="377">0.0175*B1458</f>
        <v>350.00000000000006</v>
      </c>
      <c r="D1458" s="18">
        <v>45980</v>
      </c>
      <c r="E1458" s="16" t="s">
        <v>15</v>
      </c>
      <c r="F1458" s="16" t="s">
        <v>28</v>
      </c>
      <c r="H1458" s="24" t="s">
        <v>29</v>
      </c>
      <c r="I1458" s="28" t="s">
        <v>30</v>
      </c>
    </row>
    <row r="1459" spans="1:9" ht="12.75">
      <c r="A1459" s="16" t="s">
        <v>1397</v>
      </c>
      <c r="B1459" s="17">
        <v>150000</v>
      </c>
      <c r="C1459" s="17">
        <f t="shared" si="377"/>
        <v>2625.0000000000005</v>
      </c>
      <c r="D1459" s="18">
        <v>45980</v>
      </c>
      <c r="E1459" s="16" t="s">
        <v>11</v>
      </c>
      <c r="F1459" s="16" t="s">
        <v>28</v>
      </c>
      <c r="I1459" s="28" t="s">
        <v>30</v>
      </c>
    </row>
    <row r="1460" spans="1:9" ht="12.75">
      <c r="A1460" s="16" t="s">
        <v>714</v>
      </c>
      <c r="B1460" s="17">
        <v>115000</v>
      </c>
      <c r="C1460" s="17">
        <f>0.0125*B1460</f>
        <v>1437.5</v>
      </c>
      <c r="D1460" s="18">
        <v>45980</v>
      </c>
      <c r="E1460" s="16" t="s">
        <v>11</v>
      </c>
      <c r="F1460" s="16" t="s">
        <v>12</v>
      </c>
    </row>
    <row r="1461" spans="1:9" ht="12.75">
      <c r="A1461" s="16" t="s">
        <v>1398</v>
      </c>
      <c r="B1461" s="17">
        <v>200000</v>
      </c>
      <c r="C1461" s="17">
        <f>0.0175*B1461</f>
        <v>3500.0000000000005</v>
      </c>
      <c r="D1461" s="18">
        <v>45980</v>
      </c>
      <c r="E1461" s="16" t="s">
        <v>24</v>
      </c>
      <c r="F1461" s="16" t="s">
        <v>67</v>
      </c>
      <c r="H1461" s="16" t="s">
        <v>948</v>
      </c>
      <c r="I1461" s="28" t="s">
        <v>30</v>
      </c>
    </row>
    <row r="1462" spans="1:9" ht="12.75">
      <c r="A1462" s="16" t="s">
        <v>1399</v>
      </c>
      <c r="B1462" s="17">
        <v>160000</v>
      </c>
      <c r="C1462" s="17">
        <f t="shared" ref="C1462:C1465" si="378">0.0125*B1462</f>
        <v>2000</v>
      </c>
      <c r="D1462" s="18">
        <v>45981</v>
      </c>
      <c r="E1462" s="16" t="s">
        <v>60</v>
      </c>
      <c r="F1462" s="16" t="s">
        <v>12</v>
      </c>
    </row>
    <row r="1463" spans="1:9" ht="12.75">
      <c r="A1463" s="16" t="s">
        <v>1400</v>
      </c>
      <c r="B1463" s="17">
        <v>2000000</v>
      </c>
      <c r="C1463" s="17">
        <f t="shared" si="378"/>
        <v>25000</v>
      </c>
      <c r="D1463" s="18">
        <v>45981</v>
      </c>
      <c r="E1463" s="16" t="s">
        <v>1401</v>
      </c>
      <c r="F1463" s="16" t="s">
        <v>12</v>
      </c>
      <c r="H1463" s="16" t="s">
        <v>1402</v>
      </c>
    </row>
    <row r="1464" spans="1:9" ht="12.75">
      <c r="A1464" s="16" t="s">
        <v>1403</v>
      </c>
      <c r="B1464" s="17">
        <v>150000</v>
      </c>
      <c r="C1464" s="17">
        <f t="shared" si="378"/>
        <v>1875</v>
      </c>
      <c r="D1464" s="18">
        <v>45981</v>
      </c>
      <c r="E1464" s="16" t="s">
        <v>11</v>
      </c>
      <c r="F1464" s="16" t="s">
        <v>12</v>
      </c>
    </row>
    <row r="1465" spans="1:9" ht="12.75">
      <c r="A1465" s="16" t="s">
        <v>1404</v>
      </c>
      <c r="B1465" s="17">
        <v>50000</v>
      </c>
      <c r="C1465" s="17">
        <f t="shared" si="378"/>
        <v>625</v>
      </c>
      <c r="D1465" s="18">
        <v>45981</v>
      </c>
      <c r="E1465" s="16" t="s">
        <v>60</v>
      </c>
      <c r="F1465" s="16" t="s">
        <v>12</v>
      </c>
    </row>
    <row r="1466" spans="1:9" ht="12.75">
      <c r="A1466" s="16" t="s">
        <v>1100</v>
      </c>
      <c r="B1466" s="17">
        <v>150000</v>
      </c>
      <c r="C1466" s="17">
        <f t="shared" ref="C1466:C1467" si="379">0.0175*B1466</f>
        <v>2625.0000000000005</v>
      </c>
      <c r="D1466" s="18">
        <v>45981</v>
      </c>
      <c r="E1466" s="16" t="s">
        <v>73</v>
      </c>
      <c r="F1466" s="16" t="s">
        <v>67</v>
      </c>
      <c r="H1466" s="16" t="s">
        <v>1405</v>
      </c>
    </row>
    <row r="1467" spans="1:9" ht="12.75">
      <c r="A1467" s="16" t="s">
        <v>1406</v>
      </c>
      <c r="B1467" s="17">
        <v>180000</v>
      </c>
      <c r="C1467" s="17">
        <f t="shared" si="379"/>
        <v>3150.0000000000005</v>
      </c>
      <c r="D1467" s="18">
        <v>45981</v>
      </c>
      <c r="E1467" s="16" t="s">
        <v>11</v>
      </c>
      <c r="F1467" s="16" t="s">
        <v>28</v>
      </c>
      <c r="H1467" s="16"/>
      <c r="I1467" s="28" t="s">
        <v>30</v>
      </c>
    </row>
    <row r="1468" spans="1:9" ht="12.75">
      <c r="A1468" s="16" t="s">
        <v>1407</v>
      </c>
      <c r="B1468" s="17">
        <v>10500</v>
      </c>
      <c r="C1468" s="17">
        <f t="shared" ref="C1468:C1471" si="380">0.0125*B1468</f>
        <v>131.25</v>
      </c>
      <c r="D1468" s="18">
        <v>45981</v>
      </c>
      <c r="E1468" s="16" t="s">
        <v>376</v>
      </c>
      <c r="F1468" s="16" t="s">
        <v>144</v>
      </c>
      <c r="H1468" s="16" t="s">
        <v>22</v>
      </c>
    </row>
    <row r="1469" spans="1:9" ht="12.75">
      <c r="A1469" s="16" t="s">
        <v>843</v>
      </c>
      <c r="B1469" s="17">
        <v>115000</v>
      </c>
      <c r="C1469" s="17">
        <f t="shared" si="380"/>
        <v>1437.5</v>
      </c>
      <c r="D1469" s="18">
        <v>45981</v>
      </c>
      <c r="E1469" s="16" t="s">
        <v>11</v>
      </c>
      <c r="F1469" s="16" t="s">
        <v>12</v>
      </c>
    </row>
    <row r="1470" spans="1:9" ht="12.75">
      <c r="A1470" s="16" t="s">
        <v>1408</v>
      </c>
      <c r="B1470" s="17">
        <v>25000</v>
      </c>
      <c r="C1470" s="17">
        <f t="shared" si="380"/>
        <v>312.5</v>
      </c>
      <c r="D1470" s="18">
        <v>45981</v>
      </c>
      <c r="E1470" s="16" t="s">
        <v>11</v>
      </c>
      <c r="F1470" s="16" t="s">
        <v>12</v>
      </c>
    </row>
    <row r="1471" spans="1:9" ht="12.75">
      <c r="A1471" s="16" t="s">
        <v>1409</v>
      </c>
      <c r="B1471" s="17">
        <v>65000</v>
      </c>
      <c r="C1471" s="17">
        <f t="shared" si="380"/>
        <v>812.5</v>
      </c>
      <c r="D1471" s="18">
        <v>45981</v>
      </c>
      <c r="E1471" s="16" t="s">
        <v>15</v>
      </c>
      <c r="F1471" s="16" t="s">
        <v>12</v>
      </c>
      <c r="H1471" s="24" t="s">
        <v>16</v>
      </c>
    </row>
    <row r="1472" spans="1:9" ht="12.75">
      <c r="A1472" s="16" t="s">
        <v>1410</v>
      </c>
      <c r="B1472" s="17">
        <v>950000</v>
      </c>
      <c r="C1472" s="17">
        <f t="shared" ref="C1472:C1473" si="381">0.0175*B1472</f>
        <v>16625</v>
      </c>
      <c r="D1472" s="18">
        <v>45981</v>
      </c>
      <c r="E1472" s="16" t="s">
        <v>60</v>
      </c>
      <c r="F1472" s="16" t="s">
        <v>28</v>
      </c>
      <c r="I1472" s="28" t="s">
        <v>30</v>
      </c>
    </row>
    <row r="1473" spans="1:9" ht="12.75">
      <c r="A1473" s="16" t="s">
        <v>1411</v>
      </c>
      <c r="B1473" s="17">
        <v>75000</v>
      </c>
      <c r="C1473" s="17">
        <f t="shared" si="381"/>
        <v>1312.5000000000002</v>
      </c>
      <c r="D1473" s="18">
        <v>45981</v>
      </c>
      <c r="E1473" s="16" t="s">
        <v>1412</v>
      </c>
      <c r="F1473" s="16" t="s">
        <v>28</v>
      </c>
      <c r="H1473" s="16" t="s">
        <v>13</v>
      </c>
    </row>
    <row r="1474" spans="1:9" ht="12.75">
      <c r="A1474" s="16" t="s">
        <v>1413</v>
      </c>
      <c r="B1474" s="17">
        <v>175000</v>
      </c>
      <c r="C1474" s="17">
        <f t="shared" ref="C1474:C1477" si="382">0.0125*B1474</f>
        <v>2187.5</v>
      </c>
      <c r="D1474" s="18">
        <v>45981</v>
      </c>
      <c r="E1474" s="16" t="s">
        <v>11</v>
      </c>
      <c r="F1474" s="16" t="s">
        <v>12</v>
      </c>
    </row>
    <row r="1475" spans="1:9" ht="12.75">
      <c r="A1475" s="16" t="s">
        <v>603</v>
      </c>
      <c r="B1475" s="17">
        <v>150000</v>
      </c>
      <c r="C1475" s="17">
        <f t="shared" si="382"/>
        <v>1875</v>
      </c>
      <c r="D1475" s="18">
        <v>45981</v>
      </c>
      <c r="E1475" s="16" t="s">
        <v>11</v>
      </c>
      <c r="F1475" s="16" t="s">
        <v>12</v>
      </c>
    </row>
    <row r="1476" spans="1:9" ht="12.75">
      <c r="A1476" s="16" t="s">
        <v>1104</v>
      </c>
      <c r="B1476" s="17">
        <v>295000</v>
      </c>
      <c r="C1476" s="17">
        <f t="shared" si="382"/>
        <v>3687.5</v>
      </c>
      <c r="D1476" s="18">
        <v>45981</v>
      </c>
      <c r="E1476" s="16" t="s">
        <v>11</v>
      </c>
      <c r="F1476" s="16" t="s">
        <v>12</v>
      </c>
    </row>
    <row r="1477" spans="1:9" ht="12.75">
      <c r="A1477" s="16" t="s">
        <v>1414</v>
      </c>
      <c r="B1477" s="17">
        <v>1600000</v>
      </c>
      <c r="C1477" s="17">
        <f t="shared" si="382"/>
        <v>20000</v>
      </c>
      <c r="D1477" s="18">
        <v>45981</v>
      </c>
      <c r="E1477" s="16" t="s">
        <v>11</v>
      </c>
      <c r="F1477" s="16" t="s">
        <v>12</v>
      </c>
    </row>
    <row r="1478" spans="1:9" ht="12.75">
      <c r="A1478" s="16" t="s">
        <v>1415</v>
      </c>
      <c r="B1478" s="17">
        <v>15000</v>
      </c>
      <c r="C1478" s="17">
        <f t="shared" ref="C1478:C1479" si="383">0.0175*B1478</f>
        <v>262.5</v>
      </c>
      <c r="D1478" s="18">
        <v>45981</v>
      </c>
      <c r="E1478" s="16" t="s">
        <v>11</v>
      </c>
      <c r="F1478" s="16" t="s">
        <v>28</v>
      </c>
      <c r="I1478" s="28" t="s">
        <v>30</v>
      </c>
    </row>
    <row r="1479" spans="1:9" ht="12.75">
      <c r="A1479" s="16" t="s">
        <v>1416</v>
      </c>
      <c r="B1479" s="17">
        <v>150000</v>
      </c>
      <c r="C1479" s="17">
        <f t="shared" si="383"/>
        <v>2625.0000000000005</v>
      </c>
      <c r="D1479" s="18">
        <v>45982</v>
      </c>
      <c r="E1479" s="16" t="s">
        <v>951</v>
      </c>
      <c r="F1479" s="16" t="s">
        <v>28</v>
      </c>
      <c r="H1479" s="16" t="s">
        <v>13</v>
      </c>
      <c r="I1479" s="28" t="s">
        <v>30</v>
      </c>
    </row>
    <row r="1480" spans="1:9" ht="12.75">
      <c r="A1480" s="16" t="s">
        <v>809</v>
      </c>
      <c r="B1480" s="17">
        <v>50000</v>
      </c>
      <c r="C1480" s="17">
        <f>0.0125*B1480</f>
        <v>625</v>
      </c>
      <c r="D1480" s="18">
        <v>45982</v>
      </c>
      <c r="E1480" s="16" t="s">
        <v>11</v>
      </c>
      <c r="F1480" s="16" t="s">
        <v>12</v>
      </c>
    </row>
    <row r="1481" spans="1:9" ht="12.75">
      <c r="A1481" s="16" t="s">
        <v>1417</v>
      </c>
      <c r="B1481" s="17">
        <v>250000</v>
      </c>
      <c r="C1481" s="17">
        <f t="shared" ref="C1481:C1482" si="384">0.0175*B1481</f>
        <v>4375</v>
      </c>
      <c r="D1481" s="18">
        <v>45982</v>
      </c>
      <c r="E1481" s="16" t="s">
        <v>15</v>
      </c>
      <c r="F1481" s="16" t="s">
        <v>28</v>
      </c>
      <c r="H1481" s="24" t="s">
        <v>54</v>
      </c>
      <c r="I1481" s="28" t="s">
        <v>30</v>
      </c>
    </row>
    <row r="1482" spans="1:9" ht="12.75">
      <c r="A1482" s="16" t="s">
        <v>1418</v>
      </c>
      <c r="B1482" s="17">
        <v>450000</v>
      </c>
      <c r="C1482" s="17">
        <f t="shared" si="384"/>
        <v>7875.0000000000009</v>
      </c>
      <c r="D1482" s="18">
        <v>45982</v>
      </c>
      <c r="E1482" s="16" t="s">
        <v>15</v>
      </c>
      <c r="F1482" s="16" t="s">
        <v>28</v>
      </c>
      <c r="H1482" s="24" t="s">
        <v>98</v>
      </c>
      <c r="I1482" s="28" t="s">
        <v>30</v>
      </c>
    </row>
    <row r="1483" spans="1:9" ht="12.75">
      <c r="A1483" s="16" t="s">
        <v>524</v>
      </c>
      <c r="B1483" s="17">
        <v>72500</v>
      </c>
      <c r="C1483" s="17">
        <f t="shared" ref="C1483:C1485" si="385">0.0125*B1483</f>
        <v>906.25</v>
      </c>
      <c r="D1483" s="18">
        <v>45982</v>
      </c>
      <c r="E1483" s="16" t="s">
        <v>11</v>
      </c>
      <c r="F1483" s="16" t="s">
        <v>12</v>
      </c>
    </row>
    <row r="1484" spans="1:9" ht="12.75">
      <c r="A1484" s="16" t="s">
        <v>1419</v>
      </c>
      <c r="B1484" s="17">
        <v>265000</v>
      </c>
      <c r="C1484" s="17">
        <f t="shared" si="385"/>
        <v>3312.5</v>
      </c>
      <c r="D1484" s="18">
        <v>45982</v>
      </c>
      <c r="E1484" s="16" t="s">
        <v>11</v>
      </c>
      <c r="F1484" s="16" t="s">
        <v>12</v>
      </c>
    </row>
    <row r="1485" spans="1:9" ht="12.75">
      <c r="A1485" s="16" t="s">
        <v>1420</v>
      </c>
      <c r="B1485" s="17">
        <v>187500</v>
      </c>
      <c r="C1485" s="17">
        <f t="shared" si="385"/>
        <v>2343.75</v>
      </c>
      <c r="D1485" s="18">
        <v>45982</v>
      </c>
      <c r="E1485" s="16" t="s">
        <v>60</v>
      </c>
      <c r="F1485" s="16" t="s">
        <v>12</v>
      </c>
    </row>
    <row r="1486" spans="1:9" ht="12.75">
      <c r="A1486" s="16" t="s">
        <v>1421</v>
      </c>
      <c r="B1486" s="17">
        <v>85000</v>
      </c>
      <c r="C1486" s="17">
        <f>0.0175*B1486</f>
        <v>1487.5000000000002</v>
      </c>
      <c r="D1486" s="18">
        <v>45982</v>
      </c>
      <c r="E1486" s="16" t="s">
        <v>60</v>
      </c>
      <c r="F1486" s="16" t="s">
        <v>28</v>
      </c>
      <c r="I1486" s="28" t="s">
        <v>30</v>
      </c>
    </row>
    <row r="1487" spans="1:9" ht="12.75">
      <c r="A1487" s="16" t="s">
        <v>190</v>
      </c>
      <c r="B1487" s="17">
        <v>145000</v>
      </c>
      <c r="C1487" s="17">
        <f t="shared" ref="C1487:C1493" si="386">0.0125*B1487</f>
        <v>1812.5</v>
      </c>
      <c r="D1487" s="18">
        <v>45982</v>
      </c>
      <c r="E1487" s="16" t="s">
        <v>21</v>
      </c>
      <c r="F1487" s="16" t="s">
        <v>12</v>
      </c>
      <c r="H1487" s="16" t="s">
        <v>22</v>
      </c>
    </row>
    <row r="1488" spans="1:9" ht="12.75">
      <c r="A1488" s="16" t="s">
        <v>1422</v>
      </c>
      <c r="B1488" s="17">
        <v>160000</v>
      </c>
      <c r="C1488" s="17">
        <f t="shared" si="386"/>
        <v>2000</v>
      </c>
      <c r="D1488" s="18">
        <v>45985</v>
      </c>
      <c r="E1488" s="16" t="s">
        <v>345</v>
      </c>
      <c r="F1488" s="16" t="s">
        <v>12</v>
      </c>
      <c r="H1488" s="16" t="s">
        <v>22</v>
      </c>
    </row>
    <row r="1489" spans="1:9" ht="12.75">
      <c r="A1489" s="16" t="s">
        <v>1423</v>
      </c>
      <c r="B1489" s="17">
        <v>160000</v>
      </c>
      <c r="C1489" s="17">
        <f t="shared" si="386"/>
        <v>2000</v>
      </c>
      <c r="D1489" s="18">
        <v>45985</v>
      </c>
      <c r="E1489" s="16" t="s">
        <v>345</v>
      </c>
      <c r="F1489" s="16" t="s">
        <v>12</v>
      </c>
      <c r="H1489" s="16" t="s">
        <v>22</v>
      </c>
    </row>
    <row r="1490" spans="1:9" ht="12.75">
      <c r="A1490" s="16" t="s">
        <v>1424</v>
      </c>
      <c r="B1490" s="17">
        <v>105000</v>
      </c>
      <c r="C1490" s="17">
        <f t="shared" si="386"/>
        <v>1312.5</v>
      </c>
      <c r="D1490" s="18">
        <v>45985</v>
      </c>
      <c r="E1490" s="16" t="s">
        <v>15</v>
      </c>
      <c r="F1490" s="16" t="s">
        <v>12</v>
      </c>
      <c r="H1490" s="24" t="s">
        <v>35</v>
      </c>
    </row>
    <row r="1491" spans="1:9" ht="12.75">
      <c r="A1491" s="16" t="s">
        <v>200</v>
      </c>
      <c r="B1491" s="17">
        <v>250000</v>
      </c>
      <c r="C1491" s="17">
        <f t="shared" si="386"/>
        <v>3125</v>
      </c>
      <c r="D1491" s="18">
        <v>45985</v>
      </c>
      <c r="E1491" s="16" t="s">
        <v>60</v>
      </c>
      <c r="F1491" s="16" t="s">
        <v>12</v>
      </c>
    </row>
    <row r="1492" spans="1:9" ht="12.75">
      <c r="A1492" s="16" t="s">
        <v>1425</v>
      </c>
      <c r="B1492" s="17">
        <v>225000</v>
      </c>
      <c r="C1492" s="17">
        <f t="shared" si="386"/>
        <v>2812.5</v>
      </c>
      <c r="D1492" s="18">
        <v>45985</v>
      </c>
      <c r="E1492" s="16" t="s">
        <v>118</v>
      </c>
      <c r="F1492" s="16" t="s">
        <v>12</v>
      </c>
      <c r="H1492" s="16" t="s">
        <v>22</v>
      </c>
    </row>
    <row r="1493" spans="1:9" ht="12.75">
      <c r="A1493" s="16" t="s">
        <v>1426</v>
      </c>
      <c r="B1493" s="17">
        <v>145000</v>
      </c>
      <c r="C1493" s="17">
        <f t="shared" si="386"/>
        <v>1812.5</v>
      </c>
      <c r="D1493" s="18">
        <v>45985</v>
      </c>
      <c r="E1493" s="16" t="s">
        <v>15</v>
      </c>
      <c r="F1493" s="16" t="s">
        <v>12</v>
      </c>
      <c r="H1493" s="24" t="s">
        <v>98</v>
      </c>
    </row>
    <row r="1494" spans="1:9" ht="12.75">
      <c r="A1494" s="16" t="s">
        <v>1427</v>
      </c>
      <c r="B1494" s="17">
        <v>500000</v>
      </c>
      <c r="C1494" s="17">
        <f t="shared" ref="C1494:C1495" si="387">0.0175*B1494</f>
        <v>8750</v>
      </c>
      <c r="D1494" s="18">
        <v>45985</v>
      </c>
      <c r="E1494" s="16" t="s">
        <v>24</v>
      </c>
      <c r="F1494" s="16" t="s">
        <v>28</v>
      </c>
      <c r="H1494" s="16" t="s">
        <v>642</v>
      </c>
      <c r="I1494" s="28" t="s">
        <v>30</v>
      </c>
    </row>
    <row r="1495" spans="1:9" ht="12.75">
      <c r="A1495" s="16" t="s">
        <v>1428</v>
      </c>
      <c r="B1495" s="17">
        <v>100000</v>
      </c>
      <c r="C1495" s="17">
        <f t="shared" si="387"/>
        <v>1750.0000000000002</v>
      </c>
      <c r="D1495" s="18">
        <v>45985</v>
      </c>
      <c r="E1495" s="16" t="s">
        <v>376</v>
      </c>
      <c r="F1495" s="16" t="s">
        <v>28</v>
      </c>
      <c r="H1495" s="16" t="s">
        <v>13</v>
      </c>
      <c r="I1495" s="28" t="s">
        <v>30</v>
      </c>
    </row>
    <row r="1496" spans="1:9" ht="12.75">
      <c r="A1496" s="16" t="s">
        <v>1429</v>
      </c>
      <c r="B1496" s="17">
        <v>95000</v>
      </c>
      <c r="C1496" s="17">
        <f t="shared" ref="C1496:C1497" si="388">0.0125*B1496</f>
        <v>1187.5</v>
      </c>
      <c r="D1496" s="18">
        <v>45986</v>
      </c>
      <c r="E1496" s="16" t="s">
        <v>165</v>
      </c>
      <c r="F1496" s="16" t="s">
        <v>12</v>
      </c>
      <c r="H1496" s="16" t="s">
        <v>22</v>
      </c>
    </row>
    <row r="1497" spans="1:9" ht="12.75">
      <c r="A1497" s="16" t="s">
        <v>1430</v>
      </c>
      <c r="B1497" s="17">
        <v>127500</v>
      </c>
      <c r="C1497" s="17">
        <f t="shared" si="388"/>
        <v>1593.75</v>
      </c>
      <c r="D1497" s="18">
        <v>45986</v>
      </c>
      <c r="E1497" s="16" t="s">
        <v>11</v>
      </c>
      <c r="F1497" s="16" t="s">
        <v>12</v>
      </c>
    </row>
    <row r="1498" spans="1:9" ht="12.75">
      <c r="A1498" s="16" t="s">
        <v>1431</v>
      </c>
      <c r="B1498" s="17">
        <v>50000</v>
      </c>
      <c r="C1498" s="17">
        <f>0.0175*B1498</f>
        <v>875.00000000000011</v>
      </c>
      <c r="D1498" s="18">
        <v>45986</v>
      </c>
      <c r="E1498" s="16" t="s">
        <v>15</v>
      </c>
      <c r="F1498" s="16" t="s">
        <v>28</v>
      </c>
      <c r="H1498" s="24" t="s">
        <v>220</v>
      </c>
      <c r="I1498" s="28" t="s">
        <v>30</v>
      </c>
    </row>
    <row r="1499" spans="1:9" ht="12.75">
      <c r="A1499" s="16" t="s">
        <v>1432</v>
      </c>
      <c r="B1499" s="17">
        <v>80000</v>
      </c>
      <c r="C1499" s="17">
        <f>0.0125*B1499</f>
        <v>1000</v>
      </c>
      <c r="D1499" s="18">
        <v>45986</v>
      </c>
      <c r="E1499" s="16" t="s">
        <v>11</v>
      </c>
      <c r="F1499" s="16" t="s">
        <v>12</v>
      </c>
    </row>
    <row r="1500" spans="1:9" ht="12.75">
      <c r="A1500" s="16" t="s">
        <v>1433</v>
      </c>
      <c r="B1500" s="17">
        <v>100000</v>
      </c>
      <c r="C1500" s="17">
        <f>0.0175*B1500</f>
        <v>1750.0000000000002</v>
      </c>
      <c r="D1500" s="18">
        <v>45986</v>
      </c>
      <c r="E1500" s="16" t="s">
        <v>376</v>
      </c>
      <c r="F1500" s="16" t="s">
        <v>28</v>
      </c>
      <c r="H1500" s="16" t="s">
        <v>13</v>
      </c>
    </row>
    <row r="1501" spans="1:9" ht="12.75">
      <c r="A1501" s="16" t="s">
        <v>812</v>
      </c>
      <c r="B1501" s="17">
        <v>100000</v>
      </c>
      <c r="C1501" s="17">
        <f t="shared" ref="C1501:C1502" si="389">0.0125*B1501</f>
        <v>1250</v>
      </c>
      <c r="D1501" s="18">
        <v>45986</v>
      </c>
      <c r="E1501" s="16" t="s">
        <v>11</v>
      </c>
      <c r="F1501" s="16" t="s">
        <v>12</v>
      </c>
    </row>
    <row r="1502" spans="1:9" ht="12.75">
      <c r="A1502" s="16" t="s">
        <v>1434</v>
      </c>
      <c r="B1502" s="17">
        <v>125000</v>
      </c>
      <c r="C1502" s="17">
        <f t="shared" si="389"/>
        <v>1562.5</v>
      </c>
      <c r="D1502" s="18">
        <v>45986</v>
      </c>
      <c r="E1502" s="16" t="s">
        <v>24</v>
      </c>
      <c r="F1502" s="16" t="s">
        <v>12</v>
      </c>
      <c r="H1502" s="16" t="s">
        <v>948</v>
      </c>
    </row>
    <row r="1503" spans="1:9" ht="12.75">
      <c r="A1503" s="16" t="s">
        <v>1435</v>
      </c>
      <c r="B1503" s="17">
        <v>150000</v>
      </c>
      <c r="C1503" s="17">
        <f>0.0175*B1503</f>
        <v>2625.0000000000005</v>
      </c>
      <c r="D1503" s="18">
        <v>45986</v>
      </c>
      <c r="E1503" s="16" t="s">
        <v>15</v>
      </c>
      <c r="F1503" s="16" t="s">
        <v>67</v>
      </c>
      <c r="H1503" s="24" t="s">
        <v>35</v>
      </c>
    </row>
    <row r="1504" spans="1:9" ht="12.75">
      <c r="A1504" s="16" t="s">
        <v>748</v>
      </c>
      <c r="B1504" s="17">
        <v>255000</v>
      </c>
      <c r="C1504" s="17">
        <f t="shared" ref="C1504:C1506" si="390">0.0125*B1504</f>
        <v>3187.5</v>
      </c>
      <c r="D1504" s="18">
        <v>45986</v>
      </c>
      <c r="E1504" s="16" t="s">
        <v>24</v>
      </c>
      <c r="F1504" s="16" t="s">
        <v>12</v>
      </c>
      <c r="H1504" s="16" t="s">
        <v>948</v>
      </c>
    </row>
    <row r="1505" spans="1:9" ht="12.75">
      <c r="A1505" s="16" t="s">
        <v>1436</v>
      </c>
      <c r="B1505" s="17">
        <v>70000</v>
      </c>
      <c r="C1505" s="17">
        <f t="shared" si="390"/>
        <v>875</v>
      </c>
      <c r="D1505" s="18">
        <v>45986</v>
      </c>
      <c r="E1505" s="16" t="s">
        <v>11</v>
      </c>
      <c r="F1505" s="16" t="s">
        <v>12</v>
      </c>
    </row>
    <row r="1506" spans="1:9" ht="12.75">
      <c r="A1506" s="16" t="s">
        <v>1437</v>
      </c>
      <c r="B1506" s="17">
        <v>500000</v>
      </c>
      <c r="C1506" s="17">
        <f t="shared" si="390"/>
        <v>6250</v>
      </c>
      <c r="D1506" s="18">
        <v>45986</v>
      </c>
      <c r="E1506" s="16" t="s">
        <v>11</v>
      </c>
      <c r="F1506" s="16" t="s">
        <v>12</v>
      </c>
    </row>
    <row r="1507" spans="1:9" ht="12.75">
      <c r="A1507" s="16" t="s">
        <v>1438</v>
      </c>
      <c r="B1507" s="17">
        <v>125000</v>
      </c>
      <c r="C1507" s="17">
        <f t="shared" ref="C1507:C1508" si="391">0.0175*B1507</f>
        <v>2187.5</v>
      </c>
      <c r="D1507" s="18">
        <v>45986</v>
      </c>
      <c r="E1507" s="16" t="s">
        <v>11</v>
      </c>
      <c r="F1507" s="16" t="s">
        <v>649</v>
      </c>
    </row>
    <row r="1508" spans="1:9" ht="12.75">
      <c r="A1508" s="16" t="s">
        <v>1439</v>
      </c>
      <c r="B1508" s="17">
        <v>25000</v>
      </c>
      <c r="C1508" s="17">
        <f t="shared" si="391"/>
        <v>437.50000000000006</v>
      </c>
      <c r="D1508" s="18">
        <v>45986</v>
      </c>
      <c r="E1508" s="16" t="s">
        <v>11</v>
      </c>
      <c r="F1508" s="16" t="s">
        <v>28</v>
      </c>
      <c r="I1508" s="28" t="s">
        <v>30</v>
      </c>
    </row>
    <row r="1509" spans="1:9" ht="12.75">
      <c r="A1509" s="16" t="s">
        <v>1440</v>
      </c>
      <c r="B1509" s="17">
        <v>150000</v>
      </c>
      <c r="C1509" s="17">
        <f t="shared" ref="C1509:C1510" si="392">0.0125*B1509</f>
        <v>1875</v>
      </c>
      <c r="D1509" s="18">
        <v>45986</v>
      </c>
      <c r="E1509" s="16" t="s">
        <v>24</v>
      </c>
      <c r="F1509" s="16" t="s">
        <v>12</v>
      </c>
      <c r="H1509" s="16" t="s">
        <v>948</v>
      </c>
    </row>
    <row r="1510" spans="1:9" ht="12.75">
      <c r="A1510" s="16" t="s">
        <v>1441</v>
      </c>
      <c r="B1510" s="17">
        <v>80000</v>
      </c>
      <c r="C1510" s="17">
        <f t="shared" si="392"/>
        <v>1000</v>
      </c>
      <c r="D1510" s="18">
        <v>45987</v>
      </c>
      <c r="E1510" s="16" t="s">
        <v>11</v>
      </c>
      <c r="F1510" s="16" t="s">
        <v>12</v>
      </c>
    </row>
    <row r="1511" spans="1:9" ht="12.75">
      <c r="A1511" s="16" t="s">
        <v>1442</v>
      </c>
      <c r="B1511" s="17">
        <v>350000</v>
      </c>
      <c r="C1511" s="17">
        <f t="shared" ref="C1511:C1513" si="393">0.0175*B1511</f>
        <v>6125.0000000000009</v>
      </c>
      <c r="D1511" s="18">
        <v>45987</v>
      </c>
      <c r="E1511" s="16" t="s">
        <v>15</v>
      </c>
      <c r="F1511" s="16" t="s">
        <v>28</v>
      </c>
      <c r="H1511" s="24" t="s">
        <v>98</v>
      </c>
      <c r="I1511" s="28" t="s">
        <v>30</v>
      </c>
    </row>
    <row r="1512" spans="1:9" ht="12.75">
      <c r="A1512" s="16" t="s">
        <v>1443</v>
      </c>
      <c r="B1512" s="17">
        <v>100000</v>
      </c>
      <c r="C1512" s="17">
        <f t="shared" si="393"/>
        <v>1750.0000000000002</v>
      </c>
      <c r="D1512" s="18">
        <v>45987</v>
      </c>
      <c r="E1512" s="16" t="s">
        <v>939</v>
      </c>
      <c r="F1512" s="16" t="s">
        <v>28</v>
      </c>
      <c r="H1512" s="16" t="s">
        <v>13</v>
      </c>
      <c r="I1512" s="28" t="s">
        <v>30</v>
      </c>
    </row>
    <row r="1513" spans="1:9" ht="12.75">
      <c r="A1513" s="16" t="s">
        <v>1444</v>
      </c>
      <c r="B1513" s="17">
        <v>500000</v>
      </c>
      <c r="C1513" s="17">
        <f t="shared" si="393"/>
        <v>8750</v>
      </c>
      <c r="D1513" s="18">
        <v>45987</v>
      </c>
      <c r="E1513" s="16" t="s">
        <v>15</v>
      </c>
      <c r="F1513" s="16" t="s">
        <v>28</v>
      </c>
      <c r="H1513" s="24" t="s">
        <v>282</v>
      </c>
      <c r="I1513" s="28" t="s">
        <v>30</v>
      </c>
    </row>
    <row r="1514" spans="1:9" ht="12.75">
      <c r="A1514" s="16" t="s">
        <v>236</v>
      </c>
      <c r="B1514" s="17">
        <v>70000</v>
      </c>
      <c r="C1514" s="17">
        <f>0.0125*B1514</f>
        <v>875</v>
      </c>
      <c r="D1514" s="18">
        <v>45987</v>
      </c>
      <c r="E1514" s="16" t="s">
        <v>15</v>
      </c>
      <c r="F1514" s="16" t="s">
        <v>12</v>
      </c>
      <c r="H1514" s="24" t="s">
        <v>54</v>
      </c>
    </row>
    <row r="1515" spans="1:9" ht="12.75">
      <c r="A1515" s="16" t="s">
        <v>1445</v>
      </c>
      <c r="B1515" s="17">
        <v>600000</v>
      </c>
      <c r="C1515" s="17">
        <f t="shared" ref="C1515:C1516" si="394">0.0175*B1515</f>
        <v>10500.000000000002</v>
      </c>
      <c r="D1515" s="18">
        <v>45987</v>
      </c>
      <c r="E1515" s="16" t="s">
        <v>1446</v>
      </c>
      <c r="F1515" s="16" t="s">
        <v>649</v>
      </c>
      <c r="H1515" s="16" t="s">
        <v>1298</v>
      </c>
    </row>
    <row r="1516" spans="1:9" ht="12.75">
      <c r="A1516" s="16" t="s">
        <v>1447</v>
      </c>
      <c r="B1516" s="17">
        <v>50000</v>
      </c>
      <c r="C1516" s="17">
        <f t="shared" si="394"/>
        <v>875.00000000000011</v>
      </c>
      <c r="D1516" s="18">
        <v>45987</v>
      </c>
      <c r="E1516" s="16" t="s">
        <v>15</v>
      </c>
      <c r="F1516" s="16" t="s">
        <v>28</v>
      </c>
      <c r="H1516" s="24" t="s">
        <v>16</v>
      </c>
      <c r="I1516" s="28" t="s">
        <v>30</v>
      </c>
    </row>
    <row r="1517" spans="1:9" ht="12.75">
      <c r="B1517" s="17"/>
      <c r="C1517" s="17"/>
      <c r="D1517" s="18"/>
    </row>
    <row r="1518" spans="1:9" ht="12.75">
      <c r="B1518" s="17"/>
      <c r="C1518" s="17"/>
      <c r="D1518" s="18"/>
    </row>
    <row r="1519" spans="1:9" ht="12.75">
      <c r="B1519" s="17"/>
      <c r="C1519" s="17"/>
      <c r="D1519" s="18"/>
    </row>
    <row r="1520" spans="1:9" ht="12.75">
      <c r="B1520" s="17"/>
      <c r="C1520" s="17"/>
      <c r="D1520" s="18"/>
    </row>
    <row r="1521" spans="2:4" ht="12.75">
      <c r="B1521" s="17"/>
      <c r="C1521" s="17"/>
      <c r="D1521" s="18"/>
    </row>
    <row r="1522" spans="2:4" ht="12.75">
      <c r="B1522" s="17"/>
      <c r="C1522" s="17"/>
      <c r="D1522" s="18"/>
    </row>
    <row r="1523" spans="2:4" ht="12.75">
      <c r="B1523" s="17"/>
      <c r="C1523" s="17"/>
      <c r="D1523" s="18"/>
    </row>
    <row r="1524" spans="2:4" ht="12.75">
      <c r="B1524" s="17"/>
      <c r="C1524" s="17"/>
      <c r="D1524" s="18"/>
    </row>
    <row r="1525" spans="2:4" ht="12.75">
      <c r="D1525" s="18"/>
    </row>
    <row r="1526" spans="2:4" ht="12.75">
      <c r="D1526" s="18"/>
    </row>
    <row r="1527" spans="2:4" ht="12.75">
      <c r="D1527" s="18"/>
    </row>
    <row r="1528" spans="2:4" ht="12.75">
      <c r="D1528" s="18"/>
    </row>
    <row r="1529" spans="2:4" ht="12.75">
      <c r="D1529" s="18"/>
    </row>
    <row r="1530" spans="2:4" ht="12.75">
      <c r="D1530" s="18"/>
    </row>
    <row r="1531" spans="2:4" ht="12.75">
      <c r="D1531" s="18"/>
    </row>
    <row r="1532" spans="2:4" ht="12.75">
      <c r="D1532" s="18"/>
    </row>
    <row r="1533" spans="2:4" ht="12.75">
      <c r="D1533" s="18"/>
    </row>
    <row r="1534" spans="2:4" ht="12.75">
      <c r="D1534" s="18"/>
    </row>
    <row r="1535" spans="2:4" ht="12.75">
      <c r="D1535" s="18"/>
    </row>
    <row r="1536" spans="2:4" ht="12.75">
      <c r="D1536" s="18"/>
    </row>
    <row r="1537" spans="4:4" ht="12.75">
      <c r="D1537" s="18"/>
    </row>
    <row r="1538" spans="4:4" ht="12.75">
      <c r="D1538" s="18"/>
    </row>
    <row r="1539" spans="4:4" ht="12.75">
      <c r="D1539" s="18"/>
    </row>
    <row r="1540" spans="4:4" ht="12.75">
      <c r="D1540" s="18"/>
    </row>
    <row r="1541" spans="4:4" ht="12.75">
      <c r="D1541" s="18"/>
    </row>
    <row r="1542" spans="4:4" ht="12.75">
      <c r="D1542" s="18"/>
    </row>
    <row r="1543" spans="4:4" ht="12.75">
      <c r="D1543" s="18"/>
    </row>
    <row r="1544" spans="4:4" ht="12.75">
      <c r="D1544" s="18"/>
    </row>
    <row r="1545" spans="4:4" ht="12.75">
      <c r="D1545" s="18"/>
    </row>
    <row r="1546" spans="4:4" ht="12.75">
      <c r="D1546" s="18"/>
    </row>
    <row r="1547" spans="4:4" ht="12.75">
      <c r="D1547" s="18"/>
    </row>
    <row r="1548" spans="4:4" ht="12.75">
      <c r="D1548" s="18"/>
    </row>
    <row r="1549" spans="4:4" ht="12.75">
      <c r="D1549" s="18"/>
    </row>
    <row r="1550" spans="4:4" ht="12.75">
      <c r="D1550" s="18"/>
    </row>
    <row r="1551" spans="4:4" ht="12.75">
      <c r="D1551" s="18"/>
    </row>
    <row r="1552" spans="4:4" ht="12.75">
      <c r="D1552" s="18"/>
    </row>
    <row r="1553" spans="4:4" ht="12.75">
      <c r="D1553" s="18"/>
    </row>
    <row r="1554" spans="4:4" ht="12.75">
      <c r="D1554" s="18"/>
    </row>
    <row r="1555" spans="4:4" ht="12.75">
      <c r="D1555" s="18"/>
    </row>
    <row r="1556" spans="4:4" ht="12.75">
      <c r="D1556" s="18"/>
    </row>
    <row r="1557" spans="4:4" ht="12.75">
      <c r="D1557" s="18"/>
    </row>
    <row r="1558" spans="4:4" ht="12.75">
      <c r="D1558" s="18"/>
    </row>
    <row r="1559" spans="4:4" ht="12.75">
      <c r="D1559" s="18"/>
    </row>
    <row r="1560" spans="4:4" ht="12.75">
      <c r="D1560" s="18"/>
    </row>
    <row r="1561" spans="4:4" ht="12.75">
      <c r="D1561" s="18"/>
    </row>
    <row r="1562" spans="4:4" ht="12.75">
      <c r="D1562" s="18"/>
    </row>
    <row r="1563" spans="4:4" ht="12.75">
      <c r="D1563" s="18"/>
    </row>
    <row r="1564" spans="4:4" ht="12.75">
      <c r="D1564" s="18"/>
    </row>
    <row r="1565" spans="4:4" ht="12.75">
      <c r="D1565" s="18"/>
    </row>
    <row r="1566" spans="4:4" ht="12.75">
      <c r="D1566" s="18"/>
    </row>
    <row r="1567" spans="4:4" ht="12.75">
      <c r="D1567" s="18"/>
    </row>
    <row r="1568" spans="4:4" ht="12.75">
      <c r="D1568" s="18"/>
    </row>
    <row r="1569" spans="4:4" ht="12.75">
      <c r="D1569" s="18"/>
    </row>
    <row r="1570" spans="4:4" ht="12.75">
      <c r="D1570" s="18"/>
    </row>
    <row r="1571" spans="4:4" ht="12.75">
      <c r="D1571" s="18"/>
    </row>
    <row r="1572" spans="4:4" ht="12.75">
      <c r="D1572" s="18"/>
    </row>
    <row r="1573" spans="4:4" ht="12.75">
      <c r="D1573" s="18"/>
    </row>
    <row r="1574" spans="4:4" ht="12.75">
      <c r="D1574" s="18"/>
    </row>
    <row r="1575" spans="4:4" ht="12.75">
      <c r="D1575" s="18"/>
    </row>
    <row r="1576" spans="4:4" ht="12.75">
      <c r="D1576" s="18"/>
    </row>
    <row r="1577" spans="4:4" ht="12.75">
      <c r="D1577" s="18"/>
    </row>
    <row r="1578" spans="4:4" ht="12.75">
      <c r="D1578" s="18"/>
    </row>
    <row r="1579" spans="4:4" ht="12.75">
      <c r="D1579" s="18"/>
    </row>
    <row r="1580" spans="4:4" ht="12.75">
      <c r="D1580" s="18"/>
    </row>
    <row r="1581" spans="4:4" ht="12.75">
      <c r="D1581" s="18"/>
    </row>
    <row r="1582" spans="4:4" ht="12.75">
      <c r="D1582" s="18"/>
    </row>
    <row r="1583" spans="4:4" ht="12.75">
      <c r="D1583" s="18"/>
    </row>
    <row r="1584" spans="4:4" ht="12.75">
      <c r="D1584" s="18"/>
    </row>
    <row r="1585" spans="4:4" ht="12.75">
      <c r="D1585" s="18"/>
    </row>
    <row r="1586" spans="4:4" ht="12.75">
      <c r="D1586" s="18"/>
    </row>
    <row r="1587" spans="4:4" ht="12.75">
      <c r="D1587" s="18"/>
    </row>
    <row r="1588" spans="4:4" ht="12.75">
      <c r="D1588" s="18"/>
    </row>
    <row r="1589" spans="4:4" ht="12.75">
      <c r="D1589" s="18"/>
    </row>
    <row r="1590" spans="4:4" ht="12.75">
      <c r="D1590" s="18"/>
    </row>
    <row r="1591" spans="4:4" ht="12.75">
      <c r="D1591" s="18"/>
    </row>
    <row r="1592" spans="4:4" ht="12.75">
      <c r="D1592" s="18"/>
    </row>
    <row r="1593" spans="4:4" ht="12.75">
      <c r="D1593" s="18"/>
    </row>
    <row r="1594" spans="4:4" ht="12.75">
      <c r="D1594" s="18"/>
    </row>
    <row r="1595" spans="4:4" ht="12.75">
      <c r="D1595" s="18"/>
    </row>
    <row r="1596" spans="4:4" ht="12.75">
      <c r="D1596" s="18"/>
    </row>
    <row r="1597" spans="4:4" ht="12.75">
      <c r="D1597" s="18"/>
    </row>
    <row r="1598" spans="4:4" ht="12.75">
      <c r="D1598" s="18"/>
    </row>
    <row r="1599" spans="4:4" ht="12.75">
      <c r="D1599" s="18"/>
    </row>
    <row r="1600" spans="4:4" ht="12.75">
      <c r="D1600" s="18"/>
    </row>
    <row r="1601" spans="4:4" ht="12.75">
      <c r="D1601" s="18"/>
    </row>
    <row r="1602" spans="4:4" ht="12.75">
      <c r="D1602" s="18"/>
    </row>
    <row r="1603" spans="4:4" ht="12.75">
      <c r="D1603" s="18"/>
    </row>
    <row r="1604" spans="4:4" ht="12.75">
      <c r="D1604" s="18"/>
    </row>
    <row r="1605" spans="4:4" ht="12.75">
      <c r="D1605" s="18"/>
    </row>
    <row r="1606" spans="4:4" ht="12.75">
      <c r="D1606" s="18"/>
    </row>
    <row r="1607" spans="4:4" ht="12.75">
      <c r="D1607" s="18"/>
    </row>
    <row r="1608" spans="4:4" ht="12.75">
      <c r="D1608" s="18"/>
    </row>
    <row r="1609" spans="4:4" ht="12.75">
      <c r="D1609" s="18"/>
    </row>
    <row r="1610" spans="4:4" ht="12.75">
      <c r="D1610" s="18"/>
    </row>
    <row r="1611" spans="4:4" ht="12.75">
      <c r="D1611" s="18"/>
    </row>
    <row r="1612" spans="4:4" ht="12.75">
      <c r="D1612" s="18"/>
    </row>
    <row r="1613" spans="4:4" ht="12.75">
      <c r="D1613" s="18"/>
    </row>
    <row r="1614" spans="4:4" ht="12.75">
      <c r="D1614" s="18"/>
    </row>
    <row r="1615" spans="4:4" ht="12.75">
      <c r="D1615" s="18"/>
    </row>
    <row r="1616" spans="4:4" ht="12.75">
      <c r="D1616" s="18"/>
    </row>
    <row r="1617" spans="4:4" ht="12.75">
      <c r="D1617" s="18"/>
    </row>
    <row r="1618" spans="4:4" ht="12.75">
      <c r="D1618" s="18"/>
    </row>
    <row r="1619" spans="4:4" ht="12.75">
      <c r="D1619" s="18"/>
    </row>
    <row r="1620" spans="4:4" ht="12.75">
      <c r="D1620" s="18"/>
    </row>
    <row r="1621" spans="4:4" ht="12.75">
      <c r="D1621" s="18"/>
    </row>
    <row r="1622" spans="4:4" ht="12.75">
      <c r="D1622" s="18"/>
    </row>
    <row r="1623" spans="4:4" ht="12.75">
      <c r="D1623" s="18"/>
    </row>
    <row r="1624" spans="4:4" ht="12.75">
      <c r="D1624" s="18"/>
    </row>
    <row r="1625" spans="4:4" ht="12.75">
      <c r="D1625" s="18"/>
    </row>
    <row r="1626" spans="4:4" ht="12.75">
      <c r="D1626" s="18"/>
    </row>
    <row r="1627" spans="4:4" ht="12.75">
      <c r="D1627" s="18"/>
    </row>
    <row r="1628" spans="4:4" ht="12.75">
      <c r="D1628" s="18"/>
    </row>
    <row r="1629" spans="4:4" ht="12.75">
      <c r="D1629" s="18"/>
    </row>
    <row r="1630" spans="4:4" ht="12.75">
      <c r="D1630" s="18"/>
    </row>
    <row r="1631" spans="4:4" ht="12.75">
      <c r="D1631" s="18"/>
    </row>
    <row r="1632" spans="4:4" ht="12.75">
      <c r="D1632" s="18"/>
    </row>
    <row r="1633" spans="4:4" ht="12.75">
      <c r="D1633" s="18"/>
    </row>
    <row r="1634" spans="4:4" ht="12.75">
      <c r="D1634" s="18"/>
    </row>
    <row r="1635" spans="4:4" ht="12.75">
      <c r="D1635" s="18"/>
    </row>
    <row r="1636" spans="4:4" ht="12.75">
      <c r="D1636" s="18"/>
    </row>
    <row r="1637" spans="4:4" ht="12.75">
      <c r="D1637" s="18"/>
    </row>
    <row r="1638" spans="4:4" ht="12.75">
      <c r="D1638" s="18"/>
    </row>
    <row r="1639" spans="4:4" ht="12.75">
      <c r="D1639" s="18"/>
    </row>
    <row r="1640" spans="4:4" ht="12.75">
      <c r="D1640" s="18"/>
    </row>
    <row r="1641" spans="4:4" ht="12.75">
      <c r="D1641" s="18"/>
    </row>
    <row r="1642" spans="4:4" ht="12.75">
      <c r="D1642" s="18"/>
    </row>
    <row r="1643" spans="4:4" ht="12.75">
      <c r="D1643" s="18"/>
    </row>
    <row r="1644" spans="4:4" ht="12.75">
      <c r="D1644" s="18"/>
    </row>
    <row r="1645" spans="4:4" ht="12.75">
      <c r="D1645" s="18"/>
    </row>
    <row r="1646" spans="4:4" ht="12.75">
      <c r="D1646" s="18"/>
    </row>
    <row r="1647" spans="4:4" ht="12.75">
      <c r="D1647" s="18"/>
    </row>
    <row r="1648" spans="4:4" ht="12.75">
      <c r="D1648" s="18"/>
    </row>
    <row r="1649" spans="4:4" ht="12.75">
      <c r="D1649" s="18"/>
    </row>
    <row r="1650" spans="4:4" ht="12.75">
      <c r="D1650" s="18"/>
    </row>
    <row r="1651" spans="4:4" ht="12.75">
      <c r="D1651" s="18"/>
    </row>
    <row r="1652" spans="4:4" ht="12.75">
      <c r="D1652" s="18"/>
    </row>
    <row r="1653" spans="4:4" ht="12.75">
      <c r="D1653" s="18"/>
    </row>
    <row r="1654" spans="4:4" ht="12.75">
      <c r="D1654" s="18"/>
    </row>
    <row r="1655" spans="4:4" ht="12.75">
      <c r="D1655" s="18"/>
    </row>
    <row r="1656" spans="4:4" ht="12.75">
      <c r="D1656" s="18"/>
    </row>
    <row r="1657" spans="4:4" ht="12.75">
      <c r="D1657" s="18"/>
    </row>
    <row r="1658" spans="4:4" ht="12.75">
      <c r="D1658" s="18"/>
    </row>
    <row r="1659" spans="4:4" ht="12.75">
      <c r="D1659" s="18"/>
    </row>
    <row r="1660" spans="4:4" ht="12.75">
      <c r="D1660" s="18"/>
    </row>
    <row r="1661" spans="4:4" ht="12.75">
      <c r="D1661" s="18"/>
    </row>
    <row r="1662" spans="4:4" ht="12.75">
      <c r="D1662" s="18"/>
    </row>
    <row r="1663" spans="4:4" ht="12.75">
      <c r="D1663" s="18"/>
    </row>
    <row r="1664" spans="4:4" ht="12.75">
      <c r="D1664" s="18"/>
    </row>
    <row r="1665" spans="4:4" ht="12.75">
      <c r="D1665" s="18"/>
    </row>
    <row r="1666" spans="4:4" ht="12.75">
      <c r="D1666" s="18"/>
    </row>
    <row r="1667" spans="4:4" ht="12.75">
      <c r="D1667" s="18"/>
    </row>
    <row r="1668" spans="4:4" ht="12.75">
      <c r="D1668" s="18"/>
    </row>
    <row r="1669" spans="4:4" ht="12.75">
      <c r="D1669" s="18"/>
    </row>
    <row r="1670" spans="4:4" ht="12.75">
      <c r="D1670" s="18"/>
    </row>
    <row r="1671" spans="4:4" ht="12.75">
      <c r="D1671" s="18"/>
    </row>
    <row r="1672" spans="4:4" ht="12.75">
      <c r="D1672" s="18"/>
    </row>
    <row r="1673" spans="4:4" ht="12.75">
      <c r="D1673" s="18"/>
    </row>
    <row r="1674" spans="4:4" ht="12.75">
      <c r="D1674" s="18"/>
    </row>
    <row r="1675" spans="4:4" ht="12.75">
      <c r="D1675" s="18"/>
    </row>
    <row r="1676" spans="4:4" ht="12.75">
      <c r="D1676" s="18"/>
    </row>
    <row r="1677" spans="4:4" ht="12.75">
      <c r="D1677" s="18"/>
    </row>
    <row r="1678" spans="4:4" ht="12.75">
      <c r="D1678" s="18"/>
    </row>
    <row r="1679" spans="4:4" ht="12.75">
      <c r="D1679" s="18"/>
    </row>
    <row r="1680" spans="4:4" ht="12.75">
      <c r="D1680" s="18"/>
    </row>
    <row r="1681" spans="4:4" ht="12.75">
      <c r="D1681" s="18"/>
    </row>
    <row r="1682" spans="4:4" ht="12.75">
      <c r="D1682" s="18"/>
    </row>
    <row r="1683" spans="4:4" ht="12.75">
      <c r="D1683" s="18"/>
    </row>
    <row r="1684" spans="4:4" ht="12.75">
      <c r="D1684" s="18"/>
    </row>
    <row r="1685" spans="4:4" ht="12.75">
      <c r="D1685" s="18"/>
    </row>
    <row r="1686" spans="4:4" ht="12.75">
      <c r="D1686" s="18"/>
    </row>
    <row r="1687" spans="4:4" ht="12.75">
      <c r="D1687" s="18"/>
    </row>
    <row r="1688" spans="4:4" ht="12.75">
      <c r="D1688" s="18"/>
    </row>
    <row r="1689" spans="4:4" ht="12.75">
      <c r="D1689" s="18"/>
    </row>
    <row r="1690" spans="4:4" ht="12.75">
      <c r="D1690" s="18"/>
    </row>
    <row r="1691" spans="4:4" ht="12.75">
      <c r="D1691" s="18"/>
    </row>
    <row r="1692" spans="4:4" ht="12.75">
      <c r="D1692" s="18"/>
    </row>
    <row r="1693" spans="4:4" ht="12.75">
      <c r="D1693" s="18"/>
    </row>
    <row r="1694" spans="4:4" ht="12.75">
      <c r="D1694" s="18"/>
    </row>
    <row r="1695" spans="4:4" ht="12.75">
      <c r="D1695" s="18"/>
    </row>
    <row r="1696" spans="4:4" ht="12.75">
      <c r="D1696" s="18"/>
    </row>
    <row r="1697" spans="4:4" ht="12.75">
      <c r="D1697" s="18"/>
    </row>
    <row r="1698" spans="4:4" ht="12.75">
      <c r="D1698" s="18"/>
    </row>
    <row r="1699" spans="4:4" ht="12.75">
      <c r="D1699" s="18"/>
    </row>
    <row r="1700" spans="4:4" ht="12.75">
      <c r="D1700" s="18"/>
    </row>
    <row r="1701" spans="4:4" ht="12.75">
      <c r="D1701" s="18"/>
    </row>
    <row r="1702" spans="4:4" ht="12.75">
      <c r="D1702" s="18"/>
    </row>
    <row r="1703" spans="4:4" ht="12.75">
      <c r="D1703" s="18"/>
    </row>
    <row r="1704" spans="4:4" ht="12.75">
      <c r="D1704" s="18"/>
    </row>
    <row r="1705" spans="4:4" ht="12.75">
      <c r="D1705" s="18"/>
    </row>
    <row r="1706" spans="4:4" ht="12.75">
      <c r="D1706" s="18"/>
    </row>
    <row r="1707" spans="4:4" ht="12.75">
      <c r="D1707" s="18"/>
    </row>
    <row r="1708" spans="4:4" ht="12.75">
      <c r="D1708" s="18"/>
    </row>
    <row r="1709" spans="4:4" ht="12.75">
      <c r="D1709" s="18"/>
    </row>
    <row r="1710" spans="4:4" ht="12.75">
      <c r="D1710" s="18"/>
    </row>
    <row r="1711" spans="4:4" ht="12.75">
      <c r="D1711" s="18"/>
    </row>
    <row r="1712" spans="4:4" ht="12.75">
      <c r="D1712" s="18"/>
    </row>
    <row r="1713" spans="4:4" ht="12.75">
      <c r="D1713" s="18"/>
    </row>
    <row r="1714" spans="4:4" ht="12.75">
      <c r="D1714" s="18"/>
    </row>
    <row r="1715" spans="4:4" ht="12.75">
      <c r="D1715" s="18"/>
    </row>
    <row r="1716" spans="4:4" ht="12.75">
      <c r="D1716" s="18"/>
    </row>
    <row r="1717" spans="4:4" ht="12.75">
      <c r="D1717" s="18"/>
    </row>
    <row r="1718" spans="4:4" ht="12.75">
      <c r="D1718" s="18"/>
    </row>
    <row r="1719" spans="4:4" ht="12.75">
      <c r="D1719" s="18"/>
    </row>
    <row r="1720" spans="4:4" ht="12.75">
      <c r="D1720" s="18"/>
    </row>
    <row r="1721" spans="4:4" ht="12.75">
      <c r="D1721" s="18"/>
    </row>
    <row r="1722" spans="4:4" ht="12.75">
      <c r="D1722" s="18"/>
    </row>
    <row r="1723" spans="4:4" ht="12.75">
      <c r="D1723" s="18"/>
    </row>
    <row r="1724" spans="4:4" ht="12.75">
      <c r="D1724" s="18"/>
    </row>
    <row r="1725" spans="4:4" ht="12.75">
      <c r="D1725" s="18"/>
    </row>
    <row r="1726" spans="4:4" ht="12.75">
      <c r="D1726" s="18"/>
    </row>
    <row r="1727" spans="4:4" ht="12.75">
      <c r="D1727" s="18"/>
    </row>
    <row r="1728" spans="4:4" ht="12.75">
      <c r="D1728" s="18"/>
    </row>
    <row r="1729" spans="4:4" ht="12.75">
      <c r="D1729" s="18"/>
    </row>
    <row r="1730" spans="4:4" ht="12.75">
      <c r="D1730" s="18"/>
    </row>
    <row r="1731" spans="4:4" ht="12.75">
      <c r="D1731" s="18"/>
    </row>
    <row r="1732" spans="4:4" ht="12.75">
      <c r="D1732" s="18"/>
    </row>
    <row r="1733" spans="4:4" ht="12.75">
      <c r="D1733" s="18"/>
    </row>
    <row r="1734" spans="4:4" ht="12.75">
      <c r="D1734" s="18"/>
    </row>
    <row r="1735" spans="4:4" ht="12.75">
      <c r="D1735" s="18"/>
    </row>
    <row r="1736" spans="4:4" ht="12.75">
      <c r="D1736" s="18"/>
    </row>
    <row r="1737" spans="4:4" ht="12.75">
      <c r="D1737" s="18"/>
    </row>
    <row r="1738" spans="4:4" ht="12.75">
      <c r="D1738" s="18"/>
    </row>
    <row r="1739" spans="4:4" ht="12.75">
      <c r="D1739" s="18"/>
    </row>
    <row r="1740" spans="4:4" ht="12.75">
      <c r="D1740" s="18"/>
    </row>
    <row r="1741" spans="4:4" ht="12.75">
      <c r="D1741" s="18"/>
    </row>
    <row r="1742" spans="4:4" ht="12.75">
      <c r="D1742" s="18"/>
    </row>
    <row r="1743" spans="4:4" ht="12.75">
      <c r="D1743" s="18"/>
    </row>
    <row r="1744" spans="4:4" ht="12.75">
      <c r="D1744" s="18"/>
    </row>
    <row r="1745" spans="4:4" ht="12.75">
      <c r="D1745" s="18"/>
    </row>
    <row r="1746" spans="4:4" ht="12.75">
      <c r="D1746" s="18"/>
    </row>
    <row r="1747" spans="4:4" ht="12.75">
      <c r="D1747" s="18"/>
    </row>
    <row r="1748" spans="4:4" ht="12.75">
      <c r="D1748" s="18"/>
    </row>
    <row r="1749" spans="4:4" ht="12.75">
      <c r="D1749" s="18"/>
    </row>
    <row r="1750" spans="4:4" ht="12.75">
      <c r="D1750" s="18"/>
    </row>
    <row r="1751" spans="4:4" ht="12.75">
      <c r="D1751" s="18"/>
    </row>
    <row r="1752" spans="4:4" ht="12.75">
      <c r="D1752" s="18"/>
    </row>
    <row r="1753" spans="4:4" ht="12.75">
      <c r="D1753" s="18"/>
    </row>
    <row r="1754" spans="4:4" ht="12.75">
      <c r="D1754" s="18"/>
    </row>
    <row r="1755" spans="4:4" ht="12.75">
      <c r="D1755" s="18"/>
    </row>
    <row r="1756" spans="4:4" ht="12.75">
      <c r="D1756" s="18"/>
    </row>
    <row r="1757" spans="4:4" ht="12.75">
      <c r="D1757" s="18"/>
    </row>
    <row r="1758" spans="4:4" ht="12.75">
      <c r="D1758" s="18"/>
    </row>
    <row r="1759" spans="4:4" ht="12.75">
      <c r="D1759" s="18"/>
    </row>
    <row r="1760" spans="4:4" ht="12.75">
      <c r="D1760" s="18"/>
    </row>
    <row r="1761" spans="4:4" ht="12.75">
      <c r="D1761" s="18"/>
    </row>
    <row r="1762" spans="4:4" ht="12.75">
      <c r="D1762" s="18"/>
    </row>
    <row r="1763" spans="4:4" ht="12.75">
      <c r="D1763" s="18"/>
    </row>
    <row r="1764" spans="4:4" ht="12.75">
      <c r="D1764" s="18"/>
    </row>
    <row r="1765" spans="4:4" ht="12.75">
      <c r="D1765" s="18"/>
    </row>
    <row r="1766" spans="4:4" ht="12.75">
      <c r="D1766" s="18"/>
    </row>
    <row r="1767" spans="4:4" ht="12.75">
      <c r="D1767" s="18"/>
    </row>
    <row r="1768" spans="4:4" ht="12.75">
      <c r="D1768" s="18"/>
    </row>
    <row r="1769" spans="4:4" ht="12.75">
      <c r="D1769" s="18"/>
    </row>
    <row r="1770" spans="4:4" ht="12.75">
      <c r="D1770" s="18"/>
    </row>
    <row r="1771" spans="4:4" ht="12.75">
      <c r="D1771" s="18"/>
    </row>
    <row r="1772" spans="4:4" ht="12.75">
      <c r="D1772" s="18"/>
    </row>
    <row r="1773" spans="4:4" ht="12.75">
      <c r="D1773" s="18"/>
    </row>
    <row r="1774" spans="4:4" ht="12.75">
      <c r="D1774" s="18"/>
    </row>
    <row r="1775" spans="4:4" ht="12.75">
      <c r="D1775" s="18"/>
    </row>
    <row r="1776" spans="4:4" ht="12.75">
      <c r="D1776" s="18"/>
    </row>
    <row r="1777" spans="4:4" ht="12.75">
      <c r="D1777" s="18"/>
    </row>
    <row r="1778" spans="4:4" ht="12.75">
      <c r="D1778" s="18"/>
    </row>
    <row r="1779" spans="4:4" ht="12.75">
      <c r="D1779" s="18"/>
    </row>
    <row r="1780" spans="4:4" ht="12.75">
      <c r="D1780" s="18"/>
    </row>
    <row r="1781" spans="4:4" ht="12.75">
      <c r="D1781" s="18"/>
    </row>
    <row r="1782" spans="4:4" ht="12.75">
      <c r="D1782" s="18"/>
    </row>
    <row r="1783" spans="4:4" ht="12.75">
      <c r="D1783" s="18"/>
    </row>
    <row r="1784" spans="4:4" ht="12.75">
      <c r="D1784" s="18"/>
    </row>
    <row r="1785" spans="4:4" ht="12.75">
      <c r="D1785" s="18"/>
    </row>
    <row r="1786" spans="4:4" ht="12.75">
      <c r="D1786" s="18"/>
    </row>
    <row r="1787" spans="4:4" ht="12.75">
      <c r="D1787" s="18"/>
    </row>
    <row r="1788" spans="4:4" ht="12.75">
      <c r="D1788" s="18"/>
    </row>
    <row r="1789" spans="4:4" ht="12.75">
      <c r="D1789" s="18"/>
    </row>
    <row r="1790" spans="4:4" ht="12.75">
      <c r="D1790" s="18"/>
    </row>
    <row r="1791" spans="4:4" ht="12.75">
      <c r="D1791" s="18"/>
    </row>
    <row r="1792" spans="4:4" ht="12.75">
      <c r="D1792" s="18"/>
    </row>
    <row r="1793" spans="4:4" ht="12.75">
      <c r="D1793" s="18"/>
    </row>
    <row r="1794" spans="4:4" ht="12.75">
      <c r="D1794" s="18"/>
    </row>
    <row r="1795" spans="4:4" ht="12.75">
      <c r="D1795" s="18"/>
    </row>
    <row r="1796" spans="4:4" ht="12.75">
      <c r="D1796" s="18"/>
    </row>
    <row r="1797" spans="4:4" ht="12.75">
      <c r="D1797" s="18"/>
    </row>
    <row r="1798" spans="4:4" ht="12.75">
      <c r="D1798" s="18"/>
    </row>
    <row r="1799" spans="4:4" ht="12.75">
      <c r="D1799" s="18"/>
    </row>
    <row r="1800" spans="4:4" ht="12.75">
      <c r="D1800" s="18"/>
    </row>
    <row r="1801" spans="4:4" ht="12.75">
      <c r="D1801" s="18"/>
    </row>
    <row r="1802" spans="4:4" ht="12.75">
      <c r="D1802" s="18"/>
    </row>
    <row r="1803" spans="4:4" ht="12.75">
      <c r="D1803" s="18"/>
    </row>
    <row r="1804" spans="4:4" ht="12.75">
      <c r="D1804" s="18"/>
    </row>
    <row r="1805" spans="4:4" ht="12.75">
      <c r="D1805" s="18"/>
    </row>
    <row r="1806" spans="4:4" ht="12.75">
      <c r="D1806" s="18"/>
    </row>
    <row r="1807" spans="4:4" ht="12.75">
      <c r="D1807" s="18"/>
    </row>
    <row r="1808" spans="4:4" ht="12.75">
      <c r="D1808" s="18"/>
    </row>
    <row r="1809" spans="4:4" ht="12.75">
      <c r="D1809" s="18"/>
    </row>
    <row r="1810" spans="4:4" ht="12.75">
      <c r="D1810" s="18"/>
    </row>
    <row r="1811" spans="4:4" ht="12.75">
      <c r="D1811" s="18"/>
    </row>
    <row r="1812" spans="4:4" ht="12.75">
      <c r="D1812" s="18"/>
    </row>
    <row r="1813" spans="4:4" ht="12.75">
      <c r="D1813" s="18"/>
    </row>
    <row r="1814" spans="4:4" ht="12.75">
      <c r="D1814" s="18"/>
    </row>
    <row r="1815" spans="4:4" ht="12.75">
      <c r="D1815" s="18"/>
    </row>
    <row r="1816" spans="4:4" ht="12.75">
      <c r="D1816" s="18"/>
    </row>
    <row r="1817" spans="4:4" ht="12.75">
      <c r="D1817" s="18"/>
    </row>
    <row r="1818" spans="4:4" ht="12.75">
      <c r="D1818" s="18"/>
    </row>
    <row r="1819" spans="4:4" ht="12.75">
      <c r="D1819" s="18"/>
    </row>
    <row r="1820" spans="4:4" ht="12.75">
      <c r="D1820" s="18"/>
    </row>
    <row r="1821" spans="4:4" ht="12.75">
      <c r="D1821" s="18"/>
    </row>
    <row r="1822" spans="4:4" ht="12.75">
      <c r="D1822" s="18"/>
    </row>
    <row r="1823" spans="4:4" ht="12.75">
      <c r="D1823" s="18"/>
    </row>
    <row r="1824" spans="4:4" ht="12.75">
      <c r="D1824" s="18"/>
    </row>
    <row r="1825" spans="4:4" ht="12.75">
      <c r="D1825" s="18"/>
    </row>
    <row r="1826" spans="4:4" ht="12.75">
      <c r="D1826" s="18"/>
    </row>
    <row r="1827" spans="4:4" ht="12.75">
      <c r="D1827" s="18"/>
    </row>
    <row r="1828" spans="4:4" ht="12.75">
      <c r="D1828" s="18"/>
    </row>
    <row r="1829" spans="4:4" ht="12.75">
      <c r="D1829" s="18"/>
    </row>
    <row r="1830" spans="4:4" ht="12.75">
      <c r="D1830" s="18"/>
    </row>
    <row r="1831" spans="4:4" ht="12.75">
      <c r="D1831" s="18"/>
    </row>
    <row r="1832" spans="4:4" ht="12.75">
      <c r="D1832" s="18"/>
    </row>
    <row r="1833" spans="4:4" ht="12.75">
      <c r="D1833" s="18"/>
    </row>
    <row r="1834" spans="4:4" ht="12.75">
      <c r="D1834" s="18"/>
    </row>
    <row r="1835" spans="4:4" ht="12.75">
      <c r="D1835" s="18"/>
    </row>
    <row r="1836" spans="4:4" ht="12.75">
      <c r="D1836" s="18"/>
    </row>
    <row r="1837" spans="4:4" ht="12.75">
      <c r="D1837" s="18"/>
    </row>
    <row r="1838" spans="4:4" ht="12.75">
      <c r="D1838" s="18"/>
    </row>
    <row r="1839" spans="4:4" ht="12.75">
      <c r="D1839" s="18"/>
    </row>
    <row r="1840" spans="4:4" ht="12.75">
      <c r="D1840" s="18"/>
    </row>
    <row r="1841" spans="4:4" ht="12.75">
      <c r="D1841" s="18"/>
    </row>
    <row r="1842" spans="4:4" ht="12.75">
      <c r="D1842" s="18"/>
    </row>
    <row r="1843" spans="4:4" ht="12.75">
      <c r="D1843" s="18"/>
    </row>
    <row r="1844" spans="4:4" ht="12.75">
      <c r="D1844" s="18"/>
    </row>
    <row r="1845" spans="4:4" ht="12.75">
      <c r="D1845" s="18"/>
    </row>
    <row r="1846" spans="4:4" ht="12.75">
      <c r="D1846" s="18"/>
    </row>
    <row r="1847" spans="4:4" ht="12.75">
      <c r="D1847" s="18"/>
    </row>
    <row r="1848" spans="4:4" ht="12.75">
      <c r="D1848" s="18"/>
    </row>
    <row r="1849" spans="4:4" ht="12.75">
      <c r="D1849" s="18"/>
    </row>
    <row r="1850" spans="4:4" ht="12.75">
      <c r="D1850" s="18"/>
    </row>
    <row r="1851" spans="4:4" ht="12.75">
      <c r="D1851" s="18"/>
    </row>
    <row r="1852" spans="4:4" ht="12.75">
      <c r="D1852" s="18"/>
    </row>
    <row r="1853" spans="4:4" ht="12.75">
      <c r="D1853" s="18"/>
    </row>
    <row r="1854" spans="4:4" ht="12.75">
      <c r="D1854" s="18"/>
    </row>
    <row r="1855" spans="4:4" ht="12.75">
      <c r="D1855" s="18"/>
    </row>
    <row r="1856" spans="4:4" ht="12.75">
      <c r="D1856" s="18"/>
    </row>
    <row r="1857" spans="4:4" ht="12.75">
      <c r="D1857" s="18"/>
    </row>
    <row r="1858" spans="4:4" ht="12.75">
      <c r="D1858" s="18"/>
    </row>
    <row r="1859" spans="4:4" ht="12.75">
      <c r="D1859" s="18"/>
    </row>
    <row r="1860" spans="4:4" ht="12.75">
      <c r="D1860" s="18"/>
    </row>
    <row r="1861" spans="4:4" ht="12.75">
      <c r="D1861" s="18"/>
    </row>
    <row r="1862" spans="4:4" ht="12.75">
      <c r="D1862" s="18"/>
    </row>
    <row r="1863" spans="4:4" ht="12.75">
      <c r="D1863" s="18"/>
    </row>
    <row r="1864" spans="4:4" ht="12.75">
      <c r="D1864" s="18"/>
    </row>
    <row r="1865" spans="4:4" ht="12.75">
      <c r="D1865" s="18"/>
    </row>
    <row r="1866" spans="4:4" ht="12.75">
      <c r="D1866" s="18"/>
    </row>
    <row r="1867" spans="4:4" ht="12.75">
      <c r="D1867" s="18"/>
    </row>
    <row r="1868" spans="4:4" ht="12.75">
      <c r="D1868" s="18"/>
    </row>
    <row r="1869" spans="4:4" ht="12.75">
      <c r="D1869" s="18"/>
    </row>
    <row r="1870" spans="4:4" ht="12.75">
      <c r="D1870" s="18"/>
    </row>
    <row r="1871" spans="4:4" ht="12.75">
      <c r="D1871" s="18"/>
    </row>
    <row r="1872" spans="4:4" ht="12.75">
      <c r="D1872" s="18"/>
    </row>
    <row r="1873" spans="4:4" ht="12.75">
      <c r="D1873" s="18"/>
    </row>
    <row r="1874" spans="4:4" ht="12.75">
      <c r="D1874" s="18"/>
    </row>
    <row r="1875" spans="4:4" ht="12.75">
      <c r="D1875" s="18"/>
    </row>
    <row r="1876" spans="4:4" ht="12.75">
      <c r="D1876" s="18"/>
    </row>
    <row r="1877" spans="4:4" ht="12.75">
      <c r="D1877" s="18"/>
    </row>
    <row r="1878" spans="4:4" ht="12.75">
      <c r="D1878" s="18"/>
    </row>
    <row r="1879" spans="4:4" ht="12.75">
      <c r="D1879" s="18"/>
    </row>
    <row r="1880" spans="4:4" ht="12.75">
      <c r="D1880" s="18"/>
    </row>
    <row r="1881" spans="4:4" ht="12.75">
      <c r="D1881" s="18"/>
    </row>
    <row r="1882" spans="4:4" ht="12.75">
      <c r="D1882" s="18"/>
    </row>
    <row r="1883" spans="4:4" ht="12.75">
      <c r="D1883" s="18"/>
    </row>
    <row r="1884" spans="4:4" ht="12.75">
      <c r="D1884" s="18"/>
    </row>
    <row r="1885" spans="4:4" ht="12.75">
      <c r="D1885" s="18"/>
    </row>
    <row r="1886" spans="4:4" ht="12.75">
      <c r="D1886" s="18"/>
    </row>
    <row r="1887" spans="4:4" ht="12.75">
      <c r="D1887" s="18"/>
    </row>
    <row r="1888" spans="4:4" ht="12.75">
      <c r="D1888" s="18"/>
    </row>
    <row r="1889" spans="4:4" ht="12.75">
      <c r="D1889" s="18"/>
    </row>
    <row r="1890" spans="4:4" ht="12.75">
      <c r="D1890" s="18"/>
    </row>
    <row r="1891" spans="4:4" ht="12.75">
      <c r="D1891" s="18"/>
    </row>
    <row r="1892" spans="4:4" ht="12.75">
      <c r="D1892" s="18"/>
    </row>
    <row r="1893" spans="4:4" ht="12.75">
      <c r="D1893" s="18"/>
    </row>
    <row r="1894" spans="4:4" ht="12.75">
      <c r="D1894" s="18"/>
    </row>
    <row r="1895" spans="4:4" ht="12.75">
      <c r="D1895" s="18"/>
    </row>
    <row r="1896" spans="4:4" ht="12.75">
      <c r="D1896" s="18"/>
    </row>
    <row r="1897" spans="4:4" ht="12.75">
      <c r="D1897" s="18"/>
    </row>
    <row r="1898" spans="4:4" ht="12.75">
      <c r="D1898" s="18"/>
    </row>
    <row r="1899" spans="4:4" ht="12.75">
      <c r="D1899" s="18"/>
    </row>
    <row r="1900" spans="4:4" ht="12.75">
      <c r="D1900" s="18"/>
    </row>
    <row r="1901" spans="4:4" ht="12.75">
      <c r="D1901" s="18"/>
    </row>
    <row r="1902" spans="4:4" ht="12.75">
      <c r="D1902" s="18"/>
    </row>
    <row r="1903" spans="4:4" ht="12.75">
      <c r="D1903" s="18"/>
    </row>
    <row r="1904" spans="4:4" ht="12.75">
      <c r="D1904" s="18"/>
    </row>
    <row r="1905" spans="4:4" ht="12.75">
      <c r="D1905" s="18"/>
    </row>
    <row r="1906" spans="4:4" ht="12.75">
      <c r="D1906" s="18"/>
    </row>
    <row r="1907" spans="4:4" ht="12.75">
      <c r="D1907" s="18"/>
    </row>
    <row r="1908" spans="4:4" ht="12.75">
      <c r="D1908" s="18"/>
    </row>
    <row r="1909" spans="4:4" ht="12.75">
      <c r="D1909" s="18"/>
    </row>
    <row r="1910" spans="4:4" ht="12.75">
      <c r="D1910" s="18"/>
    </row>
    <row r="1911" spans="4:4" ht="12.75">
      <c r="D1911" s="18"/>
    </row>
    <row r="1912" spans="4:4" ht="12.75">
      <c r="D1912" s="18"/>
    </row>
    <row r="1913" spans="4:4" ht="12.75">
      <c r="D1913" s="18"/>
    </row>
    <row r="1914" spans="4:4" ht="12.75">
      <c r="D1914" s="18"/>
    </row>
    <row r="1915" spans="4:4" ht="12.75">
      <c r="D1915" s="18"/>
    </row>
    <row r="1916" spans="4:4" ht="12.75">
      <c r="D1916" s="18"/>
    </row>
    <row r="1917" spans="4:4" ht="12.75">
      <c r="D1917" s="18"/>
    </row>
    <row r="1918" spans="4:4" ht="12.75">
      <c r="D1918" s="18"/>
    </row>
    <row r="1919" spans="4:4" ht="12.75">
      <c r="D1919" s="18"/>
    </row>
    <row r="1920" spans="4:4" ht="12.75">
      <c r="D1920" s="18"/>
    </row>
    <row r="1921" spans="4:4" ht="12.75">
      <c r="D1921" s="18"/>
    </row>
    <row r="1922" spans="4:4" ht="12.75">
      <c r="D1922" s="18"/>
    </row>
    <row r="1923" spans="4:4" ht="12.75">
      <c r="D1923" s="18"/>
    </row>
    <row r="1924" spans="4:4" ht="12.75">
      <c r="D1924" s="18"/>
    </row>
    <row r="1925" spans="4:4" ht="12.75">
      <c r="D1925" s="18"/>
    </row>
    <row r="1926" spans="4:4" ht="12.75">
      <c r="D1926" s="18"/>
    </row>
    <row r="1927" spans="4:4" ht="12.75">
      <c r="D1927" s="18"/>
    </row>
    <row r="1928" spans="4:4" ht="12.75">
      <c r="D1928" s="18"/>
    </row>
    <row r="1929" spans="4:4" ht="12.75">
      <c r="D1929" s="18"/>
    </row>
    <row r="1930" spans="4:4" ht="12.75">
      <c r="D1930" s="18"/>
    </row>
    <row r="1931" spans="4:4" ht="12.75">
      <c r="D1931" s="18"/>
    </row>
    <row r="1932" spans="4:4" ht="12.75">
      <c r="D1932" s="18"/>
    </row>
    <row r="1933" spans="4:4" ht="12.75">
      <c r="D1933" s="18"/>
    </row>
    <row r="1934" spans="4:4" ht="12.75">
      <c r="D1934" s="18"/>
    </row>
    <row r="1935" spans="4:4" ht="12.75">
      <c r="D1935" s="18"/>
    </row>
    <row r="1936" spans="4:4" ht="12.75">
      <c r="D1936" s="18"/>
    </row>
    <row r="1937" spans="4:4" ht="12.75">
      <c r="D1937" s="18"/>
    </row>
    <row r="1938" spans="4:4" ht="12.75">
      <c r="D1938" s="18"/>
    </row>
    <row r="1939" spans="4:4" ht="12.75">
      <c r="D1939" s="18"/>
    </row>
    <row r="1940" spans="4:4" ht="12.75">
      <c r="D1940" s="18"/>
    </row>
    <row r="1941" spans="4:4" ht="12.75">
      <c r="D1941" s="18"/>
    </row>
    <row r="1942" spans="4:4" ht="12.75">
      <c r="D1942" s="18"/>
    </row>
    <row r="1943" spans="4:4" ht="12.75">
      <c r="D1943" s="18"/>
    </row>
    <row r="1944" spans="4:4" ht="12.75">
      <c r="D1944" s="18"/>
    </row>
    <row r="1945" spans="4:4" ht="12.75">
      <c r="D1945" s="18"/>
    </row>
    <row r="1946" spans="4:4" ht="12.75">
      <c r="D1946" s="18"/>
    </row>
    <row r="1947" spans="4:4" ht="12.75">
      <c r="D1947" s="18"/>
    </row>
    <row r="1948" spans="4:4" ht="12.75">
      <c r="D1948" s="18"/>
    </row>
    <row r="1949" spans="4:4" ht="12.75">
      <c r="D1949" s="18"/>
    </row>
    <row r="1950" spans="4:4" ht="12.75">
      <c r="D1950" s="18"/>
    </row>
    <row r="1951" spans="4:4" ht="12.75">
      <c r="D1951" s="18"/>
    </row>
    <row r="1952" spans="4:4" ht="12.75">
      <c r="D1952" s="18"/>
    </row>
    <row r="1953" spans="4:4" ht="12.75">
      <c r="D1953" s="18"/>
    </row>
    <row r="1954" spans="4:4" ht="12.75">
      <c r="D1954" s="18"/>
    </row>
    <row r="1955" spans="4:4" ht="12.75">
      <c r="D1955" s="18"/>
    </row>
    <row r="1956" spans="4:4" ht="12.75">
      <c r="D1956" s="18"/>
    </row>
    <row r="1957" spans="4:4" ht="12.75">
      <c r="D1957" s="18"/>
    </row>
    <row r="1958" spans="4:4" ht="12.75">
      <c r="D1958" s="18"/>
    </row>
    <row r="1959" spans="4:4" ht="12.75">
      <c r="D1959" s="18"/>
    </row>
    <row r="1960" spans="4:4" ht="12.75">
      <c r="D1960" s="18"/>
    </row>
    <row r="1961" spans="4:4" ht="12.75">
      <c r="D1961" s="18"/>
    </row>
    <row r="1962" spans="4:4" ht="12.75">
      <c r="D1962" s="18"/>
    </row>
    <row r="1963" spans="4:4" ht="12.75">
      <c r="D1963" s="18"/>
    </row>
    <row r="1964" spans="4:4" ht="12.75">
      <c r="D1964" s="18"/>
    </row>
    <row r="1965" spans="4:4" ht="12.75">
      <c r="D1965" s="18"/>
    </row>
    <row r="1966" spans="4:4" ht="12.75">
      <c r="D1966" s="18"/>
    </row>
    <row r="1967" spans="4:4" ht="12.75">
      <c r="D1967" s="18"/>
    </row>
    <row r="1968" spans="4:4" ht="12.75">
      <c r="D1968" s="18"/>
    </row>
    <row r="1969" spans="4:4" ht="12.75">
      <c r="D1969" s="18"/>
    </row>
    <row r="1970" spans="4:4" ht="12.75">
      <c r="D1970" s="18"/>
    </row>
    <row r="1971" spans="4:4" ht="12.75">
      <c r="D1971" s="18"/>
    </row>
    <row r="1972" spans="4:4" ht="12.75">
      <c r="D1972" s="18"/>
    </row>
    <row r="1973" spans="4:4" ht="12.75">
      <c r="D1973" s="18"/>
    </row>
    <row r="1974" spans="4:4" ht="12.75">
      <c r="D1974" s="18"/>
    </row>
    <row r="1975" spans="4:4" ht="12.75">
      <c r="D1975" s="18"/>
    </row>
    <row r="1976" spans="4:4" ht="12.75">
      <c r="D1976" s="18"/>
    </row>
    <row r="1977" spans="4:4" ht="12.75">
      <c r="D1977" s="18"/>
    </row>
    <row r="1978" spans="4:4" ht="12.75">
      <c r="D1978" s="18"/>
    </row>
    <row r="1979" spans="4:4" ht="12.75">
      <c r="D1979" s="18"/>
    </row>
    <row r="1980" spans="4:4" ht="12.75">
      <c r="D1980" s="18"/>
    </row>
    <row r="1981" spans="4:4" ht="12.75">
      <c r="D1981" s="18"/>
    </row>
    <row r="1982" spans="4:4" ht="12.75">
      <c r="D1982" s="18"/>
    </row>
    <row r="1983" spans="4:4" ht="12.75">
      <c r="D1983" s="18"/>
    </row>
    <row r="1984" spans="4:4" ht="12.75">
      <c r="D1984" s="18"/>
    </row>
    <row r="1985" spans="4:4" ht="12.75">
      <c r="D1985" s="18"/>
    </row>
    <row r="1986" spans="4:4" ht="12.75">
      <c r="D1986" s="18"/>
    </row>
  </sheetData>
  <conditionalFormatting sqref="F1:F3 F181 F321 F457 F577 F704 F816 F949 F1079 F1238 F1370">
    <cfRule type="notContainsBlanks" dxfId="1" priority="1">
      <formula>LEN(TRIM(F1))&gt;0</formula>
    </cfRule>
  </conditionalFormatting>
  <hyperlinks>
    <hyperlink ref="A1" location="'Samson West 2025'!A1370:K1517" display="Jump to Current Month 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U1976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43.140625" customWidth="1"/>
    <col min="2" max="2" width="19.7109375" customWidth="1"/>
    <col min="3" max="3" width="17.28515625" customWidth="1"/>
    <col min="5" max="5" width="23.140625" customWidth="1"/>
    <col min="7" max="7" width="15.42578125" customWidth="1"/>
    <col min="8" max="8" width="43.42578125" customWidth="1"/>
    <col min="9" max="9" width="20.42578125" customWidth="1"/>
    <col min="12" max="12" width="14.28515625" customWidth="1"/>
    <col min="16" max="16" width="17.42578125" customWidth="1"/>
    <col min="17" max="17" width="17.140625" customWidth="1"/>
    <col min="18" max="18" width="18.42578125" customWidth="1"/>
  </cols>
  <sheetData>
    <row r="1" spans="1:20">
      <c r="A1" s="42"/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2100</v>
      </c>
      <c r="I1" s="43" t="s">
        <v>2101</v>
      </c>
      <c r="L1" s="7" t="s">
        <v>2102</v>
      </c>
    </row>
    <row r="2" spans="1:20">
      <c r="B2" s="3"/>
      <c r="C2" s="3"/>
      <c r="D2" s="3"/>
      <c r="E2" s="3"/>
      <c r="F2" s="3"/>
      <c r="G2" s="3"/>
      <c r="H2" s="9">
        <f>SUM(B3+B128+B265+B379+B526+B673+B814+B996+B1123+B1247+B1389+B1501)</f>
        <v>328216100</v>
      </c>
      <c r="L2" s="10">
        <v>259643762</v>
      </c>
      <c r="O2" s="30"/>
    </row>
    <row r="3" spans="1:20">
      <c r="A3" s="11">
        <v>45292</v>
      </c>
      <c r="B3" s="12">
        <f t="shared" ref="B3:C3" si="0">SUM(B4:B127)</f>
        <v>22833700</v>
      </c>
      <c r="C3" s="12">
        <f t="shared" si="0"/>
        <v>366824.75</v>
      </c>
      <c r="D3" s="14"/>
      <c r="E3" s="14"/>
      <c r="F3" s="14"/>
      <c r="G3" s="14"/>
      <c r="H3" s="15"/>
      <c r="I3" s="15"/>
      <c r="J3" s="15"/>
      <c r="K3" s="15"/>
      <c r="L3" s="15"/>
    </row>
    <row r="4" spans="1:20">
      <c r="A4" s="16" t="s">
        <v>2103</v>
      </c>
      <c r="B4" s="2">
        <v>150000</v>
      </c>
      <c r="C4" s="2">
        <f t="shared" ref="C4:C6" si="1">0.0175*B4</f>
        <v>2625.0000000000005</v>
      </c>
      <c r="D4" s="44">
        <v>45293</v>
      </c>
      <c r="E4" s="3" t="s">
        <v>2104</v>
      </c>
      <c r="F4" s="3" t="s">
        <v>28</v>
      </c>
      <c r="G4" s="3"/>
      <c r="I4" s="21" t="s">
        <v>30</v>
      </c>
    </row>
    <row r="5" spans="1:20">
      <c r="A5" s="16" t="s">
        <v>2105</v>
      </c>
      <c r="B5" s="2">
        <v>1500000</v>
      </c>
      <c r="C5" s="2">
        <f t="shared" si="1"/>
        <v>26250.000000000004</v>
      </c>
      <c r="D5" s="44">
        <v>45293</v>
      </c>
      <c r="E5" s="3" t="s">
        <v>231</v>
      </c>
      <c r="F5" s="3" t="s">
        <v>28</v>
      </c>
      <c r="G5" s="3"/>
      <c r="H5" s="16" t="s">
        <v>2106</v>
      </c>
      <c r="I5" s="21" t="s">
        <v>30</v>
      </c>
    </row>
    <row r="6" spans="1:20">
      <c r="A6" s="16" t="s">
        <v>2107</v>
      </c>
      <c r="B6" s="2">
        <v>150000</v>
      </c>
      <c r="C6" s="2">
        <f t="shared" si="1"/>
        <v>2625.0000000000005</v>
      </c>
      <c r="D6" s="44">
        <v>45293</v>
      </c>
      <c r="E6" s="3" t="s">
        <v>231</v>
      </c>
      <c r="F6" s="3" t="s">
        <v>28</v>
      </c>
      <c r="G6" s="3"/>
      <c r="H6" s="16" t="s">
        <v>13</v>
      </c>
      <c r="I6" s="21" t="s">
        <v>30</v>
      </c>
    </row>
    <row r="7" spans="1:20">
      <c r="A7" s="16" t="s">
        <v>2108</v>
      </c>
      <c r="B7" s="2">
        <v>40000</v>
      </c>
      <c r="C7" s="2">
        <f>0.0125*B7</f>
        <v>500</v>
      </c>
      <c r="D7" s="44">
        <v>45293</v>
      </c>
      <c r="E7" s="3" t="s">
        <v>15</v>
      </c>
      <c r="F7" s="3" t="s">
        <v>12</v>
      </c>
      <c r="G7" s="3"/>
      <c r="H7" s="16" t="s">
        <v>54</v>
      </c>
    </row>
    <row r="8" spans="1:20">
      <c r="A8" s="16" t="s">
        <v>2109</v>
      </c>
      <c r="B8" s="2">
        <v>250000</v>
      </c>
      <c r="C8" s="2">
        <f>0.0175*B8</f>
        <v>4375</v>
      </c>
      <c r="D8" s="44">
        <v>45293</v>
      </c>
      <c r="E8" s="3" t="s">
        <v>24</v>
      </c>
      <c r="F8" s="3" t="s">
        <v>28</v>
      </c>
      <c r="G8" s="3"/>
      <c r="H8" s="16" t="s">
        <v>2110</v>
      </c>
      <c r="I8" s="21" t="s">
        <v>30</v>
      </c>
      <c r="S8" s="20"/>
    </row>
    <row r="9" spans="1:20">
      <c r="A9" s="16" t="s">
        <v>2111</v>
      </c>
      <c r="B9" s="2">
        <v>363000</v>
      </c>
      <c r="C9" s="2">
        <f>0.0125*B9</f>
        <v>4537.5</v>
      </c>
      <c r="D9" s="44">
        <v>45294</v>
      </c>
      <c r="E9" s="3" t="s">
        <v>11</v>
      </c>
      <c r="F9" s="3" t="s">
        <v>12</v>
      </c>
      <c r="G9" s="3"/>
      <c r="S9" s="20"/>
      <c r="T9" s="31"/>
    </row>
    <row r="10" spans="1:20">
      <c r="A10" s="16" t="s">
        <v>2112</v>
      </c>
      <c r="B10" s="2">
        <v>30000</v>
      </c>
      <c r="C10" s="2">
        <f t="shared" ref="C10:C11" si="2">0.0175*B10</f>
        <v>525</v>
      </c>
      <c r="D10" s="44">
        <v>45294</v>
      </c>
      <c r="E10" s="3" t="s">
        <v>11</v>
      </c>
      <c r="F10" s="3" t="s">
        <v>28</v>
      </c>
      <c r="G10" s="3"/>
      <c r="I10" s="21" t="s">
        <v>30</v>
      </c>
      <c r="S10" s="20"/>
    </row>
    <row r="11" spans="1:20">
      <c r="A11" s="16" t="s">
        <v>2113</v>
      </c>
      <c r="B11" s="2">
        <v>125000</v>
      </c>
      <c r="C11" s="2">
        <f t="shared" si="2"/>
        <v>2187.5</v>
      </c>
      <c r="D11" s="44">
        <v>45294</v>
      </c>
      <c r="E11" s="3" t="s">
        <v>75</v>
      </c>
      <c r="F11" s="3" t="s">
        <v>28</v>
      </c>
      <c r="G11" s="3"/>
      <c r="I11" s="21" t="s">
        <v>30</v>
      </c>
      <c r="S11" s="20"/>
    </row>
    <row r="12" spans="1:20">
      <c r="A12" s="16" t="s">
        <v>2114</v>
      </c>
      <c r="B12" s="2">
        <v>138000</v>
      </c>
      <c r="C12" s="2">
        <f t="shared" ref="C12:C13" si="3">0.0125*B12</f>
        <v>1725</v>
      </c>
      <c r="D12" s="44">
        <v>45294</v>
      </c>
      <c r="E12" s="3" t="s">
        <v>11</v>
      </c>
      <c r="F12" s="3" t="s">
        <v>12</v>
      </c>
      <c r="G12" s="3"/>
      <c r="S12" s="20"/>
    </row>
    <row r="13" spans="1:20">
      <c r="A13" s="16" t="s">
        <v>32</v>
      </c>
      <c r="B13" s="2">
        <v>18000</v>
      </c>
      <c r="C13" s="2">
        <f t="shared" si="3"/>
        <v>225</v>
      </c>
      <c r="D13" s="44">
        <v>45294</v>
      </c>
      <c r="E13" s="3" t="s">
        <v>15</v>
      </c>
      <c r="F13" s="3" t="s">
        <v>12</v>
      </c>
      <c r="G13" s="3"/>
      <c r="H13" s="16" t="s">
        <v>16</v>
      </c>
      <c r="S13" s="20"/>
    </row>
    <row r="14" spans="1:20">
      <c r="A14" s="16" t="s">
        <v>2115</v>
      </c>
      <c r="B14" s="2">
        <v>10000</v>
      </c>
      <c r="C14" s="2">
        <f>0.0175*B14</f>
        <v>175.00000000000003</v>
      </c>
      <c r="D14" s="44">
        <v>45295</v>
      </c>
      <c r="E14" s="3" t="s">
        <v>15</v>
      </c>
      <c r="F14" s="3" t="s">
        <v>28</v>
      </c>
      <c r="G14" s="3"/>
      <c r="H14" s="16" t="s">
        <v>2116</v>
      </c>
    </row>
    <row r="15" spans="1:20">
      <c r="A15" s="16" t="s">
        <v>2117</v>
      </c>
      <c r="B15" s="17">
        <v>27500</v>
      </c>
      <c r="C15" s="2">
        <f t="shared" ref="C15:C18" si="4">0.0125*B15</f>
        <v>343.75</v>
      </c>
      <c r="D15" s="44">
        <v>45295</v>
      </c>
      <c r="E15" s="3" t="s">
        <v>11</v>
      </c>
      <c r="F15" s="3" t="s">
        <v>12</v>
      </c>
      <c r="G15" s="3"/>
    </row>
    <row r="16" spans="1:20">
      <c r="A16" s="16" t="s">
        <v>2118</v>
      </c>
      <c r="B16" s="17">
        <v>45000</v>
      </c>
      <c r="C16" s="2">
        <f t="shared" si="4"/>
        <v>562.5</v>
      </c>
      <c r="D16" s="44">
        <v>45295</v>
      </c>
      <c r="E16" s="3" t="s">
        <v>11</v>
      </c>
      <c r="F16" s="3" t="s">
        <v>12</v>
      </c>
      <c r="G16" s="3"/>
    </row>
    <row r="17" spans="1:9">
      <c r="A17" s="16" t="s">
        <v>81</v>
      </c>
      <c r="B17" s="17">
        <v>75000</v>
      </c>
      <c r="C17" s="2">
        <f t="shared" si="4"/>
        <v>937.5</v>
      </c>
      <c r="D17" s="44">
        <v>45295</v>
      </c>
      <c r="E17" s="3" t="s">
        <v>11</v>
      </c>
      <c r="F17" s="3" t="s">
        <v>12</v>
      </c>
      <c r="G17" s="3"/>
    </row>
    <row r="18" spans="1:9">
      <c r="A18" s="16" t="s">
        <v>2119</v>
      </c>
      <c r="B18" s="2">
        <v>400000</v>
      </c>
      <c r="C18" s="2">
        <f t="shared" si="4"/>
        <v>5000</v>
      </c>
      <c r="D18" s="44">
        <v>45295</v>
      </c>
      <c r="E18" s="3" t="s">
        <v>2120</v>
      </c>
      <c r="F18" s="3" t="s">
        <v>12</v>
      </c>
      <c r="G18" s="3"/>
    </row>
    <row r="19" spans="1:9">
      <c r="A19" s="16" t="s">
        <v>2121</v>
      </c>
      <c r="B19" s="2">
        <v>150000</v>
      </c>
      <c r="C19" s="2">
        <f t="shared" ref="C19:C29" si="5">0.0175*B19</f>
        <v>2625.0000000000005</v>
      </c>
      <c r="D19" s="44">
        <v>45296</v>
      </c>
      <c r="E19" s="32" t="s">
        <v>60</v>
      </c>
      <c r="F19" s="3" t="s">
        <v>28</v>
      </c>
      <c r="G19" s="3"/>
      <c r="I19" s="21" t="s">
        <v>30</v>
      </c>
    </row>
    <row r="20" spans="1:9">
      <c r="A20" s="16" t="s">
        <v>2122</v>
      </c>
      <c r="B20" s="2">
        <v>250000</v>
      </c>
      <c r="C20" s="2">
        <f t="shared" si="5"/>
        <v>4375</v>
      </c>
      <c r="D20" s="44">
        <v>45296</v>
      </c>
      <c r="E20" s="3" t="s">
        <v>11</v>
      </c>
      <c r="F20" s="3" t="s">
        <v>28</v>
      </c>
      <c r="G20" s="3"/>
      <c r="I20" s="21" t="s">
        <v>30</v>
      </c>
    </row>
    <row r="21" spans="1:9">
      <c r="A21" s="16" t="s">
        <v>2123</v>
      </c>
      <c r="B21" s="2">
        <v>50000</v>
      </c>
      <c r="C21" s="2">
        <f t="shared" si="5"/>
        <v>875.00000000000011</v>
      </c>
      <c r="D21" s="44">
        <v>45299</v>
      </c>
      <c r="E21" s="3" t="s">
        <v>15</v>
      </c>
      <c r="F21" s="3" t="s">
        <v>2124</v>
      </c>
      <c r="G21" s="3"/>
      <c r="H21" s="16" t="s">
        <v>16</v>
      </c>
    </row>
    <row r="22" spans="1:9">
      <c r="A22" s="16" t="s">
        <v>2125</v>
      </c>
      <c r="B22" s="2">
        <v>20000</v>
      </c>
      <c r="C22" s="2">
        <f t="shared" si="5"/>
        <v>350.00000000000006</v>
      </c>
      <c r="D22" s="44">
        <v>45299</v>
      </c>
      <c r="E22" s="3" t="s">
        <v>15</v>
      </c>
      <c r="F22" s="3" t="s">
        <v>28</v>
      </c>
      <c r="G22" s="3"/>
      <c r="H22" s="16" t="s">
        <v>2126</v>
      </c>
      <c r="I22" s="21" t="s">
        <v>30</v>
      </c>
    </row>
    <row r="23" spans="1:9">
      <c r="A23" s="16" t="s">
        <v>2127</v>
      </c>
      <c r="B23" s="2">
        <v>150000</v>
      </c>
      <c r="C23" s="2">
        <f t="shared" si="5"/>
        <v>2625.0000000000005</v>
      </c>
      <c r="D23" s="44">
        <v>45300</v>
      </c>
      <c r="E23" s="3" t="s">
        <v>24</v>
      </c>
      <c r="F23" s="3" t="s">
        <v>28</v>
      </c>
      <c r="G23" s="3"/>
      <c r="H23" s="16" t="s">
        <v>2110</v>
      </c>
      <c r="I23" s="21" t="s">
        <v>30</v>
      </c>
    </row>
    <row r="24" spans="1:9">
      <c r="A24" s="16" t="s">
        <v>2128</v>
      </c>
      <c r="B24" s="2">
        <v>50000</v>
      </c>
      <c r="C24" s="2">
        <f t="shared" si="5"/>
        <v>875.00000000000011</v>
      </c>
      <c r="D24" s="44">
        <v>45300</v>
      </c>
      <c r="E24" s="3" t="s">
        <v>461</v>
      </c>
      <c r="F24" s="3" t="s">
        <v>28</v>
      </c>
      <c r="G24" s="3"/>
      <c r="I24" s="21" t="s">
        <v>30</v>
      </c>
    </row>
    <row r="25" spans="1:9">
      <c r="A25" s="16" t="s">
        <v>2129</v>
      </c>
      <c r="B25" s="2">
        <v>99200</v>
      </c>
      <c r="C25" s="2">
        <f t="shared" si="5"/>
        <v>1736.0000000000002</v>
      </c>
      <c r="D25" s="44">
        <v>45300</v>
      </c>
      <c r="E25" s="3" t="s">
        <v>2130</v>
      </c>
      <c r="F25" s="3" t="s">
        <v>28</v>
      </c>
      <c r="G25" s="3"/>
      <c r="I25" s="21" t="s">
        <v>30</v>
      </c>
    </row>
    <row r="26" spans="1:9">
      <c r="A26" s="16" t="s">
        <v>2131</v>
      </c>
      <c r="B26" s="2">
        <v>75000</v>
      </c>
      <c r="C26" s="2">
        <f t="shared" si="5"/>
        <v>1312.5000000000002</v>
      </c>
      <c r="D26" s="44">
        <v>45300</v>
      </c>
      <c r="E26" s="16" t="s">
        <v>60</v>
      </c>
      <c r="F26" s="3" t="s">
        <v>28</v>
      </c>
      <c r="G26" s="3"/>
      <c r="I26" s="21" t="s">
        <v>30</v>
      </c>
    </row>
    <row r="27" spans="1:9">
      <c r="A27" s="16" t="s">
        <v>2132</v>
      </c>
      <c r="B27" s="2">
        <v>100000</v>
      </c>
      <c r="C27" s="2">
        <f t="shared" si="5"/>
        <v>1750.0000000000002</v>
      </c>
      <c r="D27" s="44">
        <v>45300</v>
      </c>
      <c r="E27" s="3" t="s">
        <v>24</v>
      </c>
      <c r="F27" s="3" t="s">
        <v>28</v>
      </c>
      <c r="G27" s="3"/>
      <c r="H27" s="16" t="s">
        <v>2110</v>
      </c>
      <c r="I27" s="21" t="s">
        <v>30</v>
      </c>
    </row>
    <row r="28" spans="1:9">
      <c r="A28" s="16" t="s">
        <v>2133</v>
      </c>
      <c r="B28" s="2">
        <v>125000</v>
      </c>
      <c r="C28" s="2">
        <f t="shared" si="5"/>
        <v>2187.5</v>
      </c>
      <c r="D28" s="44">
        <v>45301</v>
      </c>
      <c r="E28" s="16" t="s">
        <v>60</v>
      </c>
      <c r="F28" s="3" t="s">
        <v>28</v>
      </c>
      <c r="G28" s="3"/>
      <c r="I28" s="21" t="s">
        <v>30</v>
      </c>
    </row>
    <row r="29" spans="1:9">
      <c r="A29" s="16" t="s">
        <v>2134</v>
      </c>
      <c r="B29" s="2">
        <v>60000</v>
      </c>
      <c r="C29" s="2">
        <f t="shared" si="5"/>
        <v>1050</v>
      </c>
      <c r="D29" s="44">
        <v>45301</v>
      </c>
      <c r="E29" s="3" t="s">
        <v>15</v>
      </c>
      <c r="F29" s="3" t="s">
        <v>28</v>
      </c>
      <c r="G29" s="3"/>
      <c r="H29" s="16" t="s">
        <v>2135</v>
      </c>
      <c r="I29" s="21" t="s">
        <v>30</v>
      </c>
    </row>
    <row r="30" spans="1:9">
      <c r="A30" s="16" t="s">
        <v>2136</v>
      </c>
      <c r="B30" s="2">
        <v>500000</v>
      </c>
      <c r="C30" s="2">
        <f>0.0125*B30</f>
        <v>6250</v>
      </c>
      <c r="D30" s="44">
        <v>45301</v>
      </c>
      <c r="E30" s="3" t="s">
        <v>11</v>
      </c>
      <c r="F30" s="3" t="s">
        <v>12</v>
      </c>
      <c r="G30" s="3"/>
    </row>
    <row r="31" spans="1:9">
      <c r="A31" s="16" t="s">
        <v>2137</v>
      </c>
      <c r="B31" s="2">
        <v>100000</v>
      </c>
      <c r="C31" s="2">
        <f t="shared" ref="C31:C33" si="6">0.0175*B31</f>
        <v>1750.0000000000002</v>
      </c>
      <c r="D31" s="44">
        <v>45301</v>
      </c>
      <c r="E31" s="3" t="s">
        <v>24</v>
      </c>
      <c r="F31" s="3" t="s">
        <v>28</v>
      </c>
      <c r="G31" s="3"/>
      <c r="H31" s="16" t="s">
        <v>2110</v>
      </c>
      <c r="I31" s="21" t="s">
        <v>30</v>
      </c>
    </row>
    <row r="32" spans="1:9">
      <c r="A32" s="16" t="s">
        <v>2138</v>
      </c>
      <c r="B32" s="2">
        <v>515000</v>
      </c>
      <c r="C32" s="2">
        <f t="shared" si="6"/>
        <v>9012.5</v>
      </c>
      <c r="D32" s="44">
        <v>45301</v>
      </c>
      <c r="E32" s="3" t="s">
        <v>2120</v>
      </c>
      <c r="F32" s="3" t="s">
        <v>28</v>
      </c>
      <c r="G32" s="3"/>
      <c r="I32" s="21" t="s">
        <v>30</v>
      </c>
    </row>
    <row r="33" spans="1:9">
      <c r="A33" s="16" t="s">
        <v>2139</v>
      </c>
      <c r="B33" s="2">
        <v>150000</v>
      </c>
      <c r="C33" s="2">
        <f t="shared" si="6"/>
        <v>2625.0000000000005</v>
      </c>
      <c r="D33" s="44">
        <v>45301</v>
      </c>
      <c r="E33" s="3" t="s">
        <v>11</v>
      </c>
      <c r="F33" s="3" t="s">
        <v>28</v>
      </c>
      <c r="G33" s="3"/>
      <c r="I33" s="21" t="s">
        <v>30</v>
      </c>
    </row>
    <row r="34" spans="1:9">
      <c r="A34" s="16" t="s">
        <v>2140</v>
      </c>
      <c r="B34" s="2">
        <v>135000</v>
      </c>
      <c r="C34" s="2">
        <f>0.0125*B34</f>
        <v>1687.5</v>
      </c>
      <c r="D34" s="44">
        <v>45302</v>
      </c>
      <c r="E34" s="3" t="s">
        <v>11</v>
      </c>
      <c r="F34" s="3" t="s">
        <v>12</v>
      </c>
      <c r="G34" s="3"/>
    </row>
    <row r="35" spans="1:9">
      <c r="A35" s="16" t="s">
        <v>2141</v>
      </c>
      <c r="B35" s="2">
        <v>100000</v>
      </c>
      <c r="C35" s="2">
        <f t="shared" ref="C35:C37" si="7">0.0175*B35</f>
        <v>1750.0000000000002</v>
      </c>
      <c r="D35" s="44">
        <v>45302</v>
      </c>
      <c r="E35" s="3" t="s">
        <v>75</v>
      </c>
      <c r="F35" s="3" t="s">
        <v>28</v>
      </c>
      <c r="G35" s="3"/>
      <c r="I35" s="21" t="s">
        <v>30</v>
      </c>
    </row>
    <row r="36" spans="1:9">
      <c r="A36" s="16" t="s">
        <v>2142</v>
      </c>
      <c r="B36" s="2">
        <v>50000</v>
      </c>
      <c r="C36" s="2">
        <f t="shared" si="7"/>
        <v>875.00000000000011</v>
      </c>
      <c r="D36" s="44">
        <v>45302</v>
      </c>
      <c r="E36" s="3" t="s">
        <v>15</v>
      </c>
      <c r="F36" s="3" t="s">
        <v>28</v>
      </c>
      <c r="G36" s="3"/>
      <c r="H36" s="16" t="s">
        <v>2143</v>
      </c>
      <c r="I36" s="21" t="s">
        <v>30</v>
      </c>
    </row>
    <row r="37" spans="1:9">
      <c r="A37" s="16" t="s">
        <v>2144</v>
      </c>
      <c r="B37" s="2">
        <v>575000</v>
      </c>
      <c r="C37" s="2">
        <f t="shared" si="7"/>
        <v>10062.500000000002</v>
      </c>
      <c r="D37" s="44">
        <v>45302</v>
      </c>
      <c r="E37" s="3" t="s">
        <v>24</v>
      </c>
      <c r="F37" s="3" t="s">
        <v>28</v>
      </c>
      <c r="G37" s="3"/>
      <c r="H37" s="16" t="s">
        <v>2110</v>
      </c>
      <c r="I37" s="21" t="s">
        <v>30</v>
      </c>
    </row>
    <row r="38" spans="1:9">
      <c r="A38" s="16" t="s">
        <v>2145</v>
      </c>
      <c r="B38" s="2">
        <v>60000</v>
      </c>
      <c r="C38" s="2">
        <f t="shared" ref="C38:C39" si="8">0.0125*B38</f>
        <v>750</v>
      </c>
      <c r="D38" s="44">
        <v>45302</v>
      </c>
      <c r="E38" s="32" t="s">
        <v>60</v>
      </c>
      <c r="F38" s="3" t="s">
        <v>12</v>
      </c>
      <c r="G38" s="3"/>
    </row>
    <row r="39" spans="1:9">
      <c r="A39" s="16" t="s">
        <v>2146</v>
      </c>
      <c r="B39" s="2">
        <v>280000</v>
      </c>
      <c r="C39" s="2">
        <f t="shared" si="8"/>
        <v>3500</v>
      </c>
      <c r="D39" s="44">
        <v>45302</v>
      </c>
      <c r="E39" s="32" t="s">
        <v>60</v>
      </c>
      <c r="F39" s="3" t="s">
        <v>12</v>
      </c>
      <c r="G39" s="3"/>
    </row>
    <row r="40" spans="1:9">
      <c r="A40" s="16" t="s">
        <v>2147</v>
      </c>
      <c r="B40" s="2">
        <v>350000</v>
      </c>
      <c r="C40" s="2">
        <f t="shared" ref="C40:C42" si="9">0.0175*B40</f>
        <v>6125.0000000000009</v>
      </c>
      <c r="D40" s="44">
        <v>45302</v>
      </c>
      <c r="E40" s="3" t="s">
        <v>24</v>
      </c>
      <c r="F40" s="3" t="s">
        <v>28</v>
      </c>
      <c r="G40" s="3"/>
      <c r="H40" s="16" t="s">
        <v>2110</v>
      </c>
      <c r="I40" s="21" t="s">
        <v>30</v>
      </c>
    </row>
    <row r="41" spans="1:9">
      <c r="A41" s="16" t="s">
        <v>2148</v>
      </c>
      <c r="B41" s="2">
        <v>100000</v>
      </c>
      <c r="C41" s="2">
        <f t="shared" si="9"/>
        <v>1750.0000000000002</v>
      </c>
      <c r="D41" s="44">
        <v>45303</v>
      </c>
      <c r="E41" s="3" t="s">
        <v>75</v>
      </c>
      <c r="F41" s="3" t="s">
        <v>28</v>
      </c>
      <c r="G41" s="3"/>
      <c r="I41" s="21" t="s">
        <v>30</v>
      </c>
    </row>
    <row r="42" spans="1:9">
      <c r="A42" s="16" t="s">
        <v>2149</v>
      </c>
      <c r="B42" s="2">
        <v>515000</v>
      </c>
      <c r="C42" s="2">
        <f t="shared" si="9"/>
        <v>9012.5</v>
      </c>
      <c r="D42" s="44">
        <v>45303</v>
      </c>
      <c r="E42" s="3" t="s">
        <v>24</v>
      </c>
      <c r="F42" s="3" t="s">
        <v>28</v>
      </c>
      <c r="G42" s="3"/>
      <c r="H42" s="16" t="s">
        <v>2110</v>
      </c>
      <c r="I42" s="21" t="s">
        <v>30</v>
      </c>
    </row>
    <row r="43" spans="1:9">
      <c r="A43" s="16" t="s">
        <v>2150</v>
      </c>
      <c r="B43" s="2">
        <v>340000</v>
      </c>
      <c r="C43" s="2">
        <f>0.0125*B43</f>
        <v>4250</v>
      </c>
      <c r="D43" s="44">
        <v>45303</v>
      </c>
      <c r="E43" s="3" t="s">
        <v>11</v>
      </c>
      <c r="F43" s="3" t="s">
        <v>12</v>
      </c>
      <c r="G43" s="3"/>
    </row>
    <row r="44" spans="1:9">
      <c r="A44" s="16" t="s">
        <v>2151</v>
      </c>
      <c r="B44" s="2">
        <v>85000</v>
      </c>
      <c r="C44" s="2">
        <f>0.0175*B44</f>
        <v>1487.5000000000002</v>
      </c>
      <c r="D44" s="44">
        <v>45303</v>
      </c>
      <c r="E44" s="32" t="s">
        <v>60</v>
      </c>
      <c r="F44" s="3" t="s">
        <v>28</v>
      </c>
      <c r="G44" s="3"/>
      <c r="I44" s="21" t="s">
        <v>30</v>
      </c>
    </row>
    <row r="45" spans="1:9">
      <c r="A45" s="16" t="s">
        <v>2152</v>
      </c>
      <c r="B45" s="17">
        <v>25000</v>
      </c>
      <c r="C45" s="2">
        <f>0.0125*B45</f>
        <v>312.5</v>
      </c>
      <c r="D45" s="44">
        <v>45303</v>
      </c>
      <c r="E45" s="3" t="s">
        <v>11</v>
      </c>
      <c r="F45" s="3" t="s">
        <v>12</v>
      </c>
      <c r="G45" s="3"/>
    </row>
    <row r="46" spans="1:9">
      <c r="A46" s="16" t="s">
        <v>2153</v>
      </c>
      <c r="B46" s="17">
        <v>32000</v>
      </c>
      <c r="C46" s="2">
        <f t="shared" ref="C46:C58" si="10">0.0175*B46</f>
        <v>560</v>
      </c>
      <c r="D46" s="44">
        <v>45303</v>
      </c>
      <c r="E46" s="3" t="s">
        <v>11</v>
      </c>
      <c r="F46" s="3" t="s">
        <v>28</v>
      </c>
      <c r="G46" s="3"/>
    </row>
    <row r="47" spans="1:9">
      <c r="A47" s="16" t="s">
        <v>2154</v>
      </c>
      <c r="B47" s="2">
        <v>100000</v>
      </c>
      <c r="C47" s="2">
        <f t="shared" si="10"/>
        <v>1750.0000000000002</v>
      </c>
      <c r="D47" s="44">
        <v>45303</v>
      </c>
      <c r="E47" s="3" t="s">
        <v>69</v>
      </c>
      <c r="F47" s="3" t="s">
        <v>28</v>
      </c>
      <c r="G47" s="3"/>
      <c r="H47" s="16" t="s">
        <v>2155</v>
      </c>
      <c r="I47" s="21" t="s">
        <v>30</v>
      </c>
    </row>
    <row r="48" spans="1:9">
      <c r="A48" s="16" t="s">
        <v>2156</v>
      </c>
      <c r="B48" s="2">
        <v>1000000</v>
      </c>
      <c r="C48" s="2">
        <f t="shared" si="10"/>
        <v>17500</v>
      </c>
      <c r="D48" s="44">
        <v>45303</v>
      </c>
      <c r="E48" s="3" t="s">
        <v>2157</v>
      </c>
      <c r="F48" s="3" t="s">
        <v>28</v>
      </c>
      <c r="G48" s="3"/>
      <c r="H48" s="16" t="s">
        <v>13</v>
      </c>
      <c r="I48" s="21" t="s">
        <v>30</v>
      </c>
    </row>
    <row r="49" spans="1:9">
      <c r="A49" s="16" t="s">
        <v>2158</v>
      </c>
      <c r="B49" s="2">
        <v>1000000</v>
      </c>
      <c r="C49" s="2">
        <f t="shared" si="10"/>
        <v>17500</v>
      </c>
      <c r="D49" s="44">
        <v>45307</v>
      </c>
      <c r="E49" s="3" t="s">
        <v>24</v>
      </c>
      <c r="F49" s="3" t="s">
        <v>28</v>
      </c>
      <c r="G49" s="3"/>
      <c r="H49" s="16" t="s">
        <v>2110</v>
      </c>
      <c r="I49" s="21" t="s">
        <v>30</v>
      </c>
    </row>
    <row r="50" spans="1:9">
      <c r="A50" s="16" t="s">
        <v>2159</v>
      </c>
      <c r="B50" s="2">
        <v>150000</v>
      </c>
      <c r="C50" s="2">
        <f t="shared" si="10"/>
        <v>2625.0000000000005</v>
      </c>
      <c r="D50" s="44">
        <v>45307</v>
      </c>
      <c r="E50" s="3" t="s">
        <v>11</v>
      </c>
      <c r="F50" s="3" t="s">
        <v>28</v>
      </c>
      <c r="G50" s="3"/>
      <c r="I50" s="21" t="s">
        <v>30</v>
      </c>
    </row>
    <row r="51" spans="1:9">
      <c r="A51" s="16" t="s">
        <v>2160</v>
      </c>
      <c r="B51" s="2">
        <v>50000</v>
      </c>
      <c r="C51" s="2">
        <f t="shared" si="10"/>
        <v>875.00000000000011</v>
      </c>
      <c r="D51" s="44">
        <v>45308</v>
      </c>
      <c r="E51" s="3" t="s">
        <v>2120</v>
      </c>
      <c r="F51" s="3" t="s">
        <v>28</v>
      </c>
      <c r="G51" s="3"/>
      <c r="I51" s="21" t="s">
        <v>30</v>
      </c>
    </row>
    <row r="52" spans="1:9">
      <c r="A52" s="16" t="s">
        <v>2161</v>
      </c>
      <c r="B52" s="2">
        <v>90000</v>
      </c>
      <c r="C52" s="2">
        <f t="shared" si="10"/>
        <v>1575.0000000000002</v>
      </c>
      <c r="D52" s="44">
        <v>45308</v>
      </c>
      <c r="E52" s="3" t="s">
        <v>15</v>
      </c>
      <c r="F52" s="3" t="s">
        <v>28</v>
      </c>
      <c r="G52" s="3"/>
      <c r="H52" s="16" t="s">
        <v>2143</v>
      </c>
      <c r="I52" s="21" t="s">
        <v>30</v>
      </c>
    </row>
    <row r="53" spans="1:9">
      <c r="A53" s="16" t="s">
        <v>2162</v>
      </c>
      <c r="B53" s="2">
        <v>100000</v>
      </c>
      <c r="C53" s="2">
        <f t="shared" si="10"/>
        <v>1750.0000000000002</v>
      </c>
      <c r="D53" s="44">
        <v>45308</v>
      </c>
      <c r="E53" s="3" t="s">
        <v>147</v>
      </c>
      <c r="F53" s="3" t="s">
        <v>2124</v>
      </c>
      <c r="G53" s="3"/>
      <c r="I53" s="21" t="s">
        <v>30</v>
      </c>
    </row>
    <row r="54" spans="1:9">
      <c r="A54" s="16" t="s">
        <v>2163</v>
      </c>
      <c r="B54" s="2">
        <v>100000</v>
      </c>
      <c r="C54" s="2">
        <f t="shared" si="10"/>
        <v>1750.0000000000002</v>
      </c>
      <c r="D54" s="44">
        <v>45308</v>
      </c>
      <c r="E54" s="3" t="s">
        <v>11</v>
      </c>
      <c r="F54" s="3" t="s">
        <v>28</v>
      </c>
      <c r="G54" s="3"/>
      <c r="I54" s="21" t="s">
        <v>30</v>
      </c>
    </row>
    <row r="55" spans="1:9">
      <c r="A55" s="16" t="s">
        <v>2164</v>
      </c>
      <c r="B55" s="2">
        <v>250000</v>
      </c>
      <c r="C55" s="2">
        <f t="shared" si="10"/>
        <v>4375</v>
      </c>
      <c r="D55" s="44">
        <v>45308</v>
      </c>
      <c r="E55" s="3" t="s">
        <v>11</v>
      </c>
      <c r="F55" s="3" t="s">
        <v>2165</v>
      </c>
      <c r="G55" s="3"/>
    </row>
    <row r="56" spans="1:9">
      <c r="A56" s="16" t="s">
        <v>2166</v>
      </c>
      <c r="B56" s="2">
        <v>100000</v>
      </c>
      <c r="C56" s="2">
        <f t="shared" si="10"/>
        <v>1750.0000000000002</v>
      </c>
      <c r="D56" s="44">
        <v>45308</v>
      </c>
      <c r="E56" s="3" t="s">
        <v>11</v>
      </c>
      <c r="F56" s="3" t="s">
        <v>28</v>
      </c>
      <c r="G56" s="3"/>
      <c r="I56" s="21" t="s">
        <v>30</v>
      </c>
    </row>
    <row r="57" spans="1:9">
      <c r="A57" s="16" t="s">
        <v>2167</v>
      </c>
      <c r="B57" s="2">
        <v>250000</v>
      </c>
      <c r="C57" s="2">
        <f t="shared" si="10"/>
        <v>4375</v>
      </c>
      <c r="D57" s="44">
        <v>45309</v>
      </c>
      <c r="E57" s="32" t="s">
        <v>60</v>
      </c>
      <c r="F57" s="3" t="s">
        <v>28</v>
      </c>
      <c r="G57" s="3"/>
      <c r="I57" s="21" t="s">
        <v>30</v>
      </c>
    </row>
    <row r="58" spans="1:9">
      <c r="A58" s="16" t="s">
        <v>2168</v>
      </c>
      <c r="B58" s="17">
        <v>15000</v>
      </c>
      <c r="C58" s="2">
        <f t="shared" si="10"/>
        <v>262.5</v>
      </c>
      <c r="D58" s="44">
        <v>45309</v>
      </c>
      <c r="E58" s="3" t="s">
        <v>11</v>
      </c>
      <c r="F58" s="3" t="s">
        <v>28</v>
      </c>
      <c r="G58" s="3"/>
    </row>
    <row r="59" spans="1:9">
      <c r="A59" s="16" t="s">
        <v>972</v>
      </c>
      <c r="B59" s="17">
        <v>100000</v>
      </c>
      <c r="C59" s="2">
        <f t="shared" ref="C59:C65" si="11">0.0125*B59</f>
        <v>1250</v>
      </c>
      <c r="D59" s="44">
        <v>45309</v>
      </c>
      <c r="E59" s="3" t="s">
        <v>11</v>
      </c>
      <c r="F59" s="3" t="s">
        <v>12</v>
      </c>
      <c r="G59" s="3"/>
    </row>
    <row r="60" spans="1:9">
      <c r="A60" s="16" t="s">
        <v>2169</v>
      </c>
      <c r="B60" s="17">
        <v>30000</v>
      </c>
      <c r="C60" s="2">
        <f t="shared" si="11"/>
        <v>375</v>
      </c>
      <c r="D60" s="44">
        <v>45309</v>
      </c>
      <c r="E60" s="3" t="s">
        <v>11</v>
      </c>
      <c r="F60" s="3" t="s">
        <v>12</v>
      </c>
      <c r="G60" s="3"/>
    </row>
    <row r="61" spans="1:9">
      <c r="A61" s="16" t="s">
        <v>2170</v>
      </c>
      <c r="B61" s="17">
        <v>20000</v>
      </c>
      <c r="C61" s="2">
        <f t="shared" si="11"/>
        <v>250</v>
      </c>
      <c r="D61" s="44">
        <v>45309</v>
      </c>
      <c r="E61" s="3" t="s">
        <v>69</v>
      </c>
      <c r="F61" s="3" t="s">
        <v>12</v>
      </c>
      <c r="G61" s="3"/>
      <c r="H61" s="16" t="s">
        <v>22</v>
      </c>
    </row>
    <row r="62" spans="1:9">
      <c r="A62" s="16" t="s">
        <v>2171</v>
      </c>
      <c r="B62" s="17">
        <v>31500</v>
      </c>
      <c r="C62" s="2">
        <f t="shared" si="11"/>
        <v>393.75</v>
      </c>
      <c r="D62" s="44">
        <v>45309</v>
      </c>
      <c r="E62" s="3" t="s">
        <v>11</v>
      </c>
      <c r="F62" s="3" t="s">
        <v>12</v>
      </c>
      <c r="G62" s="3"/>
    </row>
    <row r="63" spans="1:9">
      <c r="A63" s="16" t="s">
        <v>2172</v>
      </c>
      <c r="B63" s="17">
        <v>80000</v>
      </c>
      <c r="C63" s="2">
        <f t="shared" si="11"/>
        <v>1000</v>
      </c>
      <c r="D63" s="44">
        <v>45309</v>
      </c>
      <c r="E63" s="3" t="s">
        <v>11</v>
      </c>
      <c r="F63" s="3" t="s">
        <v>12</v>
      </c>
      <c r="G63" s="3"/>
    </row>
    <row r="64" spans="1:9">
      <c r="A64" s="16" t="s">
        <v>2173</v>
      </c>
      <c r="B64" s="17">
        <v>40000</v>
      </c>
      <c r="C64" s="2">
        <f t="shared" si="11"/>
        <v>500</v>
      </c>
      <c r="D64" s="44">
        <v>45309</v>
      </c>
      <c r="E64" s="3" t="s">
        <v>69</v>
      </c>
      <c r="F64" s="3" t="s">
        <v>12</v>
      </c>
      <c r="G64" s="3"/>
      <c r="H64" s="16" t="s">
        <v>22</v>
      </c>
    </row>
    <row r="65" spans="1:9">
      <c r="A65" s="16" t="s">
        <v>2174</v>
      </c>
      <c r="B65" s="17">
        <v>75000</v>
      </c>
      <c r="C65" s="2">
        <f t="shared" si="11"/>
        <v>937.5</v>
      </c>
      <c r="D65" s="44">
        <v>45309</v>
      </c>
      <c r="E65" s="3" t="s">
        <v>11</v>
      </c>
      <c r="F65" s="3" t="s">
        <v>12</v>
      </c>
      <c r="G65" s="3"/>
    </row>
    <row r="66" spans="1:9">
      <c r="A66" s="16" t="s">
        <v>1286</v>
      </c>
      <c r="B66" s="2">
        <v>25000</v>
      </c>
      <c r="C66" s="2">
        <f>0.0175*B66</f>
        <v>437.50000000000006</v>
      </c>
      <c r="D66" s="44">
        <v>45309</v>
      </c>
      <c r="E66" s="3" t="s">
        <v>15</v>
      </c>
      <c r="F66" s="3" t="s">
        <v>12</v>
      </c>
      <c r="G66" s="3"/>
      <c r="H66" s="16" t="s">
        <v>51</v>
      </c>
    </row>
    <row r="67" spans="1:9">
      <c r="A67" s="16" t="s">
        <v>2175</v>
      </c>
      <c r="B67" s="2">
        <v>420000</v>
      </c>
      <c r="C67" s="2">
        <f t="shared" ref="C67:C68" si="12">0.0125*B67</f>
        <v>5250</v>
      </c>
      <c r="D67" s="44">
        <v>45309</v>
      </c>
      <c r="E67" s="3" t="s">
        <v>345</v>
      </c>
      <c r="F67" s="3" t="s">
        <v>12</v>
      </c>
      <c r="G67" s="3"/>
      <c r="H67" s="16" t="s">
        <v>22</v>
      </c>
    </row>
    <row r="68" spans="1:9">
      <c r="A68" s="16" t="s">
        <v>2176</v>
      </c>
      <c r="B68" s="2">
        <v>200000</v>
      </c>
      <c r="C68" s="2">
        <f t="shared" si="12"/>
        <v>2500</v>
      </c>
      <c r="D68" s="44">
        <v>45309</v>
      </c>
      <c r="E68" s="3" t="s">
        <v>11</v>
      </c>
      <c r="F68" s="3" t="s">
        <v>12</v>
      </c>
      <c r="G68" s="3"/>
    </row>
    <row r="69" spans="1:9">
      <c r="A69" s="16" t="s">
        <v>2177</v>
      </c>
      <c r="B69" s="2">
        <v>150000</v>
      </c>
      <c r="C69" s="2">
        <f t="shared" ref="C69:C71" si="13">0.0175*B69</f>
        <v>2625.0000000000005</v>
      </c>
      <c r="D69" s="44">
        <v>45309</v>
      </c>
      <c r="E69" s="3" t="s">
        <v>11</v>
      </c>
      <c r="F69" s="3" t="s">
        <v>28</v>
      </c>
      <c r="G69" s="3"/>
      <c r="I69" s="21" t="s">
        <v>30</v>
      </c>
    </row>
    <row r="70" spans="1:9">
      <c r="A70" s="16" t="s">
        <v>2178</v>
      </c>
      <c r="B70" s="2">
        <v>100000</v>
      </c>
      <c r="C70" s="2">
        <f t="shared" si="13"/>
        <v>1750.0000000000002</v>
      </c>
      <c r="D70" s="44">
        <v>45309</v>
      </c>
      <c r="E70" s="3" t="s">
        <v>15</v>
      </c>
      <c r="F70" s="3" t="s">
        <v>28</v>
      </c>
      <c r="G70" s="3"/>
      <c r="H70" s="16" t="s">
        <v>2179</v>
      </c>
    </row>
    <row r="71" spans="1:9">
      <c r="A71" s="16" t="s">
        <v>2180</v>
      </c>
      <c r="B71" s="2">
        <v>71500</v>
      </c>
      <c r="C71" s="2">
        <f t="shared" si="13"/>
        <v>1251.2500000000002</v>
      </c>
      <c r="D71" s="44">
        <v>45309</v>
      </c>
      <c r="E71" s="3" t="s">
        <v>197</v>
      </c>
      <c r="F71" s="3" t="s">
        <v>12</v>
      </c>
      <c r="G71" s="3"/>
      <c r="H71" s="16" t="s">
        <v>22</v>
      </c>
    </row>
    <row r="72" spans="1:9">
      <c r="A72" s="16" t="s">
        <v>2181</v>
      </c>
      <c r="B72" s="2">
        <v>380000</v>
      </c>
      <c r="C72" s="2">
        <f>0.0125*B72</f>
        <v>4750</v>
      </c>
      <c r="D72" s="44">
        <v>45309</v>
      </c>
      <c r="E72" s="3" t="s">
        <v>11</v>
      </c>
      <c r="F72" s="3" t="s">
        <v>12</v>
      </c>
      <c r="G72" s="3"/>
    </row>
    <row r="73" spans="1:9">
      <c r="A73" s="16" t="s">
        <v>2182</v>
      </c>
      <c r="B73" s="2">
        <v>150000</v>
      </c>
      <c r="C73" s="2">
        <f t="shared" ref="C73:C75" si="14">0.0175*B73</f>
        <v>2625.0000000000005</v>
      </c>
      <c r="D73" s="44">
        <v>45310</v>
      </c>
      <c r="E73" s="32" t="s">
        <v>60</v>
      </c>
      <c r="F73" s="3" t="s">
        <v>28</v>
      </c>
      <c r="G73" s="3"/>
      <c r="I73" s="21" t="s">
        <v>30</v>
      </c>
    </row>
    <row r="74" spans="1:9">
      <c r="A74" s="16" t="s">
        <v>2183</v>
      </c>
      <c r="B74" s="2">
        <v>225000</v>
      </c>
      <c r="C74" s="2">
        <f t="shared" si="14"/>
        <v>3937.5000000000005</v>
      </c>
      <c r="D74" s="44">
        <v>45310</v>
      </c>
      <c r="E74" s="3" t="s">
        <v>2184</v>
      </c>
      <c r="F74" s="3" t="s">
        <v>28</v>
      </c>
      <c r="G74" s="3"/>
      <c r="H74" s="16" t="s">
        <v>13</v>
      </c>
      <c r="I74" s="21" t="s">
        <v>30</v>
      </c>
    </row>
    <row r="75" spans="1:9">
      <c r="A75" s="16" t="s">
        <v>2185</v>
      </c>
      <c r="B75" s="2">
        <v>125000</v>
      </c>
      <c r="C75" s="2">
        <f t="shared" si="14"/>
        <v>2187.5</v>
      </c>
      <c r="D75" s="44">
        <v>45310</v>
      </c>
      <c r="E75" s="3" t="s">
        <v>11</v>
      </c>
      <c r="F75" s="3" t="s">
        <v>28</v>
      </c>
      <c r="G75" s="3"/>
      <c r="I75" s="21" t="s">
        <v>30</v>
      </c>
    </row>
    <row r="76" spans="1:9">
      <c r="A76" s="16" t="s">
        <v>530</v>
      </c>
      <c r="B76" s="2">
        <v>225000</v>
      </c>
      <c r="C76" s="2">
        <f>0.0125*B76</f>
        <v>2812.5</v>
      </c>
      <c r="D76" s="44">
        <v>45310</v>
      </c>
      <c r="E76" s="3" t="s">
        <v>92</v>
      </c>
      <c r="F76" s="3" t="s">
        <v>12</v>
      </c>
      <c r="G76" s="3"/>
    </row>
    <row r="77" spans="1:9">
      <c r="A77" s="16" t="s">
        <v>2186</v>
      </c>
      <c r="B77" s="2">
        <v>150000</v>
      </c>
      <c r="C77" s="2">
        <f t="shared" ref="C77:C79" si="15">0.0175*B77</f>
        <v>2625.0000000000005</v>
      </c>
      <c r="D77" s="44">
        <v>45310</v>
      </c>
      <c r="E77" s="3" t="s">
        <v>345</v>
      </c>
      <c r="F77" s="3" t="s">
        <v>28</v>
      </c>
      <c r="G77" s="3"/>
      <c r="H77" s="16" t="s">
        <v>13</v>
      </c>
      <c r="I77" s="21" t="s">
        <v>30</v>
      </c>
    </row>
    <row r="78" spans="1:9">
      <c r="A78" s="16" t="s">
        <v>2187</v>
      </c>
      <c r="B78" s="2">
        <v>75000</v>
      </c>
      <c r="C78" s="2">
        <f t="shared" si="15"/>
        <v>1312.5000000000002</v>
      </c>
      <c r="D78" s="44">
        <v>45313</v>
      </c>
      <c r="E78" s="3" t="s">
        <v>15</v>
      </c>
      <c r="F78" s="3" t="s">
        <v>2188</v>
      </c>
      <c r="G78" s="3"/>
      <c r="H78" s="16" t="s">
        <v>220</v>
      </c>
    </row>
    <row r="79" spans="1:9">
      <c r="A79" s="16" t="s">
        <v>2189</v>
      </c>
      <c r="B79" s="2">
        <v>80000</v>
      </c>
      <c r="C79" s="2">
        <f t="shared" si="15"/>
        <v>1400.0000000000002</v>
      </c>
      <c r="D79" s="44">
        <v>45313</v>
      </c>
      <c r="E79" s="3" t="s">
        <v>24</v>
      </c>
      <c r="F79" s="3" t="s">
        <v>28</v>
      </c>
      <c r="G79" s="3"/>
      <c r="H79" s="16" t="s">
        <v>2110</v>
      </c>
      <c r="I79" s="21" t="s">
        <v>30</v>
      </c>
    </row>
    <row r="80" spans="1:9">
      <c r="A80" s="16" t="s">
        <v>134</v>
      </c>
      <c r="B80" s="2">
        <v>665000</v>
      </c>
      <c r="C80" s="2">
        <f>0.0125*B80</f>
        <v>8312.5</v>
      </c>
      <c r="D80" s="44">
        <v>45313</v>
      </c>
      <c r="E80" s="3" t="s">
        <v>345</v>
      </c>
      <c r="F80" s="3" t="s">
        <v>12</v>
      </c>
      <c r="G80" s="3"/>
      <c r="H80" s="16" t="s">
        <v>22</v>
      </c>
    </row>
    <row r="81" spans="1:9">
      <c r="A81" s="16" t="s">
        <v>2190</v>
      </c>
      <c r="B81" s="2">
        <v>30000</v>
      </c>
      <c r="C81" s="2">
        <f>0.0175*B81</f>
        <v>525</v>
      </c>
      <c r="D81" s="44">
        <v>45313</v>
      </c>
      <c r="E81" s="3" t="s">
        <v>15</v>
      </c>
      <c r="F81" s="3" t="s">
        <v>2188</v>
      </c>
      <c r="G81" s="3"/>
      <c r="H81" s="16" t="s">
        <v>16</v>
      </c>
    </row>
    <row r="82" spans="1:9">
      <c r="A82" s="16" t="s">
        <v>2190</v>
      </c>
      <c r="B82" s="2">
        <v>170000</v>
      </c>
      <c r="C82" s="2">
        <f>0.0125*B82</f>
        <v>2125</v>
      </c>
      <c r="D82" s="44">
        <v>45314</v>
      </c>
      <c r="E82" s="3" t="s">
        <v>11</v>
      </c>
      <c r="F82" s="3" t="s">
        <v>12</v>
      </c>
      <c r="G82" s="3"/>
    </row>
    <row r="83" spans="1:9">
      <c r="A83" s="16" t="s">
        <v>2191</v>
      </c>
      <c r="B83" s="2">
        <v>50000</v>
      </c>
      <c r="C83" s="2">
        <f t="shared" ref="C83:C88" si="16">0.0175*B83</f>
        <v>875.00000000000011</v>
      </c>
      <c r="D83" s="44">
        <v>45314</v>
      </c>
      <c r="E83" s="3" t="s">
        <v>15</v>
      </c>
      <c r="F83" s="3" t="s">
        <v>2165</v>
      </c>
      <c r="G83" s="3"/>
      <c r="H83" s="16" t="s">
        <v>2192</v>
      </c>
      <c r="I83" s="21" t="s">
        <v>30</v>
      </c>
    </row>
    <row r="84" spans="1:9">
      <c r="A84" s="16" t="s">
        <v>2193</v>
      </c>
      <c r="B84" s="2">
        <v>70000</v>
      </c>
      <c r="C84" s="2">
        <f t="shared" si="16"/>
        <v>1225.0000000000002</v>
      </c>
      <c r="D84" s="44">
        <v>45314</v>
      </c>
      <c r="E84" s="3" t="s">
        <v>11</v>
      </c>
      <c r="F84" s="3" t="s">
        <v>28</v>
      </c>
      <c r="G84" s="3"/>
      <c r="I84" s="21" t="s">
        <v>30</v>
      </c>
    </row>
    <row r="85" spans="1:9">
      <c r="A85" s="16" t="s">
        <v>2194</v>
      </c>
      <c r="B85" s="2">
        <v>100000</v>
      </c>
      <c r="C85" s="2">
        <f t="shared" si="16"/>
        <v>1750.0000000000002</v>
      </c>
      <c r="D85" s="44">
        <v>45314</v>
      </c>
      <c r="E85" s="3" t="s">
        <v>15</v>
      </c>
      <c r="F85" s="3" t="s">
        <v>2195</v>
      </c>
      <c r="G85" s="3"/>
      <c r="H85" s="16" t="s">
        <v>2135</v>
      </c>
      <c r="I85" s="21" t="s">
        <v>30</v>
      </c>
    </row>
    <row r="86" spans="1:9">
      <c r="A86" s="16" t="s">
        <v>2196</v>
      </c>
      <c r="B86" s="2">
        <v>25000</v>
      </c>
      <c r="C86" s="2">
        <f t="shared" si="16"/>
        <v>437.50000000000006</v>
      </c>
      <c r="D86" s="44">
        <v>45315</v>
      </c>
      <c r="E86" s="3" t="s">
        <v>15</v>
      </c>
      <c r="F86" s="3" t="s">
        <v>28</v>
      </c>
      <c r="G86" s="3"/>
      <c r="H86" s="16" t="s">
        <v>2126</v>
      </c>
      <c r="I86" s="21" t="s">
        <v>30</v>
      </c>
    </row>
    <row r="87" spans="1:9">
      <c r="A87" s="16" t="s">
        <v>2197</v>
      </c>
      <c r="B87" s="2">
        <v>70000</v>
      </c>
      <c r="C87" s="2">
        <f t="shared" si="16"/>
        <v>1225.0000000000002</v>
      </c>
      <c r="D87" s="44">
        <v>45315</v>
      </c>
      <c r="E87" s="3" t="s">
        <v>15</v>
      </c>
      <c r="F87" s="3" t="s">
        <v>28</v>
      </c>
      <c r="G87" s="3"/>
      <c r="H87" s="16" t="s">
        <v>2143</v>
      </c>
      <c r="I87" s="21" t="s">
        <v>30</v>
      </c>
    </row>
    <row r="88" spans="1:9">
      <c r="A88" s="16" t="s">
        <v>2198</v>
      </c>
      <c r="B88" s="2">
        <v>300000</v>
      </c>
      <c r="C88" s="2">
        <f t="shared" si="16"/>
        <v>5250.0000000000009</v>
      </c>
      <c r="D88" s="44">
        <v>45315</v>
      </c>
      <c r="E88" s="3" t="s">
        <v>24</v>
      </c>
      <c r="F88" s="3" t="s">
        <v>28</v>
      </c>
      <c r="G88" s="3"/>
      <c r="H88" s="16" t="s">
        <v>2110</v>
      </c>
      <c r="I88" s="21" t="s">
        <v>30</v>
      </c>
    </row>
    <row r="89" spans="1:9">
      <c r="A89" s="16" t="s">
        <v>2199</v>
      </c>
      <c r="B89" s="2">
        <v>135000</v>
      </c>
      <c r="C89" s="2">
        <f>0.0125*B89</f>
        <v>1687.5</v>
      </c>
      <c r="D89" s="44">
        <v>45315</v>
      </c>
      <c r="E89" s="3" t="s">
        <v>11</v>
      </c>
      <c r="F89" s="3" t="s">
        <v>12</v>
      </c>
      <c r="G89" s="3"/>
    </row>
    <row r="90" spans="1:9">
      <c r="A90" s="16" t="s">
        <v>2200</v>
      </c>
      <c r="B90" s="2">
        <v>150000</v>
      </c>
      <c r="C90" s="2">
        <f t="shared" ref="C90:C91" si="17">0.0175*B90</f>
        <v>2625.0000000000005</v>
      </c>
      <c r="D90" s="44">
        <v>45315</v>
      </c>
      <c r="E90" s="3" t="s">
        <v>2201</v>
      </c>
      <c r="F90" s="3" t="s">
        <v>28</v>
      </c>
      <c r="G90" s="3"/>
      <c r="I90" s="21" t="s">
        <v>30</v>
      </c>
    </row>
    <row r="91" spans="1:9">
      <c r="A91" s="16" t="s">
        <v>2202</v>
      </c>
      <c r="B91" s="2">
        <v>135000</v>
      </c>
      <c r="C91" s="2">
        <f t="shared" si="17"/>
        <v>2362.5</v>
      </c>
      <c r="D91" s="44">
        <v>45316</v>
      </c>
      <c r="E91" s="3" t="s">
        <v>345</v>
      </c>
      <c r="F91" s="3" t="s">
        <v>28</v>
      </c>
      <c r="G91" s="3"/>
      <c r="H91" s="16" t="s">
        <v>13</v>
      </c>
      <c r="I91" s="21" t="s">
        <v>30</v>
      </c>
    </row>
    <row r="92" spans="1:9">
      <c r="A92" s="16" t="s">
        <v>2203</v>
      </c>
      <c r="B92" s="2">
        <v>100000</v>
      </c>
      <c r="C92" s="2">
        <f>0.0125*B92</f>
        <v>1250</v>
      </c>
      <c r="D92" s="44">
        <v>45316</v>
      </c>
      <c r="E92" s="3" t="s">
        <v>11</v>
      </c>
      <c r="F92" s="3" t="s">
        <v>12</v>
      </c>
      <c r="G92" s="3"/>
    </row>
    <row r="93" spans="1:9">
      <c r="A93" s="16" t="s">
        <v>2204</v>
      </c>
      <c r="B93" s="2">
        <v>225000</v>
      </c>
      <c r="C93" s="2">
        <f>0.0175*B93</f>
        <v>3937.5000000000005</v>
      </c>
      <c r="D93" s="44">
        <v>45316</v>
      </c>
      <c r="E93" s="3" t="s">
        <v>15</v>
      </c>
      <c r="F93" s="3" t="s">
        <v>28</v>
      </c>
      <c r="G93" s="3"/>
      <c r="H93" s="16" t="s">
        <v>2205</v>
      </c>
      <c r="I93" s="21" t="s">
        <v>30</v>
      </c>
    </row>
    <row r="94" spans="1:9">
      <c r="A94" s="16" t="s">
        <v>2206</v>
      </c>
      <c r="B94" s="2">
        <v>60000</v>
      </c>
      <c r="C94" s="2">
        <f>0.0125*B94</f>
        <v>750</v>
      </c>
      <c r="D94" s="44">
        <v>45316</v>
      </c>
      <c r="E94" s="3" t="s">
        <v>11</v>
      </c>
      <c r="F94" s="3" t="s">
        <v>12</v>
      </c>
      <c r="G94" s="3"/>
    </row>
    <row r="95" spans="1:9">
      <c r="A95" s="16" t="s">
        <v>2207</v>
      </c>
      <c r="B95" s="2">
        <v>100000</v>
      </c>
      <c r="C95" s="2">
        <f t="shared" ref="C95:C99" si="18">0.0175*B95</f>
        <v>1750.0000000000002</v>
      </c>
      <c r="D95" s="44">
        <v>45316</v>
      </c>
      <c r="E95" s="3" t="s">
        <v>69</v>
      </c>
      <c r="F95" s="3" t="s">
        <v>28</v>
      </c>
      <c r="G95" s="3"/>
      <c r="H95" s="16" t="s">
        <v>13</v>
      </c>
      <c r="I95" s="21" t="s">
        <v>30</v>
      </c>
    </row>
    <row r="96" spans="1:9">
      <c r="A96" s="16" t="s">
        <v>2208</v>
      </c>
      <c r="B96" s="2">
        <v>400000</v>
      </c>
      <c r="C96" s="2">
        <f t="shared" si="18"/>
        <v>7000.0000000000009</v>
      </c>
      <c r="D96" s="44">
        <v>45316</v>
      </c>
      <c r="E96" s="3" t="s">
        <v>461</v>
      </c>
      <c r="F96" s="3" t="s">
        <v>28</v>
      </c>
      <c r="G96" s="3"/>
      <c r="I96" s="21" t="s">
        <v>30</v>
      </c>
    </row>
    <row r="97" spans="1:9">
      <c r="A97" s="16" t="s">
        <v>2209</v>
      </c>
      <c r="B97" s="2">
        <v>85000</v>
      </c>
      <c r="C97" s="2">
        <f t="shared" si="18"/>
        <v>1487.5000000000002</v>
      </c>
      <c r="D97" s="44">
        <v>45316</v>
      </c>
      <c r="E97" s="3" t="s">
        <v>11</v>
      </c>
      <c r="F97" s="3" t="s">
        <v>28</v>
      </c>
      <c r="G97" s="3"/>
    </row>
    <row r="98" spans="1:9">
      <c r="A98" s="16" t="s">
        <v>2210</v>
      </c>
      <c r="B98" s="2">
        <v>70000</v>
      </c>
      <c r="C98" s="2">
        <f t="shared" si="18"/>
        <v>1225.0000000000002</v>
      </c>
      <c r="D98" s="44">
        <v>45317</v>
      </c>
      <c r="E98" s="32" t="s">
        <v>60</v>
      </c>
      <c r="F98" s="3" t="s">
        <v>28</v>
      </c>
      <c r="G98" s="3"/>
      <c r="I98" s="21" t="s">
        <v>30</v>
      </c>
    </row>
    <row r="99" spans="1:9">
      <c r="A99" s="16" t="s">
        <v>2211</v>
      </c>
      <c r="B99" s="2">
        <v>120000</v>
      </c>
      <c r="C99" s="2">
        <f t="shared" si="18"/>
        <v>2100</v>
      </c>
      <c r="D99" s="44">
        <v>45317</v>
      </c>
      <c r="E99" s="3" t="s">
        <v>24</v>
      </c>
      <c r="F99" s="3" t="s">
        <v>28</v>
      </c>
      <c r="G99" s="3"/>
      <c r="H99" s="16" t="s">
        <v>2110</v>
      </c>
      <c r="I99" s="21" t="s">
        <v>30</v>
      </c>
    </row>
    <row r="100" spans="1:9">
      <c r="A100" s="16" t="s">
        <v>1256</v>
      </c>
      <c r="B100" s="2">
        <v>95000</v>
      </c>
      <c r="C100" s="2">
        <f>0.0125*B100</f>
        <v>1187.5</v>
      </c>
      <c r="D100" s="44">
        <v>45317</v>
      </c>
      <c r="E100" s="3" t="s">
        <v>11</v>
      </c>
      <c r="F100" s="3" t="s">
        <v>12</v>
      </c>
      <c r="G100" s="3"/>
    </row>
    <row r="101" spans="1:9">
      <c r="A101" s="16" t="s">
        <v>2212</v>
      </c>
      <c r="B101" s="2">
        <v>250000</v>
      </c>
      <c r="C101" s="2">
        <f>0.0175*B101</f>
        <v>4375</v>
      </c>
      <c r="D101" s="44">
        <v>45317</v>
      </c>
      <c r="E101" s="3" t="s">
        <v>11</v>
      </c>
      <c r="F101" s="3" t="s">
        <v>28</v>
      </c>
      <c r="G101" s="3"/>
      <c r="I101" s="21" t="s">
        <v>30</v>
      </c>
    </row>
    <row r="102" spans="1:9">
      <c r="A102" s="16" t="s">
        <v>2213</v>
      </c>
      <c r="B102" s="2">
        <v>100000</v>
      </c>
      <c r="C102" s="2">
        <f>0.0125*B102</f>
        <v>1250</v>
      </c>
      <c r="D102" s="44">
        <v>45317</v>
      </c>
      <c r="E102" s="3" t="s">
        <v>11</v>
      </c>
      <c r="F102" s="3" t="s">
        <v>12</v>
      </c>
      <c r="G102" s="3"/>
    </row>
    <row r="103" spans="1:9">
      <c r="A103" s="16" t="s">
        <v>2214</v>
      </c>
      <c r="B103" s="2">
        <v>900000</v>
      </c>
      <c r="C103" s="2">
        <f t="shared" ref="C103:C104" si="19">0.0175*B103</f>
        <v>15750.000000000002</v>
      </c>
      <c r="D103" s="44">
        <v>45317</v>
      </c>
      <c r="E103" s="3" t="s">
        <v>2120</v>
      </c>
      <c r="F103" s="3" t="s">
        <v>28</v>
      </c>
      <c r="G103" s="3"/>
      <c r="I103" s="21" t="s">
        <v>30</v>
      </c>
    </row>
    <row r="104" spans="1:9">
      <c r="A104" s="16" t="s">
        <v>2215</v>
      </c>
      <c r="B104" s="2">
        <v>250000</v>
      </c>
      <c r="C104" s="2">
        <f t="shared" si="19"/>
        <v>4375</v>
      </c>
      <c r="D104" s="44">
        <v>45317</v>
      </c>
      <c r="E104" s="32" t="s">
        <v>60</v>
      </c>
      <c r="F104" s="3" t="s">
        <v>28</v>
      </c>
      <c r="G104" s="3"/>
      <c r="I104" s="21" t="s">
        <v>30</v>
      </c>
    </row>
    <row r="105" spans="1:9">
      <c r="A105" s="16" t="s">
        <v>2216</v>
      </c>
      <c r="B105" s="2">
        <v>150000</v>
      </c>
      <c r="C105" s="2">
        <f t="shared" ref="C105:C106" si="20">0.0125*B105</f>
        <v>1875</v>
      </c>
      <c r="D105" s="44">
        <v>45317</v>
      </c>
      <c r="E105" s="3" t="s">
        <v>73</v>
      </c>
      <c r="F105" s="3" t="s">
        <v>12</v>
      </c>
      <c r="G105" s="3"/>
    </row>
    <row r="106" spans="1:9">
      <c r="A106" s="16" t="s">
        <v>199</v>
      </c>
      <c r="B106" s="2">
        <v>195000</v>
      </c>
      <c r="C106" s="2">
        <f t="shared" si="20"/>
        <v>2437.5</v>
      </c>
      <c r="D106" s="44">
        <v>45320</v>
      </c>
      <c r="E106" s="3" t="s">
        <v>11</v>
      </c>
      <c r="F106" s="3" t="s">
        <v>12</v>
      </c>
      <c r="G106" s="3"/>
    </row>
    <row r="107" spans="1:9">
      <c r="A107" s="16" t="s">
        <v>2217</v>
      </c>
      <c r="B107" s="2">
        <v>120000</v>
      </c>
      <c r="C107" s="2">
        <f t="shared" ref="C107:C108" si="21">0.0175*B107</f>
        <v>2100</v>
      </c>
      <c r="D107" s="44">
        <v>45320</v>
      </c>
      <c r="E107" s="32" t="s">
        <v>60</v>
      </c>
      <c r="F107" s="3" t="s">
        <v>28</v>
      </c>
      <c r="G107" s="3"/>
      <c r="I107" s="21" t="s">
        <v>30</v>
      </c>
    </row>
    <row r="108" spans="1:9">
      <c r="A108" s="16" t="s">
        <v>2218</v>
      </c>
      <c r="B108" s="2">
        <v>500000</v>
      </c>
      <c r="C108" s="2">
        <f t="shared" si="21"/>
        <v>8750</v>
      </c>
      <c r="D108" s="44">
        <v>45320</v>
      </c>
      <c r="E108" s="3" t="s">
        <v>11</v>
      </c>
      <c r="F108" s="3" t="s">
        <v>28</v>
      </c>
      <c r="G108" s="3"/>
      <c r="I108" s="21" t="s">
        <v>30</v>
      </c>
    </row>
    <row r="109" spans="1:9">
      <c r="A109" s="16" t="s">
        <v>2219</v>
      </c>
      <c r="B109" s="2">
        <v>200000</v>
      </c>
      <c r="C109" s="2">
        <f>0.0125*B109</f>
        <v>2500</v>
      </c>
      <c r="D109" s="44">
        <v>45320</v>
      </c>
      <c r="E109" s="3" t="s">
        <v>2220</v>
      </c>
      <c r="F109" s="3" t="s">
        <v>12</v>
      </c>
      <c r="G109" s="3"/>
    </row>
    <row r="110" spans="1:9">
      <c r="A110" s="16" t="s">
        <v>2221</v>
      </c>
      <c r="B110" s="2">
        <v>100000</v>
      </c>
      <c r="C110" s="2">
        <f t="shared" ref="C110:C111" si="22">0.0175*B110</f>
        <v>1750.0000000000002</v>
      </c>
      <c r="D110" s="44">
        <v>45321</v>
      </c>
      <c r="E110" s="3" t="s">
        <v>11</v>
      </c>
      <c r="F110" s="3" t="s">
        <v>28</v>
      </c>
      <c r="G110" s="3"/>
      <c r="I110" s="21" t="s">
        <v>30</v>
      </c>
    </row>
    <row r="111" spans="1:9">
      <c r="A111" s="16" t="s">
        <v>2222</v>
      </c>
      <c r="B111" s="2">
        <v>250000</v>
      </c>
      <c r="C111" s="2">
        <f t="shared" si="22"/>
        <v>4375</v>
      </c>
      <c r="D111" s="44">
        <v>45321</v>
      </c>
      <c r="E111" s="32" t="s">
        <v>60</v>
      </c>
      <c r="F111" s="3" t="s">
        <v>28</v>
      </c>
      <c r="G111" s="3"/>
      <c r="I111" s="21" t="s">
        <v>30</v>
      </c>
    </row>
    <row r="112" spans="1:9">
      <c r="A112" s="16" t="s">
        <v>2223</v>
      </c>
      <c r="B112" s="2">
        <v>65000</v>
      </c>
      <c r="C112" s="2">
        <f t="shared" ref="C112:C113" si="23">0.0125*B112</f>
        <v>812.5</v>
      </c>
      <c r="D112" s="44">
        <v>45321</v>
      </c>
      <c r="E112" s="3" t="s">
        <v>92</v>
      </c>
      <c r="F112" s="3" t="s">
        <v>12</v>
      </c>
      <c r="G112" s="3"/>
    </row>
    <row r="113" spans="1:12">
      <c r="A113" s="16" t="s">
        <v>314</v>
      </c>
      <c r="B113" s="2">
        <v>60000</v>
      </c>
      <c r="C113" s="2">
        <f t="shared" si="23"/>
        <v>750</v>
      </c>
      <c r="D113" s="44">
        <v>45321</v>
      </c>
      <c r="E113" s="32" t="s">
        <v>60</v>
      </c>
      <c r="F113" s="3" t="s">
        <v>12</v>
      </c>
      <c r="G113" s="3"/>
    </row>
    <row r="114" spans="1:12">
      <c r="A114" s="16" t="s">
        <v>2224</v>
      </c>
      <c r="B114" s="2">
        <v>157000</v>
      </c>
      <c r="C114" s="2">
        <f t="shared" ref="C114:C120" si="24">0.0175*B114</f>
        <v>2747.5000000000005</v>
      </c>
      <c r="D114" s="44">
        <v>45321</v>
      </c>
      <c r="E114" s="3" t="s">
        <v>24</v>
      </c>
      <c r="F114" s="3" t="s">
        <v>28</v>
      </c>
      <c r="G114" s="3"/>
      <c r="H114" s="16" t="s">
        <v>2110</v>
      </c>
      <c r="I114" s="21" t="s">
        <v>30</v>
      </c>
    </row>
    <row r="115" spans="1:12">
      <c r="A115" s="16" t="s">
        <v>2225</v>
      </c>
      <c r="B115" s="2">
        <v>120000</v>
      </c>
      <c r="C115" s="2">
        <f t="shared" si="24"/>
        <v>2100</v>
      </c>
      <c r="D115" s="44">
        <v>45321</v>
      </c>
      <c r="E115" s="32" t="s">
        <v>60</v>
      </c>
      <c r="F115" s="3" t="s">
        <v>28</v>
      </c>
      <c r="G115" s="3"/>
      <c r="I115" s="21" t="s">
        <v>30</v>
      </c>
    </row>
    <row r="116" spans="1:12">
      <c r="A116" s="16" t="s">
        <v>2226</v>
      </c>
      <c r="B116" s="2">
        <v>300000</v>
      </c>
      <c r="C116" s="2">
        <f t="shared" si="24"/>
        <v>5250.0000000000009</v>
      </c>
      <c r="D116" s="44">
        <v>45322</v>
      </c>
      <c r="E116" s="32" t="s">
        <v>60</v>
      </c>
      <c r="F116" s="3" t="s">
        <v>28</v>
      </c>
      <c r="G116" s="3"/>
      <c r="I116" s="21" t="s">
        <v>30</v>
      </c>
    </row>
    <row r="117" spans="1:12">
      <c r="A117" s="16" t="s">
        <v>2227</v>
      </c>
      <c r="B117" s="2">
        <v>140000</v>
      </c>
      <c r="C117" s="2">
        <f t="shared" si="24"/>
        <v>2450.0000000000005</v>
      </c>
      <c r="D117" s="44">
        <v>45322</v>
      </c>
      <c r="E117" s="3" t="s">
        <v>15</v>
      </c>
      <c r="F117" s="3" t="s">
        <v>28</v>
      </c>
      <c r="G117" s="3"/>
      <c r="H117" s="16" t="s">
        <v>2179</v>
      </c>
      <c r="I117" s="21" t="s">
        <v>30</v>
      </c>
    </row>
    <row r="118" spans="1:12">
      <c r="A118" s="16" t="s">
        <v>2228</v>
      </c>
      <c r="B118" s="2">
        <v>250000</v>
      </c>
      <c r="C118" s="2">
        <f t="shared" si="24"/>
        <v>4375</v>
      </c>
      <c r="D118" s="44">
        <v>45322</v>
      </c>
      <c r="E118" s="3" t="s">
        <v>15</v>
      </c>
      <c r="F118" s="3" t="s">
        <v>28</v>
      </c>
      <c r="G118" s="3"/>
      <c r="H118" s="16" t="s">
        <v>2126</v>
      </c>
      <c r="J118" s="16" t="s">
        <v>2095</v>
      </c>
    </row>
    <row r="119" spans="1:12">
      <c r="A119" s="16" t="s">
        <v>2229</v>
      </c>
      <c r="B119" s="2">
        <v>125000</v>
      </c>
      <c r="C119" s="2">
        <f t="shared" si="24"/>
        <v>2187.5</v>
      </c>
      <c r="D119" s="44">
        <v>45322</v>
      </c>
      <c r="E119" s="3" t="s">
        <v>2230</v>
      </c>
      <c r="F119" s="3" t="s">
        <v>28</v>
      </c>
      <c r="G119" s="3"/>
      <c r="H119" s="16" t="s">
        <v>13</v>
      </c>
      <c r="I119" s="21" t="s">
        <v>30</v>
      </c>
    </row>
    <row r="120" spans="1:12">
      <c r="A120" s="16" t="s">
        <v>2231</v>
      </c>
      <c r="B120" s="2">
        <v>85000</v>
      </c>
      <c r="C120" s="2">
        <f t="shared" si="24"/>
        <v>1487.5000000000002</v>
      </c>
      <c r="D120" s="44">
        <v>45322</v>
      </c>
      <c r="E120" s="3" t="s">
        <v>231</v>
      </c>
      <c r="F120" s="3" t="s">
        <v>28</v>
      </c>
      <c r="G120" s="3"/>
      <c r="H120" s="16" t="s">
        <v>13</v>
      </c>
      <c r="I120" s="21" t="s">
        <v>30</v>
      </c>
    </row>
    <row r="121" spans="1:12">
      <c r="A121" s="16" t="s">
        <v>1437</v>
      </c>
      <c r="B121" s="2">
        <v>225000</v>
      </c>
      <c r="C121" s="2">
        <f>0.0125*B121</f>
        <v>2812.5</v>
      </c>
      <c r="D121" s="44">
        <v>45322</v>
      </c>
      <c r="E121" s="3" t="s">
        <v>11</v>
      </c>
      <c r="F121" s="3" t="s">
        <v>12</v>
      </c>
      <c r="G121" s="3"/>
    </row>
    <row r="122" spans="1:12">
      <c r="A122" s="16" t="s">
        <v>2232</v>
      </c>
      <c r="B122" s="2">
        <v>150000</v>
      </c>
      <c r="C122" s="2">
        <f t="shared" ref="C122:C123" si="25">0.0175*B122</f>
        <v>2625.0000000000005</v>
      </c>
      <c r="D122" s="44">
        <v>45322</v>
      </c>
      <c r="E122" s="3" t="s">
        <v>11</v>
      </c>
      <c r="F122" s="3" t="s">
        <v>28</v>
      </c>
      <c r="G122" s="3"/>
      <c r="I122" s="21" t="s">
        <v>30</v>
      </c>
    </row>
    <row r="123" spans="1:12">
      <c r="A123" s="16" t="s">
        <v>2233</v>
      </c>
      <c r="B123" s="2">
        <v>250000</v>
      </c>
      <c r="C123" s="2">
        <f t="shared" si="25"/>
        <v>4375</v>
      </c>
      <c r="D123" s="44">
        <v>45322</v>
      </c>
      <c r="E123" s="3" t="s">
        <v>92</v>
      </c>
      <c r="F123" s="3" t="s">
        <v>28</v>
      </c>
      <c r="G123" s="3"/>
    </row>
    <row r="124" spans="1:12">
      <c r="A124" s="16" t="s">
        <v>2234</v>
      </c>
      <c r="B124" s="17">
        <v>150000</v>
      </c>
      <c r="C124" s="2">
        <f>0.0125*B124</f>
        <v>1875</v>
      </c>
      <c r="D124" s="44">
        <v>45322</v>
      </c>
      <c r="E124" s="3" t="s">
        <v>11</v>
      </c>
      <c r="F124" s="3" t="s">
        <v>12</v>
      </c>
      <c r="G124" s="3"/>
    </row>
    <row r="125" spans="1:12">
      <c r="A125" s="16" t="s">
        <v>2235</v>
      </c>
      <c r="B125" s="17">
        <v>31000</v>
      </c>
      <c r="C125" s="2">
        <f>0.0175*B125</f>
        <v>542.5</v>
      </c>
      <c r="D125" s="44">
        <v>45322</v>
      </c>
      <c r="E125" s="3" t="s">
        <v>15</v>
      </c>
      <c r="F125" s="3" t="s">
        <v>28</v>
      </c>
      <c r="G125" s="3"/>
      <c r="H125" s="16" t="s">
        <v>2126</v>
      </c>
      <c r="I125" s="21" t="s">
        <v>30</v>
      </c>
    </row>
    <row r="126" spans="1:12">
      <c r="A126" s="16" t="s">
        <v>2236</v>
      </c>
      <c r="B126" s="17">
        <v>135000</v>
      </c>
      <c r="C126" s="2">
        <f>0.0125*B126</f>
        <v>1687.5</v>
      </c>
      <c r="D126" s="44">
        <v>45322</v>
      </c>
      <c r="E126" s="32" t="s">
        <v>60</v>
      </c>
      <c r="F126" s="3" t="s">
        <v>12</v>
      </c>
      <c r="G126" s="3"/>
    </row>
    <row r="127" spans="1:12">
      <c r="A127" s="16" t="s">
        <v>2237</v>
      </c>
      <c r="B127" s="2">
        <v>100000</v>
      </c>
      <c r="C127" s="2">
        <f>0.0175*B127</f>
        <v>1750.0000000000002</v>
      </c>
      <c r="D127" s="44">
        <v>45322</v>
      </c>
      <c r="E127" s="3" t="s">
        <v>24</v>
      </c>
      <c r="F127" s="3" t="s">
        <v>28</v>
      </c>
      <c r="G127" s="3"/>
      <c r="H127" s="16" t="s">
        <v>2110</v>
      </c>
      <c r="I127" s="21" t="s">
        <v>30</v>
      </c>
    </row>
    <row r="128" spans="1:12">
      <c r="A128" s="11">
        <v>45323</v>
      </c>
      <c r="B128" s="12">
        <f t="shared" ref="B128:C128" si="26">SUM(B129:B264)</f>
        <v>25969500</v>
      </c>
      <c r="C128" s="12">
        <f t="shared" si="26"/>
        <v>405043.75</v>
      </c>
      <c r="D128" s="14"/>
      <c r="E128" s="14"/>
      <c r="F128" s="14"/>
      <c r="G128" s="14"/>
      <c r="H128" s="15"/>
      <c r="I128" s="15"/>
      <c r="J128" s="15"/>
      <c r="K128" s="15"/>
      <c r="L128" s="15"/>
    </row>
    <row r="129" spans="1:9">
      <c r="A129" s="16" t="s">
        <v>2238</v>
      </c>
      <c r="B129" s="2">
        <v>200000</v>
      </c>
      <c r="C129" s="2">
        <f t="shared" ref="C129:C135" si="27">0.0175*B129</f>
        <v>3500.0000000000005</v>
      </c>
      <c r="D129" s="44">
        <v>45323</v>
      </c>
      <c r="E129" s="3" t="s">
        <v>11</v>
      </c>
      <c r="F129" s="3" t="s">
        <v>28</v>
      </c>
      <c r="G129" s="3"/>
      <c r="I129" s="21" t="s">
        <v>30</v>
      </c>
    </row>
    <row r="130" spans="1:9">
      <c r="A130" s="16" t="s">
        <v>2239</v>
      </c>
      <c r="B130" s="2">
        <v>200000</v>
      </c>
      <c r="C130" s="2">
        <f t="shared" si="27"/>
        <v>3500.0000000000005</v>
      </c>
      <c r="D130" s="44">
        <v>45323</v>
      </c>
      <c r="E130" s="3" t="s">
        <v>24</v>
      </c>
      <c r="F130" s="3" t="s">
        <v>28</v>
      </c>
      <c r="G130" s="3"/>
      <c r="H130" s="16" t="s">
        <v>2110</v>
      </c>
      <c r="I130" s="21" t="s">
        <v>30</v>
      </c>
    </row>
    <row r="131" spans="1:9">
      <c r="A131" s="16" t="s">
        <v>2240</v>
      </c>
      <c r="B131" s="2">
        <v>50000</v>
      </c>
      <c r="C131" s="2">
        <f t="shared" si="27"/>
        <v>875.00000000000011</v>
      </c>
      <c r="D131" s="44">
        <v>45323</v>
      </c>
      <c r="E131" s="32" t="s">
        <v>60</v>
      </c>
      <c r="F131" s="3" t="s">
        <v>28</v>
      </c>
      <c r="G131" s="3"/>
      <c r="I131" s="21" t="s">
        <v>30</v>
      </c>
    </row>
    <row r="132" spans="1:9">
      <c r="A132" s="16" t="s">
        <v>2241</v>
      </c>
      <c r="B132" s="2">
        <v>30000</v>
      </c>
      <c r="C132" s="2">
        <f t="shared" si="27"/>
        <v>525</v>
      </c>
      <c r="D132" s="44">
        <v>45323</v>
      </c>
      <c r="E132" s="3" t="s">
        <v>24</v>
      </c>
      <c r="F132" s="3" t="s">
        <v>28</v>
      </c>
      <c r="G132" s="3"/>
      <c r="H132" s="16" t="s">
        <v>2110</v>
      </c>
      <c r="I132" s="21" t="s">
        <v>30</v>
      </c>
    </row>
    <row r="133" spans="1:9">
      <c r="A133" s="16" t="s">
        <v>2242</v>
      </c>
      <c r="B133" s="17">
        <v>100000</v>
      </c>
      <c r="C133" s="2">
        <f t="shared" si="27"/>
        <v>1750.0000000000002</v>
      </c>
      <c r="D133" s="44">
        <v>45323</v>
      </c>
      <c r="E133" s="3" t="s">
        <v>24</v>
      </c>
      <c r="F133" s="3" t="s">
        <v>28</v>
      </c>
      <c r="G133" s="3"/>
      <c r="H133" s="16" t="s">
        <v>2110</v>
      </c>
      <c r="I133" s="21" t="s">
        <v>30</v>
      </c>
    </row>
    <row r="134" spans="1:9">
      <c r="A134" s="16" t="s">
        <v>2243</v>
      </c>
      <c r="B134" s="17">
        <v>75000</v>
      </c>
      <c r="C134" s="2">
        <f t="shared" si="27"/>
        <v>1312.5000000000002</v>
      </c>
      <c r="D134" s="44">
        <v>45323</v>
      </c>
      <c r="E134" s="3" t="s">
        <v>24</v>
      </c>
      <c r="F134" s="3" t="s">
        <v>28</v>
      </c>
      <c r="G134" s="3"/>
      <c r="H134" s="16" t="s">
        <v>2110</v>
      </c>
      <c r="I134" s="21" t="s">
        <v>30</v>
      </c>
    </row>
    <row r="135" spans="1:9">
      <c r="A135" s="16" t="s">
        <v>2244</v>
      </c>
      <c r="B135" s="17">
        <v>110000</v>
      </c>
      <c r="C135" s="2">
        <f t="shared" si="27"/>
        <v>1925.0000000000002</v>
      </c>
      <c r="D135" s="44">
        <v>45323</v>
      </c>
      <c r="E135" s="32" t="s">
        <v>60</v>
      </c>
      <c r="F135" s="3" t="s">
        <v>28</v>
      </c>
      <c r="G135" s="3"/>
      <c r="I135" s="21" t="s">
        <v>30</v>
      </c>
    </row>
    <row r="136" spans="1:9">
      <c r="A136" s="16" t="s">
        <v>2245</v>
      </c>
      <c r="B136" s="2">
        <v>100000</v>
      </c>
      <c r="C136" s="2">
        <f>0.0125*B136</f>
        <v>1250</v>
      </c>
      <c r="D136" s="44">
        <v>45323</v>
      </c>
      <c r="E136" s="3" t="s">
        <v>11</v>
      </c>
      <c r="F136" s="3" t="s">
        <v>12</v>
      </c>
      <c r="G136" s="3"/>
    </row>
    <row r="137" spans="1:9">
      <c r="A137" s="16" t="s">
        <v>2232</v>
      </c>
      <c r="B137" s="2">
        <v>50000</v>
      </c>
      <c r="C137" s="2">
        <f t="shared" ref="C137:C138" si="28">0.0175*B137</f>
        <v>875.00000000000011</v>
      </c>
      <c r="D137" s="44">
        <v>45324</v>
      </c>
      <c r="E137" s="3" t="s">
        <v>11</v>
      </c>
      <c r="F137" s="3" t="s">
        <v>28</v>
      </c>
      <c r="G137" s="3"/>
      <c r="I137" s="21" t="s">
        <v>30</v>
      </c>
    </row>
    <row r="138" spans="1:9">
      <c r="A138" s="16" t="s">
        <v>2246</v>
      </c>
      <c r="B138" s="2">
        <v>50000</v>
      </c>
      <c r="C138" s="2">
        <f t="shared" si="28"/>
        <v>875.00000000000011</v>
      </c>
      <c r="D138" s="44">
        <v>45324</v>
      </c>
      <c r="E138" s="3" t="s">
        <v>11</v>
      </c>
      <c r="F138" s="3" t="s">
        <v>28</v>
      </c>
      <c r="G138" s="3"/>
      <c r="I138" s="21" t="s">
        <v>30</v>
      </c>
    </row>
    <row r="139" spans="1:9">
      <c r="A139" s="16" t="s">
        <v>2247</v>
      </c>
      <c r="B139" s="2">
        <v>300000</v>
      </c>
      <c r="C139" s="2">
        <f>0.0125*B139</f>
        <v>3750</v>
      </c>
      <c r="D139" s="44">
        <v>45324</v>
      </c>
      <c r="E139" s="32" t="s">
        <v>60</v>
      </c>
      <c r="F139" s="3" t="s">
        <v>12</v>
      </c>
      <c r="G139" s="3"/>
    </row>
    <row r="140" spans="1:9">
      <c r="A140" s="16" t="s">
        <v>2248</v>
      </c>
      <c r="B140" s="2">
        <v>80000</v>
      </c>
      <c r="C140" s="2">
        <f t="shared" ref="C140:C149" si="29">0.0175*B140</f>
        <v>1400.0000000000002</v>
      </c>
      <c r="D140" s="44">
        <v>45324</v>
      </c>
      <c r="E140" s="32" t="s">
        <v>60</v>
      </c>
      <c r="F140" s="3" t="s">
        <v>28</v>
      </c>
      <c r="G140" s="3"/>
      <c r="I140" s="21" t="s">
        <v>30</v>
      </c>
    </row>
    <row r="141" spans="1:9">
      <c r="A141" s="16" t="s">
        <v>2249</v>
      </c>
      <c r="B141" s="2">
        <v>80000</v>
      </c>
      <c r="C141" s="2">
        <f t="shared" si="29"/>
        <v>1400.0000000000002</v>
      </c>
      <c r="D141" s="44">
        <v>45324</v>
      </c>
      <c r="E141" s="3" t="s">
        <v>24</v>
      </c>
      <c r="F141" s="3" t="s">
        <v>28</v>
      </c>
      <c r="G141" s="3"/>
      <c r="H141" s="16" t="s">
        <v>2110</v>
      </c>
      <c r="I141" s="21" t="s">
        <v>30</v>
      </c>
    </row>
    <row r="142" spans="1:9">
      <c r="A142" s="16" t="s">
        <v>2250</v>
      </c>
      <c r="B142" s="2">
        <v>750000</v>
      </c>
      <c r="C142" s="2">
        <f t="shared" si="29"/>
        <v>13125.000000000002</v>
      </c>
      <c r="D142" s="44">
        <v>45327</v>
      </c>
      <c r="E142" s="3" t="s">
        <v>165</v>
      </c>
      <c r="F142" s="3" t="s">
        <v>28</v>
      </c>
      <c r="G142" s="3"/>
      <c r="H142" s="16" t="s">
        <v>2251</v>
      </c>
      <c r="I142" s="21" t="s">
        <v>30</v>
      </c>
    </row>
    <row r="143" spans="1:9">
      <c r="A143" s="16" t="s">
        <v>2252</v>
      </c>
      <c r="B143" s="2">
        <v>82000</v>
      </c>
      <c r="C143" s="2">
        <f t="shared" si="29"/>
        <v>1435.0000000000002</v>
      </c>
      <c r="D143" s="44">
        <v>45327</v>
      </c>
      <c r="E143" s="3" t="s">
        <v>15</v>
      </c>
      <c r="F143" s="3" t="s">
        <v>28</v>
      </c>
      <c r="G143" s="3"/>
      <c r="H143" s="16" t="s">
        <v>2253</v>
      </c>
      <c r="I143" s="21" t="s">
        <v>30</v>
      </c>
    </row>
    <row r="144" spans="1:9">
      <c r="A144" s="16" t="s">
        <v>294</v>
      </c>
      <c r="B144" s="2">
        <v>300000</v>
      </c>
      <c r="C144" s="2">
        <f t="shared" si="29"/>
        <v>5250.0000000000009</v>
      </c>
      <c r="D144" s="44">
        <v>45327</v>
      </c>
      <c r="E144" s="3" t="s">
        <v>2230</v>
      </c>
      <c r="F144" s="3" t="s">
        <v>28</v>
      </c>
      <c r="G144" s="3"/>
      <c r="H144" s="16" t="s">
        <v>13</v>
      </c>
      <c r="I144" s="21" t="s">
        <v>30</v>
      </c>
    </row>
    <row r="145" spans="1:19">
      <c r="A145" s="16" t="s">
        <v>2254</v>
      </c>
      <c r="B145" s="2">
        <v>52000</v>
      </c>
      <c r="C145" s="2">
        <f t="shared" si="29"/>
        <v>910.00000000000011</v>
      </c>
      <c r="D145" s="44">
        <v>45327</v>
      </c>
      <c r="E145" s="3" t="s">
        <v>11</v>
      </c>
      <c r="F145" s="3" t="s">
        <v>28</v>
      </c>
      <c r="G145" s="3"/>
      <c r="I145" s="21" t="s">
        <v>30</v>
      </c>
    </row>
    <row r="146" spans="1:19">
      <c r="A146" s="16" t="s">
        <v>2255</v>
      </c>
      <c r="B146" s="2">
        <v>40000</v>
      </c>
      <c r="C146" s="2">
        <f t="shared" si="29"/>
        <v>700.00000000000011</v>
      </c>
      <c r="D146" s="44">
        <v>45327</v>
      </c>
      <c r="E146" s="3" t="s">
        <v>15</v>
      </c>
      <c r="F146" s="3" t="s">
        <v>28</v>
      </c>
      <c r="G146" s="3"/>
      <c r="H146" s="16" t="s">
        <v>2143</v>
      </c>
      <c r="I146" s="21" t="s">
        <v>30</v>
      </c>
    </row>
    <row r="147" spans="1:19">
      <c r="A147" s="16" t="s">
        <v>2256</v>
      </c>
      <c r="B147" s="2">
        <v>25000</v>
      </c>
      <c r="C147" s="2">
        <f t="shared" si="29"/>
        <v>437.50000000000006</v>
      </c>
      <c r="D147" s="44">
        <v>45327</v>
      </c>
      <c r="E147" s="3" t="s">
        <v>73</v>
      </c>
      <c r="F147" s="3" t="s">
        <v>28</v>
      </c>
      <c r="G147" s="3"/>
    </row>
    <row r="148" spans="1:19">
      <c r="A148" s="16" t="s">
        <v>2257</v>
      </c>
      <c r="B148" s="2">
        <v>40000</v>
      </c>
      <c r="C148" s="2">
        <f t="shared" si="29"/>
        <v>700.00000000000011</v>
      </c>
      <c r="D148" s="44">
        <v>45327</v>
      </c>
      <c r="E148" s="3" t="s">
        <v>11</v>
      </c>
      <c r="F148" s="3" t="s">
        <v>28</v>
      </c>
      <c r="G148" s="3"/>
    </row>
    <row r="149" spans="1:19">
      <c r="A149" s="16" t="s">
        <v>856</v>
      </c>
      <c r="B149" s="2">
        <v>100000</v>
      </c>
      <c r="C149" s="2">
        <f t="shared" si="29"/>
        <v>1750.0000000000002</v>
      </c>
      <c r="D149" s="44">
        <v>45328</v>
      </c>
      <c r="E149" s="3" t="s">
        <v>11</v>
      </c>
      <c r="F149" s="3" t="s">
        <v>28</v>
      </c>
      <c r="G149" s="3"/>
      <c r="I149" s="21" t="s">
        <v>30</v>
      </c>
      <c r="S149" s="33"/>
    </row>
    <row r="150" spans="1:19">
      <c r="A150" s="16" t="s">
        <v>2258</v>
      </c>
      <c r="B150" s="2">
        <v>10000</v>
      </c>
      <c r="C150" s="2">
        <f t="shared" ref="C150:C151" si="30">0.0125*B150</f>
        <v>125</v>
      </c>
      <c r="D150" s="44">
        <v>45328</v>
      </c>
      <c r="E150" s="3" t="s">
        <v>15</v>
      </c>
      <c r="F150" s="3" t="s">
        <v>12</v>
      </c>
      <c r="G150" s="3"/>
      <c r="H150" s="16" t="s">
        <v>51</v>
      </c>
    </row>
    <row r="151" spans="1:19">
      <c r="A151" s="16" t="s">
        <v>2259</v>
      </c>
      <c r="B151" s="2">
        <v>120000</v>
      </c>
      <c r="C151" s="2">
        <f t="shared" si="30"/>
        <v>1500</v>
      </c>
      <c r="D151" s="44">
        <v>45328</v>
      </c>
      <c r="E151" s="3" t="s">
        <v>15</v>
      </c>
      <c r="F151" s="3" t="s">
        <v>12</v>
      </c>
      <c r="G151" s="3"/>
      <c r="H151" s="16" t="s">
        <v>220</v>
      </c>
    </row>
    <row r="152" spans="1:19">
      <c r="A152" s="16" t="s">
        <v>2260</v>
      </c>
      <c r="B152" s="2">
        <v>500000</v>
      </c>
      <c r="C152" s="2">
        <f t="shared" ref="C152:C158" si="31">0.0175*B152</f>
        <v>8750</v>
      </c>
      <c r="D152" s="44">
        <v>45328</v>
      </c>
      <c r="E152" s="3" t="s">
        <v>69</v>
      </c>
      <c r="F152" s="3" t="s">
        <v>28</v>
      </c>
      <c r="G152" s="3"/>
      <c r="H152" s="16" t="s">
        <v>13</v>
      </c>
      <c r="I152" s="21" t="s">
        <v>30</v>
      </c>
    </row>
    <row r="153" spans="1:19">
      <c r="A153" s="16" t="s">
        <v>2261</v>
      </c>
      <c r="B153" s="2">
        <v>45000</v>
      </c>
      <c r="C153" s="2">
        <f t="shared" si="31"/>
        <v>787.50000000000011</v>
      </c>
      <c r="D153" s="44">
        <v>45328</v>
      </c>
      <c r="E153" s="3" t="s">
        <v>15</v>
      </c>
      <c r="F153" s="3" t="s">
        <v>28</v>
      </c>
      <c r="G153" s="3"/>
      <c r="H153" s="16" t="s">
        <v>2116</v>
      </c>
      <c r="I153" s="21" t="s">
        <v>30</v>
      </c>
    </row>
    <row r="154" spans="1:19">
      <c r="A154" s="16" t="s">
        <v>351</v>
      </c>
      <c r="B154" s="2">
        <v>100000</v>
      </c>
      <c r="C154" s="2">
        <f t="shared" si="31"/>
        <v>1750.0000000000002</v>
      </c>
      <c r="D154" s="44">
        <v>45328</v>
      </c>
      <c r="E154" s="3" t="s">
        <v>15</v>
      </c>
      <c r="F154" s="3" t="s">
        <v>28</v>
      </c>
      <c r="G154" s="3"/>
      <c r="H154" s="16" t="s">
        <v>2179</v>
      </c>
      <c r="I154" s="21" t="s">
        <v>30</v>
      </c>
    </row>
    <row r="155" spans="1:19">
      <c r="A155" s="16" t="s">
        <v>1091</v>
      </c>
      <c r="B155" s="2">
        <v>200000</v>
      </c>
      <c r="C155" s="2">
        <f t="shared" si="31"/>
        <v>3500.0000000000005</v>
      </c>
      <c r="D155" s="44">
        <v>45329</v>
      </c>
      <c r="E155" s="32" t="s">
        <v>60</v>
      </c>
      <c r="F155" s="3" t="s">
        <v>28</v>
      </c>
      <c r="G155" s="3"/>
      <c r="I155" s="21" t="s">
        <v>30</v>
      </c>
    </row>
    <row r="156" spans="1:19">
      <c r="A156" s="16" t="s">
        <v>2262</v>
      </c>
      <c r="B156" s="2">
        <v>250000</v>
      </c>
      <c r="C156" s="2">
        <f t="shared" si="31"/>
        <v>4375</v>
      </c>
      <c r="D156" s="44">
        <v>45329</v>
      </c>
      <c r="E156" s="3" t="s">
        <v>11</v>
      </c>
      <c r="F156" s="3" t="s">
        <v>28</v>
      </c>
      <c r="G156" s="3"/>
      <c r="I156" s="21" t="s">
        <v>30</v>
      </c>
    </row>
    <row r="157" spans="1:19">
      <c r="A157" s="16" t="s">
        <v>2263</v>
      </c>
      <c r="B157" s="2">
        <v>225000</v>
      </c>
      <c r="C157" s="2">
        <f t="shared" si="31"/>
        <v>3937.5000000000005</v>
      </c>
      <c r="D157" s="44">
        <v>45329</v>
      </c>
      <c r="E157" s="3" t="s">
        <v>15</v>
      </c>
      <c r="F157" s="3" t="s">
        <v>28</v>
      </c>
      <c r="G157" s="3"/>
      <c r="H157" s="16" t="s">
        <v>2135</v>
      </c>
      <c r="I157" s="21" t="s">
        <v>30</v>
      </c>
    </row>
    <row r="158" spans="1:19">
      <c r="A158" s="16" t="s">
        <v>2264</v>
      </c>
      <c r="B158" s="2">
        <v>425000</v>
      </c>
      <c r="C158" s="2">
        <f t="shared" si="31"/>
        <v>7437.5000000000009</v>
      </c>
      <c r="D158" s="44">
        <v>45329</v>
      </c>
      <c r="E158" s="3" t="s">
        <v>15</v>
      </c>
      <c r="F158" s="3" t="s">
        <v>28</v>
      </c>
      <c r="G158" s="3"/>
      <c r="H158" s="16" t="s">
        <v>2265</v>
      </c>
      <c r="I158" s="21" t="s">
        <v>30</v>
      </c>
    </row>
    <row r="159" spans="1:19">
      <c r="A159" s="16" t="s">
        <v>348</v>
      </c>
      <c r="B159" s="2">
        <v>980000</v>
      </c>
      <c r="C159" s="2">
        <f t="shared" ref="C159:C160" si="32">0.0125*B159</f>
        <v>12250</v>
      </c>
      <c r="D159" s="44">
        <v>45329</v>
      </c>
      <c r="E159" s="32" t="s">
        <v>60</v>
      </c>
      <c r="F159" s="3" t="s">
        <v>12</v>
      </c>
      <c r="G159" s="3"/>
    </row>
    <row r="160" spans="1:19">
      <c r="A160" s="16" t="s">
        <v>2266</v>
      </c>
      <c r="B160" s="2">
        <v>175000</v>
      </c>
      <c r="C160" s="2">
        <f t="shared" si="32"/>
        <v>2187.5</v>
      </c>
      <c r="D160" s="44">
        <v>45329</v>
      </c>
      <c r="E160" s="3" t="s">
        <v>11</v>
      </c>
      <c r="F160" s="3" t="s">
        <v>12</v>
      </c>
      <c r="G160" s="3"/>
    </row>
    <row r="161" spans="1:9">
      <c r="A161" s="16" t="s">
        <v>2267</v>
      </c>
      <c r="B161" s="2">
        <v>65000</v>
      </c>
      <c r="C161" s="2">
        <f t="shared" ref="C161:C167" si="33">0.0175*B161</f>
        <v>1137.5</v>
      </c>
      <c r="D161" s="44">
        <v>45329</v>
      </c>
      <c r="E161" s="3" t="s">
        <v>11</v>
      </c>
      <c r="F161" s="3" t="s">
        <v>28</v>
      </c>
      <c r="G161" s="3"/>
    </row>
    <row r="162" spans="1:9">
      <c r="A162" s="16" t="s">
        <v>2268</v>
      </c>
      <c r="B162" s="2">
        <v>105000</v>
      </c>
      <c r="C162" s="2">
        <f t="shared" si="33"/>
        <v>1837.5000000000002</v>
      </c>
      <c r="D162" s="44">
        <v>45329</v>
      </c>
      <c r="E162" s="3" t="s">
        <v>11</v>
      </c>
      <c r="F162" s="3" t="s">
        <v>28</v>
      </c>
      <c r="G162" s="3"/>
      <c r="I162" s="21" t="s">
        <v>30</v>
      </c>
    </row>
    <row r="163" spans="1:9">
      <c r="A163" s="16" t="s">
        <v>2269</v>
      </c>
      <c r="B163" s="2">
        <v>60000</v>
      </c>
      <c r="C163" s="2">
        <f t="shared" si="33"/>
        <v>1050</v>
      </c>
      <c r="D163" s="44">
        <v>45330</v>
      </c>
      <c r="E163" s="3" t="s">
        <v>2230</v>
      </c>
      <c r="F163" s="3" t="s">
        <v>28</v>
      </c>
      <c r="G163" s="3"/>
      <c r="H163" s="16" t="s">
        <v>13</v>
      </c>
      <c r="I163" s="21" t="s">
        <v>30</v>
      </c>
    </row>
    <row r="164" spans="1:9">
      <c r="A164" s="16" t="s">
        <v>2270</v>
      </c>
      <c r="B164" s="2">
        <v>250000</v>
      </c>
      <c r="C164" s="2">
        <f t="shared" si="33"/>
        <v>4375</v>
      </c>
      <c r="D164" s="44">
        <v>45330</v>
      </c>
      <c r="E164" s="3" t="s">
        <v>231</v>
      </c>
      <c r="F164" s="3" t="s">
        <v>28</v>
      </c>
      <c r="G164" s="3"/>
    </row>
    <row r="165" spans="1:9">
      <c r="A165" s="16" t="s">
        <v>2271</v>
      </c>
      <c r="B165" s="2">
        <v>20000</v>
      </c>
      <c r="C165" s="2">
        <f t="shared" si="33"/>
        <v>350.00000000000006</v>
      </c>
      <c r="D165" s="44">
        <v>45330</v>
      </c>
      <c r="E165" s="3" t="s">
        <v>772</v>
      </c>
      <c r="F165" s="3" t="s">
        <v>28</v>
      </c>
      <c r="G165" s="3"/>
      <c r="I165" s="21" t="s">
        <v>30</v>
      </c>
    </row>
    <row r="166" spans="1:9">
      <c r="A166" s="16" t="s">
        <v>2272</v>
      </c>
      <c r="B166" s="2">
        <v>100000</v>
      </c>
      <c r="C166" s="2">
        <f t="shared" si="33"/>
        <v>1750.0000000000002</v>
      </c>
      <c r="D166" s="44">
        <v>45330</v>
      </c>
      <c r="E166" s="32" t="s">
        <v>60</v>
      </c>
      <c r="F166" s="3" t="s">
        <v>28</v>
      </c>
      <c r="G166" s="3"/>
      <c r="I166" s="21" t="s">
        <v>30</v>
      </c>
    </row>
    <row r="167" spans="1:9">
      <c r="A167" s="16" t="s">
        <v>2273</v>
      </c>
      <c r="B167" s="2">
        <v>15000</v>
      </c>
      <c r="C167" s="2">
        <f t="shared" si="33"/>
        <v>262.5</v>
      </c>
      <c r="D167" s="44">
        <v>45330</v>
      </c>
      <c r="E167" s="3" t="s">
        <v>15</v>
      </c>
      <c r="F167" s="3" t="s">
        <v>28</v>
      </c>
      <c r="G167" s="3"/>
      <c r="H167" s="16" t="s">
        <v>2265</v>
      </c>
    </row>
    <row r="168" spans="1:9">
      <c r="A168" s="16" t="s">
        <v>2274</v>
      </c>
      <c r="B168" s="17">
        <v>75000</v>
      </c>
      <c r="C168" s="2">
        <f t="shared" ref="C168:C169" si="34">0.0125*B168</f>
        <v>937.5</v>
      </c>
      <c r="D168" s="44">
        <v>45330</v>
      </c>
      <c r="E168" s="3" t="s">
        <v>11</v>
      </c>
      <c r="F168" s="3" t="s">
        <v>12</v>
      </c>
      <c r="G168" s="3"/>
    </row>
    <row r="169" spans="1:9">
      <c r="A169" s="16" t="s">
        <v>103</v>
      </c>
      <c r="B169" s="17">
        <v>75000</v>
      </c>
      <c r="C169" s="2">
        <f t="shared" si="34"/>
        <v>937.5</v>
      </c>
      <c r="D169" s="44">
        <v>45330</v>
      </c>
      <c r="E169" s="3" t="s">
        <v>11</v>
      </c>
      <c r="F169" s="3" t="s">
        <v>12</v>
      </c>
      <c r="G169" s="3"/>
    </row>
    <row r="170" spans="1:9">
      <c r="A170" s="16" t="s">
        <v>2275</v>
      </c>
      <c r="B170" s="2">
        <v>100000</v>
      </c>
      <c r="C170" s="2">
        <f>0.0175*B170</f>
        <v>1750.0000000000002</v>
      </c>
      <c r="D170" s="44">
        <v>45330</v>
      </c>
      <c r="E170" s="3" t="s">
        <v>11</v>
      </c>
      <c r="F170" s="3" t="s">
        <v>28</v>
      </c>
      <c r="G170" s="3"/>
    </row>
    <row r="171" spans="1:9">
      <c r="A171" s="16" t="s">
        <v>2276</v>
      </c>
      <c r="B171" s="2">
        <v>80000</v>
      </c>
      <c r="C171" s="2">
        <f>0.0125*B171</f>
        <v>1000</v>
      </c>
      <c r="D171" s="44">
        <v>45330</v>
      </c>
      <c r="E171" s="3" t="s">
        <v>15</v>
      </c>
      <c r="F171" s="3" t="s">
        <v>12</v>
      </c>
      <c r="G171" s="3"/>
      <c r="H171" s="16" t="s">
        <v>35</v>
      </c>
    </row>
    <row r="172" spans="1:9">
      <c r="A172" s="16" t="s">
        <v>2277</v>
      </c>
      <c r="B172" s="2">
        <v>20000</v>
      </c>
      <c r="C172" s="2">
        <f>0.0175*B172</f>
        <v>350.00000000000006</v>
      </c>
      <c r="D172" s="44">
        <v>45331</v>
      </c>
      <c r="E172" s="3" t="s">
        <v>15</v>
      </c>
      <c r="F172" s="3" t="s">
        <v>28</v>
      </c>
      <c r="G172" s="3"/>
      <c r="H172" s="16" t="s">
        <v>2126</v>
      </c>
      <c r="I172" s="21" t="s">
        <v>30</v>
      </c>
    </row>
    <row r="173" spans="1:9">
      <c r="A173" s="16" t="s">
        <v>2278</v>
      </c>
      <c r="B173" s="2">
        <v>85000</v>
      </c>
      <c r="C173" s="2">
        <f>0.0125*B173</f>
        <v>1062.5</v>
      </c>
      <c r="D173" s="44">
        <v>45331</v>
      </c>
      <c r="E173" s="3" t="s">
        <v>2230</v>
      </c>
      <c r="F173" s="3" t="s">
        <v>12</v>
      </c>
      <c r="G173" s="3"/>
      <c r="H173" s="16" t="s">
        <v>22</v>
      </c>
    </row>
    <row r="174" spans="1:9">
      <c r="A174" s="16" t="s">
        <v>2279</v>
      </c>
      <c r="B174" s="2">
        <v>300000</v>
      </c>
      <c r="C174" s="2">
        <f t="shared" ref="C174:C176" si="35">0.0175*B174</f>
        <v>5250.0000000000009</v>
      </c>
      <c r="D174" s="44">
        <v>45331</v>
      </c>
      <c r="E174" s="32" t="s">
        <v>60</v>
      </c>
      <c r="F174" s="3" t="s">
        <v>28</v>
      </c>
      <c r="G174" s="3"/>
      <c r="I174" s="21" t="s">
        <v>30</v>
      </c>
    </row>
    <row r="175" spans="1:9">
      <c r="A175" s="16" t="s">
        <v>2280</v>
      </c>
      <c r="B175" s="2">
        <v>100000</v>
      </c>
      <c r="C175" s="2">
        <f t="shared" si="35"/>
        <v>1750.0000000000002</v>
      </c>
      <c r="D175" s="44">
        <v>45331</v>
      </c>
      <c r="E175" s="3" t="s">
        <v>15</v>
      </c>
      <c r="F175" s="3" t="s">
        <v>28</v>
      </c>
      <c r="G175" s="3"/>
      <c r="H175" s="16" t="s">
        <v>2205</v>
      </c>
      <c r="I175" s="21" t="s">
        <v>30</v>
      </c>
    </row>
    <row r="176" spans="1:9">
      <c r="A176" s="16" t="s">
        <v>2281</v>
      </c>
      <c r="B176" s="2">
        <v>125000</v>
      </c>
      <c r="C176" s="2">
        <f t="shared" si="35"/>
        <v>2187.5</v>
      </c>
      <c r="D176" s="44">
        <v>45334</v>
      </c>
      <c r="E176" s="32" t="s">
        <v>60</v>
      </c>
      <c r="F176" s="3" t="s">
        <v>28</v>
      </c>
      <c r="G176" s="3"/>
      <c r="I176" s="21" t="s">
        <v>30</v>
      </c>
    </row>
    <row r="177" spans="1:9">
      <c r="A177" s="16" t="s">
        <v>2282</v>
      </c>
      <c r="B177" s="2">
        <v>20000</v>
      </c>
      <c r="C177" s="2">
        <f>0.0125*B177</f>
        <v>250</v>
      </c>
      <c r="D177" s="44">
        <v>45334</v>
      </c>
      <c r="E177" s="3" t="s">
        <v>15</v>
      </c>
      <c r="F177" s="3" t="s">
        <v>12</v>
      </c>
      <c r="G177" s="3"/>
      <c r="H177" s="16" t="s">
        <v>51</v>
      </c>
    </row>
    <row r="178" spans="1:9">
      <c r="A178" s="16" t="s">
        <v>2283</v>
      </c>
      <c r="B178" s="2">
        <v>150000</v>
      </c>
      <c r="C178" s="2">
        <f t="shared" ref="C178:C183" si="36">0.0175*B178</f>
        <v>2625.0000000000005</v>
      </c>
      <c r="D178" s="44">
        <v>45334</v>
      </c>
      <c r="E178" s="3" t="s">
        <v>2230</v>
      </c>
      <c r="F178" s="3" t="s">
        <v>28</v>
      </c>
      <c r="G178" s="3"/>
      <c r="H178" s="16" t="s">
        <v>13</v>
      </c>
      <c r="I178" s="21" t="s">
        <v>30</v>
      </c>
    </row>
    <row r="179" spans="1:9">
      <c r="A179" s="16" t="s">
        <v>2284</v>
      </c>
      <c r="B179" s="2">
        <v>30000</v>
      </c>
      <c r="C179" s="2">
        <f t="shared" si="36"/>
        <v>525</v>
      </c>
      <c r="D179" s="44">
        <v>45335</v>
      </c>
      <c r="E179" s="3" t="s">
        <v>15</v>
      </c>
      <c r="F179" s="3" t="s">
        <v>28</v>
      </c>
      <c r="G179" s="3"/>
      <c r="H179" s="16" t="s">
        <v>2116</v>
      </c>
    </row>
    <row r="180" spans="1:9">
      <c r="A180" s="16" t="s">
        <v>2285</v>
      </c>
      <c r="B180" s="2">
        <v>20000</v>
      </c>
      <c r="C180" s="2">
        <f t="shared" si="36"/>
        <v>350.00000000000006</v>
      </c>
      <c r="D180" s="44">
        <v>45335</v>
      </c>
      <c r="E180" s="3" t="s">
        <v>24</v>
      </c>
      <c r="F180" s="3" t="s">
        <v>28</v>
      </c>
      <c r="G180" s="3"/>
      <c r="H180" s="16" t="s">
        <v>2110</v>
      </c>
      <c r="I180" s="21" t="s">
        <v>30</v>
      </c>
    </row>
    <row r="181" spans="1:9">
      <c r="A181" s="16" t="s">
        <v>2286</v>
      </c>
      <c r="B181" s="2">
        <v>100000</v>
      </c>
      <c r="C181" s="2">
        <f t="shared" si="36"/>
        <v>1750.0000000000002</v>
      </c>
      <c r="D181" s="44">
        <v>45335</v>
      </c>
      <c r="E181" s="3" t="s">
        <v>2230</v>
      </c>
      <c r="F181" s="3" t="s">
        <v>28</v>
      </c>
      <c r="G181" s="3"/>
      <c r="H181" s="16" t="s">
        <v>13</v>
      </c>
      <c r="I181" s="21" t="s">
        <v>30</v>
      </c>
    </row>
    <row r="182" spans="1:9">
      <c r="A182" s="16" t="s">
        <v>2287</v>
      </c>
      <c r="B182" s="2">
        <v>300000</v>
      </c>
      <c r="C182" s="2">
        <f t="shared" si="36"/>
        <v>5250.0000000000009</v>
      </c>
      <c r="D182" s="44">
        <v>45335</v>
      </c>
      <c r="E182" s="3" t="s">
        <v>11</v>
      </c>
      <c r="F182" s="3" t="s">
        <v>28</v>
      </c>
      <c r="G182" s="3"/>
      <c r="I182" s="21" t="s">
        <v>30</v>
      </c>
    </row>
    <row r="183" spans="1:9">
      <c r="A183" s="16" t="s">
        <v>2288</v>
      </c>
      <c r="B183" s="2">
        <v>200000</v>
      </c>
      <c r="C183" s="2">
        <f t="shared" si="36"/>
        <v>3500.0000000000005</v>
      </c>
      <c r="D183" s="44">
        <v>45335</v>
      </c>
      <c r="E183" s="3" t="s">
        <v>2104</v>
      </c>
      <c r="F183" s="3" t="s">
        <v>28</v>
      </c>
      <c r="G183" s="3"/>
      <c r="I183" s="21" t="s">
        <v>30</v>
      </c>
    </row>
    <row r="184" spans="1:9">
      <c r="A184" s="16" t="s">
        <v>2289</v>
      </c>
      <c r="B184" s="2">
        <v>20000</v>
      </c>
      <c r="C184" s="2">
        <f t="shared" ref="C184:C185" si="37">0.0125*B184</f>
        <v>250</v>
      </c>
      <c r="D184" s="44">
        <v>45335</v>
      </c>
      <c r="E184" s="3" t="s">
        <v>73</v>
      </c>
      <c r="F184" s="3" t="s">
        <v>12</v>
      </c>
      <c r="G184" s="3"/>
    </row>
    <row r="185" spans="1:9">
      <c r="A185" s="16" t="s">
        <v>2290</v>
      </c>
      <c r="B185" s="2">
        <v>560000</v>
      </c>
      <c r="C185" s="2">
        <f t="shared" si="37"/>
        <v>7000</v>
      </c>
      <c r="D185" s="44">
        <v>45336</v>
      </c>
      <c r="E185" s="3" t="s">
        <v>11</v>
      </c>
      <c r="F185" s="3" t="s">
        <v>12</v>
      </c>
      <c r="G185" s="3"/>
    </row>
    <row r="186" spans="1:9">
      <c r="A186" s="16" t="s">
        <v>2291</v>
      </c>
      <c r="B186" s="2">
        <v>100000</v>
      </c>
      <c r="C186" s="2">
        <f>0.0175*B186</f>
        <v>1750.0000000000002</v>
      </c>
      <c r="D186" s="44">
        <v>45336</v>
      </c>
      <c r="E186" s="3" t="s">
        <v>15</v>
      </c>
      <c r="F186" s="3" t="s">
        <v>28</v>
      </c>
      <c r="G186" s="3"/>
      <c r="H186" s="16" t="s">
        <v>2126</v>
      </c>
      <c r="I186" s="21" t="s">
        <v>30</v>
      </c>
    </row>
    <row r="187" spans="1:9">
      <c r="A187" s="16" t="s">
        <v>2292</v>
      </c>
      <c r="B187" s="2">
        <v>2000000</v>
      </c>
      <c r="C187" s="2">
        <f>0.0125*B187</f>
        <v>25000</v>
      </c>
      <c r="D187" s="44">
        <v>45336</v>
      </c>
      <c r="E187" s="3" t="s">
        <v>11</v>
      </c>
      <c r="F187" s="3" t="s">
        <v>12</v>
      </c>
      <c r="G187" s="3"/>
    </row>
    <row r="188" spans="1:9">
      <c r="A188" s="16" t="s">
        <v>2293</v>
      </c>
      <c r="B188" s="2">
        <v>15000</v>
      </c>
      <c r="C188" s="2">
        <f t="shared" ref="C188:C190" si="38">0.0175*B188</f>
        <v>262.5</v>
      </c>
      <c r="D188" s="44">
        <v>45336</v>
      </c>
      <c r="E188" s="3" t="s">
        <v>15</v>
      </c>
      <c r="F188" s="3" t="s">
        <v>28</v>
      </c>
      <c r="G188" s="3"/>
      <c r="H188" s="16" t="s">
        <v>2143</v>
      </c>
      <c r="I188" s="21" t="s">
        <v>30</v>
      </c>
    </row>
    <row r="189" spans="1:9">
      <c r="A189" s="16" t="s">
        <v>2294</v>
      </c>
      <c r="B189" s="2">
        <v>125000</v>
      </c>
      <c r="C189" s="2">
        <f t="shared" si="38"/>
        <v>2187.5</v>
      </c>
      <c r="D189" s="44">
        <v>45336</v>
      </c>
      <c r="E189" s="3" t="s">
        <v>231</v>
      </c>
      <c r="F189" s="3" t="s">
        <v>28</v>
      </c>
      <c r="G189" s="3"/>
      <c r="H189" s="16" t="s">
        <v>13</v>
      </c>
      <c r="I189" s="21" t="s">
        <v>30</v>
      </c>
    </row>
    <row r="190" spans="1:9">
      <c r="A190" s="16" t="s">
        <v>2295</v>
      </c>
      <c r="B190" s="2">
        <v>150000</v>
      </c>
      <c r="C190" s="2">
        <f t="shared" si="38"/>
        <v>2625.0000000000005</v>
      </c>
      <c r="D190" s="44">
        <v>45336</v>
      </c>
      <c r="E190" s="3" t="s">
        <v>11</v>
      </c>
      <c r="F190" s="3" t="s">
        <v>28</v>
      </c>
      <c r="G190" s="3"/>
      <c r="I190" s="21" t="s">
        <v>30</v>
      </c>
    </row>
    <row r="191" spans="1:9">
      <c r="A191" s="16" t="s">
        <v>2296</v>
      </c>
      <c r="B191" s="2">
        <v>50000</v>
      </c>
      <c r="C191" s="2">
        <f>0.0125*B191</f>
        <v>625</v>
      </c>
      <c r="D191" s="44">
        <v>45337</v>
      </c>
      <c r="E191" s="3" t="s">
        <v>24</v>
      </c>
      <c r="F191" s="3" t="s">
        <v>12</v>
      </c>
      <c r="G191" s="3"/>
      <c r="H191" s="16" t="s">
        <v>2297</v>
      </c>
    </row>
    <row r="192" spans="1:9">
      <c r="A192" s="16" t="s">
        <v>2298</v>
      </c>
      <c r="B192" s="2">
        <v>20000</v>
      </c>
      <c r="C192" s="2">
        <f>0.0175*B192</f>
        <v>350.00000000000006</v>
      </c>
      <c r="D192" s="44">
        <v>45337</v>
      </c>
      <c r="E192" s="3" t="s">
        <v>1375</v>
      </c>
      <c r="F192" s="3" t="s">
        <v>28</v>
      </c>
      <c r="G192" s="3"/>
      <c r="I192" s="21" t="s">
        <v>30</v>
      </c>
    </row>
    <row r="193" spans="1:9">
      <c r="A193" s="16" t="s">
        <v>2299</v>
      </c>
      <c r="B193" s="17">
        <v>100000</v>
      </c>
      <c r="C193" s="2">
        <f t="shared" ref="C193:C197" si="39">0.0125*B193</f>
        <v>1250</v>
      </c>
      <c r="D193" s="44">
        <v>45337</v>
      </c>
      <c r="E193" s="3" t="s">
        <v>11</v>
      </c>
      <c r="F193" s="3" t="s">
        <v>12</v>
      </c>
      <c r="G193" s="3"/>
    </row>
    <row r="194" spans="1:9">
      <c r="A194" s="16" t="s">
        <v>2300</v>
      </c>
      <c r="B194" s="17">
        <v>75000</v>
      </c>
      <c r="C194" s="2">
        <f t="shared" si="39"/>
        <v>937.5</v>
      </c>
      <c r="D194" s="44">
        <v>45337</v>
      </c>
      <c r="E194" s="3" t="s">
        <v>69</v>
      </c>
      <c r="F194" s="3" t="s">
        <v>12</v>
      </c>
      <c r="G194" s="3"/>
      <c r="H194" s="16" t="s">
        <v>22</v>
      </c>
    </row>
    <row r="195" spans="1:9">
      <c r="A195" s="16" t="s">
        <v>2301</v>
      </c>
      <c r="B195" s="17">
        <v>125000</v>
      </c>
      <c r="C195" s="2">
        <f t="shared" si="39"/>
        <v>1562.5</v>
      </c>
      <c r="D195" s="44">
        <v>45337</v>
      </c>
      <c r="E195" s="3" t="s">
        <v>11</v>
      </c>
      <c r="F195" s="3" t="s">
        <v>12</v>
      </c>
      <c r="G195" s="3"/>
    </row>
    <row r="196" spans="1:9">
      <c r="A196" s="16" t="s">
        <v>2302</v>
      </c>
      <c r="B196" s="17">
        <v>20000</v>
      </c>
      <c r="C196" s="2">
        <f t="shared" si="39"/>
        <v>250</v>
      </c>
      <c r="D196" s="44">
        <v>45337</v>
      </c>
      <c r="E196" s="3" t="s">
        <v>11</v>
      </c>
      <c r="F196" s="3" t="s">
        <v>12</v>
      </c>
      <c r="G196" s="3"/>
    </row>
    <row r="197" spans="1:9">
      <c r="A197" s="16" t="s">
        <v>2303</v>
      </c>
      <c r="B197" s="17">
        <v>155000</v>
      </c>
      <c r="C197" s="2">
        <f t="shared" si="39"/>
        <v>1937.5</v>
      </c>
      <c r="D197" s="44">
        <v>45337</v>
      </c>
      <c r="E197" s="3" t="s">
        <v>24</v>
      </c>
      <c r="F197" s="3" t="s">
        <v>12</v>
      </c>
      <c r="G197" s="3"/>
      <c r="H197" s="16" t="s">
        <v>2297</v>
      </c>
    </row>
    <row r="198" spans="1:9">
      <c r="A198" s="16" t="s">
        <v>2304</v>
      </c>
      <c r="B198" s="2">
        <v>50000</v>
      </c>
      <c r="C198" s="2">
        <f>0.0175*B198</f>
        <v>875.00000000000011</v>
      </c>
      <c r="D198" s="44">
        <v>45338</v>
      </c>
      <c r="E198" s="32" t="s">
        <v>60</v>
      </c>
      <c r="F198" s="3" t="s">
        <v>28</v>
      </c>
      <c r="G198" s="3"/>
      <c r="I198" s="21" t="s">
        <v>30</v>
      </c>
    </row>
    <row r="199" spans="1:9">
      <c r="A199" s="16" t="s">
        <v>2305</v>
      </c>
      <c r="B199" s="2">
        <v>175000</v>
      </c>
      <c r="C199" s="2">
        <f>0.0125*B199</f>
        <v>2187.5</v>
      </c>
      <c r="D199" s="44">
        <v>45338</v>
      </c>
      <c r="E199" s="3" t="s">
        <v>75</v>
      </c>
      <c r="F199" s="3" t="s">
        <v>12</v>
      </c>
      <c r="G199" s="3"/>
    </row>
    <row r="200" spans="1:9">
      <c r="A200" s="16" t="s">
        <v>2306</v>
      </c>
      <c r="B200" s="2">
        <v>150000</v>
      </c>
      <c r="C200" s="2">
        <f t="shared" ref="C200:C201" si="40">0.0175*B200</f>
        <v>2625.0000000000005</v>
      </c>
      <c r="D200" s="44">
        <v>45338</v>
      </c>
      <c r="E200" s="3" t="s">
        <v>135</v>
      </c>
      <c r="F200" s="3" t="s">
        <v>28</v>
      </c>
      <c r="G200" s="3"/>
      <c r="H200" s="16" t="s">
        <v>22</v>
      </c>
    </row>
    <row r="201" spans="1:9">
      <c r="A201" s="16" t="s">
        <v>2307</v>
      </c>
      <c r="B201" s="2">
        <v>600000</v>
      </c>
      <c r="C201" s="2">
        <f t="shared" si="40"/>
        <v>10500.000000000002</v>
      </c>
      <c r="D201" s="44">
        <v>45338</v>
      </c>
      <c r="E201" s="3" t="s">
        <v>2308</v>
      </c>
      <c r="F201" s="3" t="s">
        <v>28</v>
      </c>
      <c r="G201" s="3"/>
      <c r="I201" s="21" t="s">
        <v>30</v>
      </c>
    </row>
    <row r="202" spans="1:9">
      <c r="A202" s="16" t="s">
        <v>639</v>
      </c>
      <c r="B202" s="2">
        <v>175000</v>
      </c>
      <c r="C202" s="2">
        <f>0.0125*B202</f>
        <v>2187.5</v>
      </c>
      <c r="D202" s="44">
        <v>45338</v>
      </c>
      <c r="E202" s="3" t="s">
        <v>11</v>
      </c>
      <c r="F202" s="3" t="s">
        <v>12</v>
      </c>
      <c r="G202" s="3"/>
    </row>
    <row r="203" spans="1:9">
      <c r="A203" s="16" t="s">
        <v>2309</v>
      </c>
      <c r="B203" s="2">
        <v>550000</v>
      </c>
      <c r="C203" s="2">
        <f>0.0175*B203</f>
        <v>9625.0000000000018</v>
      </c>
      <c r="D203" s="44">
        <v>45342</v>
      </c>
      <c r="E203" s="32" t="s">
        <v>60</v>
      </c>
      <c r="F203" s="3" t="s">
        <v>28</v>
      </c>
      <c r="G203" s="3"/>
      <c r="I203" s="21" t="s">
        <v>30</v>
      </c>
    </row>
    <row r="204" spans="1:9">
      <c r="A204" s="16" t="s">
        <v>2310</v>
      </c>
      <c r="B204" s="2">
        <v>100000</v>
      </c>
      <c r="C204" s="2">
        <f t="shared" ref="C204:C205" si="41">0.0125*B204</f>
        <v>1250</v>
      </c>
      <c r="D204" s="44">
        <v>45342</v>
      </c>
      <c r="E204" s="3" t="s">
        <v>73</v>
      </c>
      <c r="F204" s="3" t="s">
        <v>12</v>
      </c>
      <c r="G204" s="3"/>
    </row>
    <row r="205" spans="1:9">
      <c r="A205" s="16" t="s">
        <v>2311</v>
      </c>
      <c r="B205" s="2">
        <v>350000</v>
      </c>
      <c r="C205" s="2">
        <f t="shared" si="41"/>
        <v>4375</v>
      </c>
      <c r="D205" s="44">
        <v>45342</v>
      </c>
      <c r="E205" s="3" t="s">
        <v>11</v>
      </c>
      <c r="F205" s="3" t="s">
        <v>12</v>
      </c>
      <c r="G205" s="3"/>
    </row>
    <row r="206" spans="1:9">
      <c r="A206" s="16" t="s">
        <v>2312</v>
      </c>
      <c r="B206" s="2">
        <v>75000</v>
      </c>
      <c r="C206" s="2">
        <f>0.0175*B206</f>
        <v>1312.5000000000002</v>
      </c>
      <c r="D206" s="44">
        <v>45342</v>
      </c>
      <c r="E206" s="3" t="s">
        <v>15</v>
      </c>
      <c r="F206" s="3" t="s">
        <v>28</v>
      </c>
      <c r="G206" s="3"/>
      <c r="H206" s="16" t="s">
        <v>2126</v>
      </c>
      <c r="I206" s="21" t="s">
        <v>30</v>
      </c>
    </row>
    <row r="207" spans="1:9">
      <c r="A207" s="16" t="s">
        <v>2313</v>
      </c>
      <c r="B207" s="2">
        <v>175000</v>
      </c>
      <c r="C207" s="2">
        <f>0.0125*B207</f>
        <v>2187.5</v>
      </c>
      <c r="D207" s="44">
        <v>45342</v>
      </c>
      <c r="E207" s="3" t="s">
        <v>11</v>
      </c>
      <c r="F207" s="3" t="s">
        <v>12</v>
      </c>
      <c r="G207" s="3"/>
    </row>
    <row r="208" spans="1:9">
      <c r="A208" s="16" t="s">
        <v>2314</v>
      </c>
      <c r="B208" s="17">
        <v>55000</v>
      </c>
      <c r="C208" s="2">
        <f t="shared" ref="C208:C213" si="42">0.0175*B208</f>
        <v>962.50000000000011</v>
      </c>
      <c r="D208" s="44">
        <v>45342</v>
      </c>
      <c r="E208" s="3" t="s">
        <v>11</v>
      </c>
      <c r="F208" s="3" t="s">
        <v>28</v>
      </c>
      <c r="G208" s="3"/>
      <c r="I208" s="21" t="s">
        <v>30</v>
      </c>
    </row>
    <row r="209" spans="1:9">
      <c r="A209" s="16" t="s">
        <v>2315</v>
      </c>
      <c r="B209" s="17">
        <v>100000</v>
      </c>
      <c r="C209" s="2">
        <f t="shared" si="42"/>
        <v>1750.0000000000002</v>
      </c>
      <c r="D209" s="44">
        <v>45342</v>
      </c>
      <c r="E209" s="32" t="s">
        <v>60</v>
      </c>
      <c r="F209" s="3" t="s">
        <v>28</v>
      </c>
      <c r="G209" s="3"/>
      <c r="I209" s="21" t="s">
        <v>30</v>
      </c>
    </row>
    <row r="210" spans="1:9">
      <c r="A210" s="16" t="s">
        <v>2316</v>
      </c>
      <c r="B210" s="2">
        <v>1000000</v>
      </c>
      <c r="C210" s="2">
        <f t="shared" si="42"/>
        <v>17500</v>
      </c>
      <c r="D210" s="44">
        <v>45343</v>
      </c>
      <c r="E210" s="3" t="s">
        <v>24</v>
      </c>
      <c r="F210" s="3" t="s">
        <v>2317</v>
      </c>
      <c r="G210" s="3"/>
      <c r="H210" s="16" t="s">
        <v>2318</v>
      </c>
      <c r="I210" s="21" t="s">
        <v>30</v>
      </c>
    </row>
    <row r="211" spans="1:9">
      <c r="A211" s="16" t="s">
        <v>2319</v>
      </c>
      <c r="B211" s="2">
        <v>150000</v>
      </c>
      <c r="C211" s="2">
        <f t="shared" si="42"/>
        <v>2625.0000000000005</v>
      </c>
      <c r="D211" s="44">
        <v>45343</v>
      </c>
      <c r="E211" s="3" t="s">
        <v>11</v>
      </c>
      <c r="F211" s="3" t="s">
        <v>28</v>
      </c>
      <c r="G211" s="3"/>
      <c r="I211" s="21" t="s">
        <v>30</v>
      </c>
    </row>
    <row r="212" spans="1:9">
      <c r="A212" s="16" t="s">
        <v>2320</v>
      </c>
      <c r="B212" s="2">
        <v>200000</v>
      </c>
      <c r="C212" s="2">
        <f t="shared" si="42"/>
        <v>3500.0000000000005</v>
      </c>
      <c r="D212" s="44">
        <v>45344</v>
      </c>
      <c r="E212" s="3" t="s">
        <v>11</v>
      </c>
      <c r="F212" s="3" t="s">
        <v>28</v>
      </c>
      <c r="G212" s="3"/>
      <c r="I212" s="21" t="s">
        <v>30</v>
      </c>
    </row>
    <row r="213" spans="1:9">
      <c r="A213" s="16" t="s">
        <v>2321</v>
      </c>
      <c r="B213" s="2">
        <v>200000</v>
      </c>
      <c r="C213" s="2">
        <f t="shared" si="42"/>
        <v>3500.0000000000005</v>
      </c>
      <c r="D213" s="44">
        <v>45344</v>
      </c>
      <c r="E213" s="3" t="s">
        <v>11</v>
      </c>
      <c r="F213" s="3" t="s">
        <v>28</v>
      </c>
      <c r="G213" s="3"/>
      <c r="I213" s="21" t="s">
        <v>30</v>
      </c>
    </row>
    <row r="214" spans="1:9">
      <c r="A214" s="16" t="s">
        <v>2136</v>
      </c>
      <c r="B214" s="2">
        <v>200000</v>
      </c>
      <c r="C214" s="2">
        <f>0.0125*B214</f>
        <v>2500</v>
      </c>
      <c r="D214" s="44">
        <v>45344</v>
      </c>
      <c r="E214" s="3" t="s">
        <v>11</v>
      </c>
      <c r="F214" s="3" t="s">
        <v>12</v>
      </c>
      <c r="G214" s="3"/>
    </row>
    <row r="215" spans="1:9">
      <c r="A215" s="16" t="s">
        <v>2322</v>
      </c>
      <c r="B215" s="2">
        <v>450000</v>
      </c>
      <c r="C215" s="2">
        <f>0.0175*B215</f>
        <v>7875.0000000000009</v>
      </c>
      <c r="D215" s="44">
        <v>45344</v>
      </c>
      <c r="E215" s="3" t="s">
        <v>24</v>
      </c>
      <c r="F215" s="3" t="s">
        <v>28</v>
      </c>
      <c r="G215" s="3"/>
      <c r="H215" s="16" t="s">
        <v>2318</v>
      </c>
      <c r="I215" s="21" t="s">
        <v>30</v>
      </c>
    </row>
    <row r="216" spans="1:9">
      <c r="A216" s="16" t="s">
        <v>391</v>
      </c>
      <c r="B216" s="17">
        <v>180000</v>
      </c>
      <c r="C216" s="2">
        <f t="shared" ref="C216:C219" si="43">0.0125*B216</f>
        <v>2250</v>
      </c>
      <c r="D216" s="44">
        <v>45344</v>
      </c>
      <c r="E216" s="3" t="s">
        <v>11</v>
      </c>
      <c r="F216" s="3" t="s">
        <v>12</v>
      </c>
      <c r="G216" s="3"/>
    </row>
    <row r="217" spans="1:9">
      <c r="A217" s="16" t="s">
        <v>2323</v>
      </c>
      <c r="B217" s="17">
        <v>40000</v>
      </c>
      <c r="C217" s="2">
        <f t="shared" si="43"/>
        <v>500</v>
      </c>
      <c r="D217" s="44">
        <v>45344</v>
      </c>
      <c r="E217" s="3" t="s">
        <v>11</v>
      </c>
      <c r="F217" s="3" t="s">
        <v>12</v>
      </c>
      <c r="G217" s="3"/>
    </row>
    <row r="218" spans="1:9">
      <c r="A218" s="16" t="s">
        <v>2324</v>
      </c>
      <c r="B218" s="17">
        <v>265000</v>
      </c>
      <c r="C218" s="2">
        <f t="shared" si="43"/>
        <v>3312.5</v>
      </c>
      <c r="D218" s="44">
        <v>45344</v>
      </c>
      <c r="E218" s="3" t="s">
        <v>11</v>
      </c>
      <c r="F218" s="3" t="s">
        <v>12</v>
      </c>
      <c r="G218" s="3"/>
    </row>
    <row r="219" spans="1:9">
      <c r="A219" s="16" t="s">
        <v>2325</v>
      </c>
      <c r="B219" s="17">
        <v>52000</v>
      </c>
      <c r="C219" s="2">
        <f t="shared" si="43"/>
        <v>650</v>
      </c>
      <c r="D219" s="44">
        <v>45344</v>
      </c>
      <c r="E219" s="3" t="s">
        <v>11</v>
      </c>
      <c r="F219" s="3" t="s">
        <v>12</v>
      </c>
      <c r="G219" s="3"/>
    </row>
    <row r="220" spans="1:9">
      <c r="A220" s="16" t="s">
        <v>2326</v>
      </c>
      <c r="B220" s="17">
        <v>65000</v>
      </c>
      <c r="C220" s="2">
        <f>0.0175*B220</f>
        <v>1137.5</v>
      </c>
      <c r="D220" s="44">
        <v>45344</v>
      </c>
      <c r="E220" s="32" t="s">
        <v>60</v>
      </c>
      <c r="F220" s="3" t="s">
        <v>28</v>
      </c>
      <c r="G220" s="3"/>
      <c r="I220" s="21" t="s">
        <v>30</v>
      </c>
    </row>
    <row r="221" spans="1:9">
      <c r="A221" s="16" t="s">
        <v>239</v>
      </c>
      <c r="B221" s="2">
        <v>200000</v>
      </c>
      <c r="C221" s="2">
        <f>0.0125*B221</f>
        <v>2500</v>
      </c>
      <c r="D221" s="45">
        <v>45344</v>
      </c>
      <c r="E221" s="3" t="s">
        <v>73</v>
      </c>
      <c r="F221" s="3" t="s">
        <v>12</v>
      </c>
      <c r="G221" s="3"/>
    </row>
    <row r="222" spans="1:9">
      <c r="A222" s="16" t="s">
        <v>653</v>
      </c>
      <c r="B222" s="2">
        <v>100000</v>
      </c>
      <c r="C222" s="2">
        <f t="shared" ref="C222:C225" si="44">0.0175*B222</f>
        <v>1750.0000000000002</v>
      </c>
      <c r="D222" s="45">
        <v>45344</v>
      </c>
      <c r="E222" s="3" t="s">
        <v>24</v>
      </c>
      <c r="F222" s="3" t="s">
        <v>28</v>
      </c>
      <c r="G222" s="3"/>
      <c r="H222" s="16" t="s">
        <v>2318</v>
      </c>
      <c r="I222" s="21" t="s">
        <v>30</v>
      </c>
    </row>
    <row r="223" spans="1:9">
      <c r="A223" s="16" t="s">
        <v>2327</v>
      </c>
      <c r="B223" s="2">
        <v>150000</v>
      </c>
      <c r="C223" s="2">
        <f t="shared" si="44"/>
        <v>2625.0000000000005</v>
      </c>
      <c r="D223" s="44">
        <v>45345</v>
      </c>
      <c r="E223" s="3" t="s">
        <v>2328</v>
      </c>
      <c r="F223" s="3" t="s">
        <v>28</v>
      </c>
      <c r="G223" s="3"/>
      <c r="H223" s="16" t="s">
        <v>22</v>
      </c>
      <c r="I223" s="21" t="s">
        <v>30</v>
      </c>
    </row>
    <row r="224" spans="1:9">
      <c r="A224" s="16" t="s">
        <v>2329</v>
      </c>
      <c r="B224" s="2">
        <v>40000</v>
      </c>
      <c r="C224" s="2">
        <f t="shared" si="44"/>
        <v>700.00000000000011</v>
      </c>
      <c r="D224" s="44">
        <v>45345</v>
      </c>
      <c r="E224" s="3" t="s">
        <v>11</v>
      </c>
      <c r="F224" s="3" t="s">
        <v>28</v>
      </c>
      <c r="G224" s="3"/>
      <c r="I224" s="21" t="s">
        <v>30</v>
      </c>
    </row>
    <row r="225" spans="1:9">
      <c r="A225" s="16" t="s">
        <v>2330</v>
      </c>
      <c r="B225" s="2">
        <v>150000</v>
      </c>
      <c r="C225" s="2">
        <f t="shared" si="44"/>
        <v>2625.0000000000005</v>
      </c>
      <c r="D225" s="44">
        <v>45345</v>
      </c>
      <c r="E225" s="3" t="s">
        <v>69</v>
      </c>
      <c r="F225" s="3" t="s">
        <v>28</v>
      </c>
      <c r="G225" s="3"/>
      <c r="I225" s="21" t="s">
        <v>30</v>
      </c>
    </row>
    <row r="226" spans="1:9">
      <c r="A226" s="16" t="s">
        <v>2331</v>
      </c>
      <c r="B226" s="2">
        <v>475000</v>
      </c>
      <c r="C226" s="2">
        <f>0.0125*B226</f>
        <v>5937.5</v>
      </c>
      <c r="D226" s="44">
        <v>45345</v>
      </c>
      <c r="E226" s="32" t="s">
        <v>60</v>
      </c>
      <c r="F226" s="3" t="s">
        <v>12</v>
      </c>
      <c r="G226" s="3"/>
    </row>
    <row r="227" spans="1:9">
      <c r="A227" s="16" t="s">
        <v>2332</v>
      </c>
      <c r="B227" s="2">
        <v>2000000</v>
      </c>
      <c r="C227" s="2">
        <f t="shared" ref="C227:C231" si="45">0.0175*B227</f>
        <v>35000</v>
      </c>
      <c r="D227" s="44">
        <v>45348</v>
      </c>
      <c r="E227" s="3" t="s">
        <v>11</v>
      </c>
      <c r="F227" s="3" t="s">
        <v>28</v>
      </c>
      <c r="G227" s="3"/>
      <c r="I227" s="21" t="s">
        <v>30</v>
      </c>
    </row>
    <row r="228" spans="1:9">
      <c r="A228" s="16" t="s">
        <v>2333</v>
      </c>
      <c r="B228" s="2">
        <v>200000</v>
      </c>
      <c r="C228" s="2">
        <f t="shared" si="45"/>
        <v>3500.0000000000005</v>
      </c>
      <c r="D228" s="44">
        <v>45348</v>
      </c>
      <c r="E228" s="3" t="s">
        <v>15</v>
      </c>
      <c r="F228" s="3" t="s">
        <v>28</v>
      </c>
      <c r="G228" s="3"/>
      <c r="H228" s="16" t="s">
        <v>2126</v>
      </c>
      <c r="I228" s="21" t="s">
        <v>30</v>
      </c>
    </row>
    <row r="229" spans="1:9">
      <c r="A229" s="16" t="s">
        <v>2334</v>
      </c>
      <c r="B229" s="2">
        <v>11000</v>
      </c>
      <c r="C229" s="2">
        <f t="shared" si="45"/>
        <v>192.50000000000003</v>
      </c>
      <c r="D229" s="44">
        <v>45348</v>
      </c>
      <c r="E229" s="3" t="s">
        <v>15</v>
      </c>
      <c r="F229" s="3" t="s">
        <v>28</v>
      </c>
      <c r="G229" s="3"/>
      <c r="H229" s="16" t="s">
        <v>2116</v>
      </c>
      <c r="I229" s="21" t="s">
        <v>30</v>
      </c>
    </row>
    <row r="230" spans="1:9">
      <c r="A230" s="16" t="s">
        <v>2335</v>
      </c>
      <c r="B230" s="2">
        <v>115000</v>
      </c>
      <c r="C230" s="2">
        <f t="shared" si="45"/>
        <v>2012.5000000000002</v>
      </c>
      <c r="D230" s="44">
        <v>45348</v>
      </c>
      <c r="E230" s="3" t="s">
        <v>11</v>
      </c>
      <c r="F230" s="3" t="s">
        <v>28</v>
      </c>
      <c r="G230" s="3"/>
      <c r="I230" s="21" t="s">
        <v>30</v>
      </c>
    </row>
    <row r="231" spans="1:9">
      <c r="A231" s="16" t="s">
        <v>2336</v>
      </c>
      <c r="B231" s="2">
        <v>70000</v>
      </c>
      <c r="C231" s="2">
        <f t="shared" si="45"/>
        <v>1225.0000000000002</v>
      </c>
      <c r="D231" s="44">
        <v>45348</v>
      </c>
      <c r="E231" s="3" t="s">
        <v>11</v>
      </c>
      <c r="F231" s="3" t="s">
        <v>2337</v>
      </c>
      <c r="G231" s="3"/>
      <c r="I231" s="21" t="s">
        <v>30</v>
      </c>
    </row>
    <row r="232" spans="1:9">
      <c r="A232" s="16" t="s">
        <v>2338</v>
      </c>
      <c r="B232" s="2">
        <v>175000</v>
      </c>
      <c r="C232" s="2">
        <f>0.0125*B232</f>
        <v>2187.5</v>
      </c>
      <c r="D232" s="44">
        <v>45349</v>
      </c>
      <c r="E232" s="3" t="s">
        <v>11</v>
      </c>
      <c r="F232" s="3" t="s">
        <v>12</v>
      </c>
      <c r="G232" s="3"/>
    </row>
    <row r="233" spans="1:9">
      <c r="A233" s="16" t="s">
        <v>2339</v>
      </c>
      <c r="B233" s="2">
        <v>85000</v>
      </c>
      <c r="C233" s="2">
        <f t="shared" ref="C233:C235" si="46">0.0175*B233</f>
        <v>1487.5000000000002</v>
      </c>
      <c r="D233" s="44">
        <v>45349</v>
      </c>
      <c r="E233" s="3" t="s">
        <v>69</v>
      </c>
      <c r="F233" s="3" t="s">
        <v>28</v>
      </c>
      <c r="G233" s="3"/>
      <c r="H233" s="16" t="s">
        <v>13</v>
      </c>
      <c r="I233" s="21" t="s">
        <v>30</v>
      </c>
    </row>
    <row r="234" spans="1:9">
      <c r="A234" s="16" t="s">
        <v>2340</v>
      </c>
      <c r="B234" s="2">
        <v>85000</v>
      </c>
      <c r="C234" s="2">
        <f t="shared" si="46"/>
        <v>1487.5000000000002</v>
      </c>
      <c r="D234" s="44">
        <v>45349</v>
      </c>
      <c r="E234" s="32" t="s">
        <v>60</v>
      </c>
      <c r="F234" s="3" t="s">
        <v>28</v>
      </c>
      <c r="G234" s="3"/>
      <c r="I234" s="21" t="s">
        <v>30</v>
      </c>
    </row>
    <row r="235" spans="1:9">
      <c r="A235" s="16" t="s">
        <v>2341</v>
      </c>
      <c r="B235" s="2">
        <v>60000</v>
      </c>
      <c r="C235" s="2">
        <f t="shared" si="46"/>
        <v>1050</v>
      </c>
      <c r="D235" s="44">
        <v>45349</v>
      </c>
      <c r="E235" s="32" t="s">
        <v>60</v>
      </c>
      <c r="F235" s="3" t="s">
        <v>28</v>
      </c>
      <c r="G235" s="3"/>
      <c r="I235" s="21" t="s">
        <v>30</v>
      </c>
    </row>
    <row r="236" spans="1:9">
      <c r="A236" s="16" t="s">
        <v>2342</v>
      </c>
      <c r="B236" s="2">
        <v>17500</v>
      </c>
      <c r="C236" s="2">
        <f>0.0125*B236</f>
        <v>218.75</v>
      </c>
      <c r="D236" s="44">
        <v>45349</v>
      </c>
      <c r="E236" s="3" t="s">
        <v>15</v>
      </c>
      <c r="F236" s="3" t="s">
        <v>12</v>
      </c>
      <c r="G236" s="3"/>
      <c r="H236" s="16" t="s">
        <v>54</v>
      </c>
    </row>
    <row r="237" spans="1:9">
      <c r="A237" s="16" t="s">
        <v>2343</v>
      </c>
      <c r="B237" s="2">
        <v>15000</v>
      </c>
      <c r="C237" s="2">
        <f t="shared" ref="C237:C238" si="47">0.0175*B237</f>
        <v>262.5</v>
      </c>
      <c r="D237" s="44">
        <v>45349</v>
      </c>
      <c r="E237" s="3" t="s">
        <v>15</v>
      </c>
      <c r="F237" s="3" t="s">
        <v>28</v>
      </c>
      <c r="G237" s="3"/>
      <c r="H237" s="16" t="s">
        <v>2116</v>
      </c>
      <c r="I237" s="21" t="s">
        <v>30</v>
      </c>
    </row>
    <row r="238" spans="1:9">
      <c r="A238" s="16" t="s">
        <v>2344</v>
      </c>
      <c r="B238" s="2">
        <v>25000</v>
      </c>
      <c r="C238" s="2">
        <f t="shared" si="47"/>
        <v>437.50000000000006</v>
      </c>
      <c r="D238" s="44">
        <v>45349</v>
      </c>
      <c r="E238" s="3" t="s">
        <v>11</v>
      </c>
      <c r="F238" s="3" t="s">
        <v>28</v>
      </c>
      <c r="G238" s="3"/>
      <c r="I238" s="21" t="s">
        <v>30</v>
      </c>
    </row>
    <row r="239" spans="1:9">
      <c r="A239" s="16" t="s">
        <v>2345</v>
      </c>
      <c r="B239" s="2">
        <v>405000</v>
      </c>
      <c r="C239" s="2">
        <f>0.0125*B239</f>
        <v>5062.5</v>
      </c>
      <c r="D239" s="44">
        <v>45350</v>
      </c>
      <c r="E239" s="3" t="s">
        <v>2346</v>
      </c>
      <c r="F239" s="3" t="s">
        <v>12</v>
      </c>
      <c r="G239" s="3"/>
      <c r="H239" s="16" t="s">
        <v>22</v>
      </c>
    </row>
    <row r="240" spans="1:9">
      <c r="A240" s="16" t="s">
        <v>2347</v>
      </c>
      <c r="B240" s="2">
        <v>70000</v>
      </c>
      <c r="C240" s="2">
        <f>0.0175*B240</f>
        <v>1225.0000000000002</v>
      </c>
      <c r="D240" s="44">
        <v>45350</v>
      </c>
      <c r="E240" s="32" t="s">
        <v>60</v>
      </c>
      <c r="F240" s="3" t="s">
        <v>28</v>
      </c>
      <c r="G240" s="3"/>
      <c r="I240" s="21" t="s">
        <v>30</v>
      </c>
    </row>
    <row r="241" spans="1:9">
      <c r="A241" s="16" t="s">
        <v>2348</v>
      </c>
      <c r="B241" s="2">
        <v>275000</v>
      </c>
      <c r="C241" s="2">
        <f>0.0125*B241</f>
        <v>3437.5</v>
      </c>
      <c r="D241" s="44">
        <v>45350</v>
      </c>
      <c r="E241" s="3" t="s">
        <v>69</v>
      </c>
      <c r="F241" s="3" t="s">
        <v>12</v>
      </c>
      <c r="G241" s="3"/>
      <c r="H241" s="16" t="s">
        <v>22</v>
      </c>
    </row>
    <row r="242" spans="1:9">
      <c r="A242" s="16" t="s">
        <v>2349</v>
      </c>
      <c r="B242" s="2">
        <v>250000</v>
      </c>
      <c r="C242" s="2">
        <f>0.0175*240000</f>
        <v>4200</v>
      </c>
      <c r="D242" s="44">
        <v>45350</v>
      </c>
      <c r="E242" s="3" t="s">
        <v>24</v>
      </c>
      <c r="F242" s="3" t="s">
        <v>28</v>
      </c>
      <c r="G242" s="3"/>
      <c r="H242" s="16" t="s">
        <v>2350</v>
      </c>
      <c r="I242" s="21" t="s">
        <v>30</v>
      </c>
    </row>
    <row r="243" spans="1:9">
      <c r="A243" s="16" t="s">
        <v>2351</v>
      </c>
      <c r="B243" s="2">
        <v>200000</v>
      </c>
      <c r="C243" s="2">
        <f t="shared" ref="C243:C246" si="48">0.0175*B243</f>
        <v>3500.0000000000005</v>
      </c>
      <c r="D243" s="44">
        <v>45350</v>
      </c>
      <c r="E243" s="32" t="s">
        <v>60</v>
      </c>
      <c r="F243" s="3" t="s">
        <v>28</v>
      </c>
      <c r="G243" s="3"/>
      <c r="I243" s="21" t="s">
        <v>30</v>
      </c>
    </row>
    <row r="244" spans="1:9">
      <c r="A244" s="16" t="s">
        <v>2352</v>
      </c>
      <c r="B244" s="2">
        <v>100000</v>
      </c>
      <c r="C244" s="2">
        <f t="shared" si="48"/>
        <v>1750.0000000000002</v>
      </c>
      <c r="D244" s="44">
        <v>45350</v>
      </c>
      <c r="E244" s="3" t="s">
        <v>11</v>
      </c>
      <c r="F244" s="3" t="s">
        <v>28</v>
      </c>
      <c r="G244" s="3"/>
    </row>
    <row r="245" spans="1:9">
      <c r="A245" s="16" t="s">
        <v>2353</v>
      </c>
      <c r="B245" s="2">
        <v>100000</v>
      </c>
      <c r="C245" s="2">
        <f t="shared" si="48"/>
        <v>1750.0000000000002</v>
      </c>
      <c r="D245" s="44">
        <v>45351</v>
      </c>
      <c r="E245" s="3" t="s">
        <v>69</v>
      </c>
      <c r="F245" s="3" t="s">
        <v>28</v>
      </c>
      <c r="G245" s="3"/>
      <c r="H245" s="16" t="s">
        <v>13</v>
      </c>
      <c r="I245" s="21" t="s">
        <v>30</v>
      </c>
    </row>
    <row r="246" spans="1:9">
      <c r="A246" s="16" t="s">
        <v>2354</v>
      </c>
      <c r="B246" s="2">
        <v>100000</v>
      </c>
      <c r="C246" s="2">
        <f t="shared" si="48"/>
        <v>1750.0000000000002</v>
      </c>
      <c r="D246" s="44">
        <v>45351</v>
      </c>
      <c r="E246" s="3" t="s">
        <v>11</v>
      </c>
      <c r="F246" s="3" t="s">
        <v>28</v>
      </c>
      <c r="G246" s="3"/>
    </row>
    <row r="247" spans="1:9">
      <c r="A247" s="16" t="s">
        <v>2355</v>
      </c>
      <c r="B247" s="2">
        <v>150000</v>
      </c>
      <c r="C247" s="2">
        <f>0.0175*140000</f>
        <v>2450.0000000000005</v>
      </c>
      <c r="D247" s="44">
        <v>45351</v>
      </c>
      <c r="E247" s="3" t="s">
        <v>24</v>
      </c>
      <c r="F247" s="3" t="s">
        <v>28</v>
      </c>
      <c r="G247" s="3"/>
      <c r="H247" s="16" t="s">
        <v>2350</v>
      </c>
      <c r="I247" s="21" t="s">
        <v>30</v>
      </c>
    </row>
    <row r="248" spans="1:9">
      <c r="A248" s="16" t="s">
        <v>2356</v>
      </c>
      <c r="B248" s="2">
        <v>800000</v>
      </c>
      <c r="C248" s="2">
        <f>0.0175*B248</f>
        <v>14000.000000000002</v>
      </c>
      <c r="D248" s="44">
        <v>45351</v>
      </c>
      <c r="E248" s="3" t="s">
        <v>11</v>
      </c>
      <c r="F248" s="3" t="s">
        <v>28</v>
      </c>
      <c r="G248" s="3"/>
      <c r="I248" s="21" t="s">
        <v>30</v>
      </c>
    </row>
    <row r="249" spans="1:9">
      <c r="A249" s="16" t="s">
        <v>2357</v>
      </c>
      <c r="B249" s="2">
        <v>145000</v>
      </c>
      <c r="C249" s="2">
        <f>0.0125*B249</f>
        <v>1812.5</v>
      </c>
      <c r="D249" s="44">
        <v>45351</v>
      </c>
      <c r="E249" s="32" t="s">
        <v>60</v>
      </c>
      <c r="F249" s="3" t="s">
        <v>12</v>
      </c>
      <c r="G249" s="3"/>
    </row>
    <row r="250" spans="1:9">
      <c r="A250" s="16" t="s">
        <v>2358</v>
      </c>
      <c r="B250" s="17">
        <v>70000</v>
      </c>
      <c r="C250" s="2">
        <f t="shared" ref="C250:C251" si="49">0.0175*B250</f>
        <v>1225.0000000000002</v>
      </c>
      <c r="D250" s="44">
        <v>45351</v>
      </c>
      <c r="E250" s="3" t="s">
        <v>11</v>
      </c>
      <c r="F250" s="3" t="s">
        <v>28</v>
      </c>
      <c r="G250" s="3"/>
      <c r="I250" s="21" t="s">
        <v>30</v>
      </c>
    </row>
    <row r="251" spans="1:9">
      <c r="A251" s="16" t="s">
        <v>2359</v>
      </c>
      <c r="B251" s="17">
        <v>100000</v>
      </c>
      <c r="C251" s="2">
        <f t="shared" si="49"/>
        <v>1750.0000000000002</v>
      </c>
      <c r="D251" s="44">
        <v>45351</v>
      </c>
      <c r="E251" s="3" t="s">
        <v>11</v>
      </c>
      <c r="F251" s="3" t="s">
        <v>28</v>
      </c>
      <c r="G251" s="3"/>
      <c r="I251" s="21" t="s">
        <v>30</v>
      </c>
    </row>
    <row r="252" spans="1:9">
      <c r="A252" s="16" t="s">
        <v>2360</v>
      </c>
      <c r="B252" s="17">
        <v>125000</v>
      </c>
      <c r="C252" s="2">
        <f>0.0125*B252</f>
        <v>1562.5</v>
      </c>
      <c r="D252" s="44">
        <v>45351</v>
      </c>
      <c r="E252" s="3" t="s">
        <v>73</v>
      </c>
      <c r="F252" s="3" t="s">
        <v>12</v>
      </c>
      <c r="G252" s="3"/>
    </row>
    <row r="253" spans="1:9">
      <c r="A253" s="16" t="s">
        <v>2096</v>
      </c>
      <c r="B253" s="17">
        <v>30000</v>
      </c>
      <c r="C253" s="2">
        <f>0.0175*B253</f>
        <v>525</v>
      </c>
      <c r="D253" s="44">
        <v>45351</v>
      </c>
      <c r="E253" s="3" t="s">
        <v>11</v>
      </c>
      <c r="F253" s="3" t="s">
        <v>28</v>
      </c>
      <c r="G253" s="3"/>
    </row>
    <row r="254" spans="1:9">
      <c r="A254" s="16" t="s">
        <v>908</v>
      </c>
      <c r="B254" s="17">
        <v>80000</v>
      </c>
      <c r="C254" s="2">
        <f t="shared" ref="C254:C255" si="50">0.0125*B254</f>
        <v>1000</v>
      </c>
      <c r="D254" s="44">
        <v>45351</v>
      </c>
      <c r="E254" s="3" t="s">
        <v>11</v>
      </c>
      <c r="F254" s="3" t="s">
        <v>12</v>
      </c>
      <c r="G254" s="3"/>
    </row>
    <row r="255" spans="1:9">
      <c r="A255" s="16" t="s">
        <v>2361</v>
      </c>
      <c r="B255" s="17">
        <v>30000</v>
      </c>
      <c r="C255" s="2">
        <f t="shared" si="50"/>
        <v>375</v>
      </c>
      <c r="D255" s="44">
        <v>45351</v>
      </c>
      <c r="E255" s="3" t="s">
        <v>15</v>
      </c>
      <c r="F255" s="3" t="s">
        <v>12</v>
      </c>
      <c r="G255" s="3"/>
      <c r="H255" s="16" t="s">
        <v>54</v>
      </c>
    </row>
    <row r="256" spans="1:9">
      <c r="A256" s="16" t="s">
        <v>2362</v>
      </c>
      <c r="B256" s="2">
        <v>175000</v>
      </c>
      <c r="C256" s="2">
        <f>0.0175*B256</f>
        <v>3062.5000000000005</v>
      </c>
      <c r="D256" s="44">
        <v>45351</v>
      </c>
      <c r="E256" s="3" t="s">
        <v>69</v>
      </c>
      <c r="F256" s="3" t="s">
        <v>28</v>
      </c>
      <c r="G256" s="3"/>
      <c r="H256" s="16" t="s">
        <v>1008</v>
      </c>
      <c r="I256" s="21" t="s">
        <v>30</v>
      </c>
    </row>
    <row r="257" spans="1:19">
      <c r="A257" s="16" t="s">
        <v>2363</v>
      </c>
      <c r="B257" s="2">
        <v>120000</v>
      </c>
      <c r="C257" s="2">
        <f>0.0175*110000</f>
        <v>1925.0000000000002</v>
      </c>
      <c r="D257" s="44">
        <v>45351</v>
      </c>
      <c r="E257" s="3" t="s">
        <v>24</v>
      </c>
      <c r="F257" s="3" t="s">
        <v>28</v>
      </c>
      <c r="G257" s="3"/>
      <c r="H257" s="16" t="s">
        <v>2350</v>
      </c>
      <c r="I257" s="21" t="s">
        <v>30</v>
      </c>
    </row>
    <row r="258" spans="1:19">
      <c r="A258" s="16" t="s">
        <v>676</v>
      </c>
      <c r="B258" s="2">
        <v>140000</v>
      </c>
      <c r="C258" s="2">
        <f>0.0175*B258</f>
        <v>2450.0000000000005</v>
      </c>
      <c r="D258" s="44">
        <v>45351</v>
      </c>
      <c r="E258" s="3" t="s">
        <v>11</v>
      </c>
      <c r="F258" s="3" t="s">
        <v>28</v>
      </c>
      <c r="G258" s="3"/>
      <c r="I258" s="21" t="s">
        <v>30</v>
      </c>
    </row>
    <row r="259" spans="1:19">
      <c r="A259" s="16" t="s">
        <v>964</v>
      </c>
      <c r="B259" s="2">
        <v>175000</v>
      </c>
      <c r="C259" s="2">
        <f>0.0175*165000</f>
        <v>2887.5000000000005</v>
      </c>
      <c r="D259" s="44">
        <v>45351</v>
      </c>
      <c r="E259" s="3" t="s">
        <v>24</v>
      </c>
      <c r="F259" s="3" t="s">
        <v>28</v>
      </c>
      <c r="G259" s="3"/>
      <c r="H259" s="16" t="s">
        <v>2350</v>
      </c>
      <c r="I259" s="21" t="s">
        <v>30</v>
      </c>
    </row>
    <row r="260" spans="1:19">
      <c r="A260" s="16" t="s">
        <v>2364</v>
      </c>
      <c r="B260" s="2">
        <v>150000</v>
      </c>
      <c r="C260" s="2">
        <f>0.0175*B260</f>
        <v>2625.0000000000005</v>
      </c>
      <c r="D260" s="44">
        <v>45351</v>
      </c>
      <c r="E260" s="3" t="s">
        <v>11</v>
      </c>
      <c r="F260" s="3" t="s">
        <v>28</v>
      </c>
      <c r="G260" s="3"/>
      <c r="I260" s="21" t="s">
        <v>30</v>
      </c>
    </row>
    <row r="261" spans="1:19">
      <c r="A261" s="16" t="s">
        <v>2365</v>
      </c>
      <c r="B261" s="2">
        <v>500000</v>
      </c>
      <c r="C261" s="2">
        <f>0.0125*B261</f>
        <v>6250</v>
      </c>
      <c r="D261" s="44">
        <v>45351</v>
      </c>
      <c r="E261" s="3" t="s">
        <v>11</v>
      </c>
      <c r="F261" s="3" t="s">
        <v>12</v>
      </c>
      <c r="G261" s="3"/>
    </row>
    <row r="262" spans="1:19">
      <c r="A262" s="16" t="s">
        <v>2366</v>
      </c>
      <c r="B262" s="2">
        <v>150000</v>
      </c>
      <c r="C262" s="2">
        <f>0.0175*140000</f>
        <v>2450.0000000000005</v>
      </c>
      <c r="D262" s="44">
        <v>45351</v>
      </c>
      <c r="E262" s="3" t="s">
        <v>24</v>
      </c>
      <c r="F262" s="3" t="s">
        <v>28</v>
      </c>
      <c r="G262" s="3"/>
      <c r="H262" s="16" t="s">
        <v>2350</v>
      </c>
      <c r="I262" s="21" t="s">
        <v>30</v>
      </c>
    </row>
    <row r="263" spans="1:19">
      <c r="A263" s="16" t="s">
        <v>2367</v>
      </c>
      <c r="B263" s="17">
        <v>415000</v>
      </c>
      <c r="C263" s="2">
        <f t="shared" ref="C263:C264" si="51">0.0125*B263</f>
        <v>5187.5</v>
      </c>
      <c r="D263" s="44">
        <v>45351</v>
      </c>
      <c r="E263" s="3" t="s">
        <v>11</v>
      </c>
      <c r="F263" s="3" t="s">
        <v>12</v>
      </c>
      <c r="G263" s="3"/>
    </row>
    <row r="264" spans="1:19">
      <c r="A264" s="16" t="s">
        <v>2368</v>
      </c>
      <c r="B264" s="17">
        <v>30000</v>
      </c>
      <c r="C264" s="2">
        <f t="shared" si="51"/>
        <v>375</v>
      </c>
      <c r="D264" s="44">
        <v>45351</v>
      </c>
      <c r="E264" s="3" t="s">
        <v>11</v>
      </c>
      <c r="F264" s="3" t="s">
        <v>12</v>
      </c>
      <c r="G264" s="3"/>
    </row>
    <row r="265" spans="1:19">
      <c r="A265" s="11">
        <v>45352</v>
      </c>
      <c r="B265" s="12">
        <f t="shared" ref="B265:C265" si="52">SUM(B266:B378)</f>
        <v>23324000</v>
      </c>
      <c r="C265" s="12">
        <f t="shared" si="52"/>
        <v>348817.5</v>
      </c>
      <c r="D265" s="14"/>
      <c r="E265" s="14"/>
      <c r="F265" s="14"/>
      <c r="G265" s="14"/>
      <c r="H265" s="15"/>
      <c r="I265" s="15"/>
      <c r="J265" s="15"/>
      <c r="K265" s="15"/>
      <c r="L265" s="15"/>
    </row>
    <row r="266" spans="1:19">
      <c r="A266" s="16" t="s">
        <v>2369</v>
      </c>
      <c r="B266" s="2">
        <v>500000</v>
      </c>
      <c r="C266" s="2">
        <f t="shared" ref="C266:C267" si="53">0.0175*B266</f>
        <v>8750</v>
      </c>
      <c r="D266" s="44">
        <v>45352</v>
      </c>
      <c r="E266" s="32" t="s">
        <v>60</v>
      </c>
      <c r="F266" s="3" t="s">
        <v>28</v>
      </c>
      <c r="G266" s="3"/>
      <c r="I266" s="21" t="s">
        <v>30</v>
      </c>
    </row>
    <row r="267" spans="1:19">
      <c r="A267" s="16" t="s">
        <v>2370</v>
      </c>
      <c r="B267" s="2">
        <v>50000</v>
      </c>
      <c r="C267" s="2">
        <f t="shared" si="53"/>
        <v>875.00000000000011</v>
      </c>
      <c r="D267" s="44">
        <v>45352</v>
      </c>
      <c r="E267" s="3" t="s">
        <v>11</v>
      </c>
      <c r="F267" s="3" t="s">
        <v>28</v>
      </c>
      <c r="G267" s="3"/>
      <c r="I267" s="21" t="s">
        <v>30</v>
      </c>
    </row>
    <row r="268" spans="1:19">
      <c r="A268" s="16" t="s">
        <v>2371</v>
      </c>
      <c r="B268" s="2">
        <v>90000</v>
      </c>
      <c r="C268" s="2">
        <f>0.0175*80000</f>
        <v>1400.0000000000002</v>
      </c>
      <c r="D268" s="44">
        <v>45352</v>
      </c>
      <c r="E268" s="3" t="s">
        <v>24</v>
      </c>
      <c r="F268" s="3" t="s">
        <v>28</v>
      </c>
      <c r="G268" s="3"/>
      <c r="H268" s="16" t="s">
        <v>2350</v>
      </c>
      <c r="I268" s="21" t="s">
        <v>30</v>
      </c>
    </row>
    <row r="269" spans="1:19">
      <c r="A269" s="16" t="s">
        <v>2372</v>
      </c>
      <c r="B269" s="2">
        <v>20500</v>
      </c>
      <c r="C269" s="2">
        <f t="shared" ref="C269:C271" si="54">0.0175*B269</f>
        <v>358.75000000000006</v>
      </c>
      <c r="D269" s="44">
        <v>45352</v>
      </c>
      <c r="E269" s="3" t="s">
        <v>15</v>
      </c>
      <c r="F269" s="3" t="s">
        <v>28</v>
      </c>
      <c r="G269" s="3"/>
      <c r="H269" s="16" t="s">
        <v>2143</v>
      </c>
      <c r="I269" s="21" t="s">
        <v>30</v>
      </c>
      <c r="J269" s="16">
        <v>205</v>
      </c>
    </row>
    <row r="270" spans="1:19">
      <c r="A270" s="16" t="s">
        <v>2373</v>
      </c>
      <c r="B270" s="2">
        <v>300000</v>
      </c>
      <c r="C270" s="2">
        <f t="shared" si="54"/>
        <v>5250.0000000000009</v>
      </c>
      <c r="D270" s="44">
        <v>45352</v>
      </c>
      <c r="E270" s="32" t="s">
        <v>60</v>
      </c>
      <c r="F270" s="3" t="s">
        <v>28</v>
      </c>
      <c r="G270" s="3"/>
      <c r="I270" s="21" t="s">
        <v>30</v>
      </c>
    </row>
    <row r="271" spans="1:19">
      <c r="A271" s="16" t="s">
        <v>682</v>
      </c>
      <c r="B271" s="2">
        <v>150000</v>
      </c>
      <c r="C271" s="2">
        <f t="shared" si="54"/>
        <v>2625.0000000000005</v>
      </c>
      <c r="D271" s="44">
        <v>45355</v>
      </c>
      <c r="E271" s="3" t="s">
        <v>772</v>
      </c>
      <c r="F271" s="3" t="s">
        <v>28</v>
      </c>
      <c r="G271" s="3"/>
      <c r="I271" s="21" t="s">
        <v>30</v>
      </c>
    </row>
    <row r="272" spans="1:19">
      <c r="A272" s="16" t="s">
        <v>475</v>
      </c>
      <c r="B272" s="2">
        <v>545000</v>
      </c>
      <c r="C272" s="2">
        <f>0.0125*B272</f>
        <v>6812.5</v>
      </c>
      <c r="D272" s="44">
        <v>45355</v>
      </c>
      <c r="E272" s="3" t="s">
        <v>75</v>
      </c>
      <c r="F272" s="3" t="s">
        <v>12</v>
      </c>
      <c r="G272" s="3"/>
      <c r="S272" s="46"/>
    </row>
    <row r="273" spans="1:18">
      <c r="A273" s="16" t="s">
        <v>2374</v>
      </c>
      <c r="B273" s="2">
        <v>200000</v>
      </c>
      <c r="C273" s="2">
        <f>0.0175*190000</f>
        <v>3325.0000000000005</v>
      </c>
      <c r="D273" s="44">
        <v>45355</v>
      </c>
      <c r="E273" s="3" t="s">
        <v>24</v>
      </c>
      <c r="F273" s="3" t="s">
        <v>28</v>
      </c>
      <c r="G273" s="3"/>
      <c r="H273" s="16" t="s">
        <v>2350</v>
      </c>
      <c r="I273" s="21" t="s">
        <v>30</v>
      </c>
      <c r="R273" s="33"/>
    </row>
    <row r="274" spans="1:18">
      <c r="A274" s="16" t="s">
        <v>2375</v>
      </c>
      <c r="B274" s="2">
        <v>250000</v>
      </c>
      <c r="C274" s="2">
        <f t="shared" ref="C274:C278" si="55">0.0175*B274</f>
        <v>4375</v>
      </c>
      <c r="D274" s="44">
        <v>45355</v>
      </c>
      <c r="E274" s="3" t="s">
        <v>24</v>
      </c>
      <c r="F274" s="3" t="s">
        <v>28</v>
      </c>
      <c r="G274" s="3"/>
      <c r="H274" s="16" t="s">
        <v>2350</v>
      </c>
      <c r="I274" s="21" t="s">
        <v>30</v>
      </c>
    </row>
    <row r="275" spans="1:18">
      <c r="A275" s="16" t="s">
        <v>2376</v>
      </c>
      <c r="B275" s="2">
        <v>35000</v>
      </c>
      <c r="C275" s="2">
        <f t="shared" si="55"/>
        <v>612.50000000000011</v>
      </c>
      <c r="D275" s="44">
        <v>45355</v>
      </c>
      <c r="E275" s="3" t="s">
        <v>11</v>
      </c>
      <c r="F275" s="3" t="s">
        <v>28</v>
      </c>
      <c r="G275" s="3"/>
      <c r="I275" s="21" t="s">
        <v>30</v>
      </c>
    </row>
    <row r="276" spans="1:18">
      <c r="A276" s="16" t="s">
        <v>1176</v>
      </c>
      <c r="B276" s="2">
        <v>125000</v>
      </c>
      <c r="C276" s="2">
        <f t="shared" si="55"/>
        <v>2187.5</v>
      </c>
      <c r="D276" s="44">
        <v>45355</v>
      </c>
      <c r="E276" s="3" t="s">
        <v>11</v>
      </c>
      <c r="F276" s="3" t="s">
        <v>28</v>
      </c>
      <c r="G276" s="3"/>
      <c r="I276" s="21" t="s">
        <v>30</v>
      </c>
    </row>
    <row r="277" spans="1:18">
      <c r="A277" s="16" t="s">
        <v>2377</v>
      </c>
      <c r="B277" s="2">
        <v>125000</v>
      </c>
      <c r="C277" s="2">
        <f t="shared" si="55"/>
        <v>2187.5</v>
      </c>
      <c r="D277" s="44">
        <v>45356</v>
      </c>
      <c r="E277" s="32" t="s">
        <v>60</v>
      </c>
      <c r="F277" s="3" t="s">
        <v>28</v>
      </c>
      <c r="G277" s="3"/>
      <c r="I277" s="21" t="s">
        <v>30</v>
      </c>
    </row>
    <row r="278" spans="1:18">
      <c r="A278" s="16" t="s">
        <v>2378</v>
      </c>
      <c r="B278" s="2">
        <v>300000</v>
      </c>
      <c r="C278" s="2">
        <f t="shared" si="55"/>
        <v>5250.0000000000009</v>
      </c>
      <c r="D278" s="44">
        <v>45356</v>
      </c>
      <c r="E278" s="3" t="s">
        <v>75</v>
      </c>
      <c r="F278" s="3" t="s">
        <v>28</v>
      </c>
      <c r="G278" s="3"/>
      <c r="I278" s="21" t="s">
        <v>30</v>
      </c>
    </row>
    <row r="279" spans="1:18">
      <c r="A279" s="16" t="s">
        <v>2379</v>
      </c>
      <c r="B279" s="2">
        <v>150000</v>
      </c>
      <c r="C279" s="2">
        <f>0.0125*B279</f>
        <v>1875</v>
      </c>
      <c r="D279" s="44">
        <v>45356</v>
      </c>
      <c r="E279" s="3" t="s">
        <v>73</v>
      </c>
      <c r="F279" s="3" t="s">
        <v>12</v>
      </c>
      <c r="G279" s="3"/>
    </row>
    <row r="280" spans="1:18">
      <c r="A280" s="16" t="s">
        <v>2380</v>
      </c>
      <c r="B280" s="2">
        <v>12500</v>
      </c>
      <c r="C280" s="2">
        <f>0.0175*B280</f>
        <v>218.75000000000003</v>
      </c>
      <c r="D280" s="44">
        <v>45356</v>
      </c>
      <c r="E280" s="32" t="s">
        <v>60</v>
      </c>
      <c r="F280" s="3" t="s">
        <v>28</v>
      </c>
      <c r="G280" s="3"/>
      <c r="I280" s="21" t="s">
        <v>30</v>
      </c>
    </row>
    <row r="281" spans="1:18">
      <c r="A281" s="16" t="s">
        <v>2381</v>
      </c>
      <c r="B281" s="2">
        <v>100000</v>
      </c>
      <c r="C281" s="2">
        <f>0.0125*B281</f>
        <v>1250</v>
      </c>
      <c r="D281" s="44">
        <v>45356</v>
      </c>
      <c r="E281" s="3" t="s">
        <v>2382</v>
      </c>
      <c r="F281" s="3" t="s">
        <v>12</v>
      </c>
      <c r="G281" s="3"/>
      <c r="H281" s="16" t="s">
        <v>22</v>
      </c>
    </row>
    <row r="282" spans="1:18">
      <c r="A282" s="16" t="s">
        <v>2383</v>
      </c>
      <c r="B282" s="2">
        <v>250000</v>
      </c>
      <c r="C282" s="2">
        <f>0.0175*240000</f>
        <v>4200</v>
      </c>
      <c r="D282" s="44">
        <v>45357</v>
      </c>
      <c r="E282" s="3" t="s">
        <v>24</v>
      </c>
      <c r="F282" s="3" t="s">
        <v>28</v>
      </c>
      <c r="G282" s="3"/>
      <c r="H282" s="16" t="s">
        <v>2350</v>
      </c>
      <c r="I282" s="21" t="s">
        <v>30</v>
      </c>
    </row>
    <row r="283" spans="1:18">
      <c r="A283" s="16" t="s">
        <v>2384</v>
      </c>
      <c r="B283" s="2">
        <v>60000</v>
      </c>
      <c r="C283" s="2">
        <f t="shared" ref="C283:C284" si="56">0.0175*B283</f>
        <v>1050</v>
      </c>
      <c r="D283" s="44">
        <v>45357</v>
      </c>
      <c r="E283" s="3" t="s">
        <v>2157</v>
      </c>
      <c r="F283" s="3" t="s">
        <v>28</v>
      </c>
      <c r="G283" s="3"/>
      <c r="H283" s="16" t="s">
        <v>13</v>
      </c>
      <c r="I283" s="21" t="s">
        <v>30</v>
      </c>
    </row>
    <row r="284" spans="1:18">
      <c r="A284" s="16" t="s">
        <v>2385</v>
      </c>
      <c r="B284" s="2">
        <v>30000</v>
      </c>
      <c r="C284" s="2">
        <f t="shared" si="56"/>
        <v>525</v>
      </c>
      <c r="D284" s="44">
        <v>45357</v>
      </c>
      <c r="E284" s="3" t="s">
        <v>15</v>
      </c>
      <c r="F284" s="3" t="s">
        <v>28</v>
      </c>
      <c r="G284" s="3"/>
      <c r="H284" s="16" t="s">
        <v>2126</v>
      </c>
      <c r="I284" s="21" t="s">
        <v>30</v>
      </c>
      <c r="J284" s="16">
        <v>240</v>
      </c>
    </row>
    <row r="285" spans="1:18">
      <c r="A285" s="16" t="s">
        <v>2386</v>
      </c>
      <c r="B285" s="2">
        <v>235000</v>
      </c>
      <c r="C285" s="2">
        <f>0.0125*B285</f>
        <v>2937.5</v>
      </c>
      <c r="D285" s="44">
        <v>45358</v>
      </c>
      <c r="E285" s="32" t="s">
        <v>60</v>
      </c>
      <c r="F285" s="3" t="s">
        <v>12</v>
      </c>
      <c r="G285" s="3"/>
    </row>
    <row r="286" spans="1:18">
      <c r="A286" s="16" t="s">
        <v>2387</v>
      </c>
      <c r="B286" s="2">
        <v>140000</v>
      </c>
      <c r="C286" s="2">
        <f>0.0175*B286</f>
        <v>2450.0000000000005</v>
      </c>
      <c r="D286" s="44">
        <v>45358</v>
      </c>
      <c r="E286" s="3" t="s">
        <v>21</v>
      </c>
      <c r="F286" s="3" t="s">
        <v>28</v>
      </c>
      <c r="G286" s="3"/>
      <c r="H286" s="16" t="s">
        <v>13</v>
      </c>
      <c r="I286" s="21" t="s">
        <v>30</v>
      </c>
    </row>
    <row r="287" spans="1:18">
      <c r="A287" s="16" t="s">
        <v>2388</v>
      </c>
      <c r="B287" s="2">
        <v>68000</v>
      </c>
      <c r="C287" s="2">
        <f t="shared" ref="C287:C289" si="57">0.0125*B287</f>
        <v>850</v>
      </c>
      <c r="D287" s="44">
        <v>45358</v>
      </c>
      <c r="E287" s="3" t="s">
        <v>15</v>
      </c>
      <c r="F287" s="3" t="s">
        <v>12</v>
      </c>
      <c r="G287" s="3"/>
      <c r="H287" s="16" t="s">
        <v>51</v>
      </c>
      <c r="J287" s="16">
        <v>340</v>
      </c>
    </row>
    <row r="288" spans="1:18">
      <c r="A288" s="16" t="s">
        <v>2299</v>
      </c>
      <c r="B288" s="17">
        <v>20000</v>
      </c>
      <c r="C288" s="2">
        <f t="shared" si="57"/>
        <v>250</v>
      </c>
      <c r="D288" s="44">
        <v>45358</v>
      </c>
      <c r="E288" s="3" t="s">
        <v>11</v>
      </c>
      <c r="F288" s="3" t="s">
        <v>12</v>
      </c>
      <c r="G288" s="3"/>
    </row>
    <row r="289" spans="1:10">
      <c r="A289" s="16" t="s">
        <v>2389</v>
      </c>
      <c r="B289" s="17">
        <v>25000</v>
      </c>
      <c r="C289" s="2">
        <f t="shared" si="57"/>
        <v>312.5</v>
      </c>
      <c r="D289" s="44">
        <v>45358</v>
      </c>
      <c r="E289" s="3" t="s">
        <v>11</v>
      </c>
      <c r="F289" s="3" t="s">
        <v>12</v>
      </c>
      <c r="G289" s="3"/>
    </row>
    <row r="290" spans="1:10">
      <c r="A290" s="16" t="s">
        <v>2390</v>
      </c>
      <c r="B290" s="2">
        <v>300000</v>
      </c>
      <c r="C290" s="2">
        <f t="shared" ref="C290:C296" si="58">0.0175*B290</f>
        <v>5250.0000000000009</v>
      </c>
      <c r="D290" s="44">
        <v>45358</v>
      </c>
      <c r="E290" s="3" t="s">
        <v>11</v>
      </c>
      <c r="F290" s="3" t="s">
        <v>28</v>
      </c>
      <c r="G290" s="3"/>
      <c r="I290" s="21" t="s">
        <v>30</v>
      </c>
    </row>
    <row r="291" spans="1:10">
      <c r="A291" s="16" t="s">
        <v>2391</v>
      </c>
      <c r="B291" s="2">
        <v>200000</v>
      </c>
      <c r="C291" s="2">
        <f t="shared" si="58"/>
        <v>3500.0000000000005</v>
      </c>
      <c r="D291" s="44">
        <v>45358</v>
      </c>
      <c r="E291" s="3" t="s">
        <v>11</v>
      </c>
      <c r="F291" s="3" t="s">
        <v>28</v>
      </c>
      <c r="G291" s="3"/>
      <c r="I291" s="21" t="s">
        <v>30</v>
      </c>
    </row>
    <row r="292" spans="1:10">
      <c r="A292" s="16" t="s">
        <v>2392</v>
      </c>
      <c r="B292" s="2">
        <v>300000</v>
      </c>
      <c r="C292" s="2">
        <f t="shared" si="58"/>
        <v>5250.0000000000009</v>
      </c>
      <c r="D292" s="44">
        <v>45359</v>
      </c>
      <c r="E292" s="3" t="s">
        <v>2157</v>
      </c>
      <c r="F292" s="3" t="s">
        <v>67</v>
      </c>
      <c r="G292" s="3"/>
      <c r="H292" s="16" t="s">
        <v>22</v>
      </c>
      <c r="I292" s="21" t="s">
        <v>30</v>
      </c>
    </row>
    <row r="293" spans="1:10">
      <c r="A293" s="16" t="s">
        <v>2393</v>
      </c>
      <c r="B293" s="2">
        <v>40000</v>
      </c>
      <c r="C293" s="2">
        <f t="shared" si="58"/>
        <v>700.00000000000011</v>
      </c>
      <c r="D293" s="44">
        <v>45359</v>
      </c>
      <c r="E293" s="3" t="s">
        <v>11</v>
      </c>
      <c r="F293" s="3" t="s">
        <v>28</v>
      </c>
      <c r="G293" s="3"/>
      <c r="I293" s="21" t="s">
        <v>30</v>
      </c>
    </row>
    <row r="294" spans="1:10">
      <c r="A294" s="16" t="s">
        <v>2394</v>
      </c>
      <c r="B294" s="2">
        <v>140000</v>
      </c>
      <c r="C294" s="2">
        <f t="shared" si="58"/>
        <v>2450.0000000000005</v>
      </c>
      <c r="D294" s="44">
        <v>45359</v>
      </c>
      <c r="E294" s="3" t="s">
        <v>15</v>
      </c>
      <c r="F294" s="3" t="s">
        <v>28</v>
      </c>
      <c r="G294" s="3"/>
      <c r="H294" s="16" t="s">
        <v>2179</v>
      </c>
      <c r="I294" s="21" t="s">
        <v>30</v>
      </c>
      <c r="J294" s="16">
        <v>560</v>
      </c>
    </row>
    <row r="295" spans="1:10">
      <c r="A295" s="16" t="s">
        <v>2395</v>
      </c>
      <c r="B295" s="2">
        <v>135000</v>
      </c>
      <c r="C295" s="2">
        <f t="shared" si="58"/>
        <v>2362.5</v>
      </c>
      <c r="D295" s="44">
        <v>45359</v>
      </c>
      <c r="E295" s="3" t="s">
        <v>69</v>
      </c>
      <c r="F295" s="3" t="s">
        <v>28</v>
      </c>
      <c r="G295" s="3"/>
      <c r="H295" s="16" t="s">
        <v>13</v>
      </c>
      <c r="I295" s="21" t="s">
        <v>30</v>
      </c>
    </row>
    <row r="296" spans="1:10">
      <c r="A296" s="16" t="s">
        <v>2396</v>
      </c>
      <c r="B296" s="2">
        <v>225000</v>
      </c>
      <c r="C296" s="2">
        <f t="shared" si="58"/>
        <v>3937.5000000000005</v>
      </c>
      <c r="D296" s="44">
        <v>45359</v>
      </c>
      <c r="E296" s="3" t="s">
        <v>92</v>
      </c>
      <c r="F296" s="3" t="s">
        <v>28</v>
      </c>
      <c r="G296" s="3"/>
      <c r="I296" s="21" t="s">
        <v>30</v>
      </c>
    </row>
    <row r="297" spans="1:10">
      <c r="A297" s="16" t="s">
        <v>2397</v>
      </c>
      <c r="B297" s="2">
        <v>85000</v>
      </c>
      <c r="C297" s="2">
        <f>0.0175*75000</f>
        <v>1312.5000000000002</v>
      </c>
      <c r="D297" s="44">
        <v>45359</v>
      </c>
      <c r="E297" s="3" t="s">
        <v>24</v>
      </c>
      <c r="F297" s="3" t="s">
        <v>28</v>
      </c>
      <c r="G297" s="3"/>
      <c r="H297" s="16" t="s">
        <v>2350</v>
      </c>
      <c r="I297" s="21" t="s">
        <v>30</v>
      </c>
    </row>
    <row r="298" spans="1:10">
      <c r="A298" s="16" t="s">
        <v>2398</v>
      </c>
      <c r="B298" s="2">
        <v>50000</v>
      </c>
      <c r="C298" s="2">
        <f t="shared" ref="C298:C301" si="59">0.0175*B298</f>
        <v>875.00000000000011</v>
      </c>
      <c r="D298" s="44">
        <v>45362</v>
      </c>
      <c r="E298" s="3" t="s">
        <v>2399</v>
      </c>
      <c r="F298" s="3" t="s">
        <v>28</v>
      </c>
      <c r="G298" s="3"/>
      <c r="I298" s="21" t="s">
        <v>30</v>
      </c>
    </row>
    <row r="299" spans="1:10">
      <c r="A299" s="16" t="s">
        <v>2400</v>
      </c>
      <c r="B299" s="2">
        <v>500000</v>
      </c>
      <c r="C299" s="2">
        <f t="shared" si="59"/>
        <v>8750</v>
      </c>
      <c r="D299" s="44">
        <v>45362</v>
      </c>
      <c r="E299" s="3" t="s">
        <v>21</v>
      </c>
      <c r="F299" s="3" t="s">
        <v>28</v>
      </c>
      <c r="G299" s="3"/>
      <c r="H299" s="16" t="s">
        <v>13</v>
      </c>
      <c r="I299" s="21" t="s">
        <v>30</v>
      </c>
    </row>
    <row r="300" spans="1:10">
      <c r="A300" s="16" t="s">
        <v>2401</v>
      </c>
      <c r="B300" s="2">
        <v>100000</v>
      </c>
      <c r="C300" s="2">
        <f t="shared" si="59"/>
        <v>1750.0000000000002</v>
      </c>
      <c r="D300" s="44">
        <v>45362</v>
      </c>
      <c r="E300" s="3" t="s">
        <v>11</v>
      </c>
      <c r="F300" s="3" t="s">
        <v>28</v>
      </c>
      <c r="G300" s="3"/>
      <c r="I300" s="21" t="s">
        <v>30</v>
      </c>
    </row>
    <row r="301" spans="1:10">
      <c r="A301" s="16" t="s">
        <v>2154</v>
      </c>
      <c r="B301" s="2">
        <v>150000</v>
      </c>
      <c r="C301" s="2">
        <f t="shared" si="59"/>
        <v>2625.0000000000005</v>
      </c>
      <c r="D301" s="44">
        <v>45362</v>
      </c>
      <c r="E301" s="3" t="s">
        <v>69</v>
      </c>
      <c r="F301" s="3" t="s">
        <v>67</v>
      </c>
      <c r="G301" s="3"/>
      <c r="H301" s="16" t="s">
        <v>1008</v>
      </c>
      <c r="I301" s="21" t="s">
        <v>30</v>
      </c>
    </row>
    <row r="302" spans="1:10">
      <c r="A302" s="16" t="s">
        <v>2402</v>
      </c>
      <c r="B302" s="2">
        <v>172500</v>
      </c>
      <c r="C302" s="2">
        <f t="shared" ref="C302:C304" si="60">0.0125*B302</f>
        <v>2156.25</v>
      </c>
      <c r="D302" s="44">
        <v>45363</v>
      </c>
      <c r="E302" s="32" t="s">
        <v>60</v>
      </c>
      <c r="F302" s="3" t="s">
        <v>12</v>
      </c>
      <c r="G302" s="3"/>
    </row>
    <row r="303" spans="1:10">
      <c r="A303" s="16" t="s">
        <v>2403</v>
      </c>
      <c r="B303" s="2">
        <v>220000</v>
      </c>
      <c r="C303" s="2">
        <f t="shared" si="60"/>
        <v>2750</v>
      </c>
      <c r="D303" s="44">
        <v>45363</v>
      </c>
      <c r="E303" s="3" t="s">
        <v>15</v>
      </c>
      <c r="F303" s="3" t="s">
        <v>12</v>
      </c>
      <c r="G303" s="3"/>
      <c r="H303" s="16" t="s">
        <v>16</v>
      </c>
      <c r="J303" s="16">
        <v>880</v>
      </c>
    </row>
    <row r="304" spans="1:10">
      <c r="A304" s="16" t="s">
        <v>2404</v>
      </c>
      <c r="B304" s="2">
        <v>2000000</v>
      </c>
      <c r="C304" s="2">
        <f t="shared" si="60"/>
        <v>25000</v>
      </c>
      <c r="D304" s="44">
        <v>45363</v>
      </c>
      <c r="E304" s="3" t="s">
        <v>2405</v>
      </c>
      <c r="F304" s="3" t="s">
        <v>12</v>
      </c>
      <c r="G304" s="3"/>
    </row>
    <row r="305" spans="1:10">
      <c r="A305" s="16" t="s">
        <v>2406</v>
      </c>
      <c r="B305" s="2">
        <v>250000</v>
      </c>
      <c r="C305" s="2">
        <f t="shared" ref="C305:C308" si="61">0.0175*B305</f>
        <v>4375</v>
      </c>
      <c r="D305" s="44">
        <v>45363</v>
      </c>
      <c r="E305" s="32" t="s">
        <v>60</v>
      </c>
      <c r="F305" s="3" t="s">
        <v>28</v>
      </c>
      <c r="G305" s="3"/>
    </row>
    <row r="306" spans="1:10">
      <c r="A306" s="16" t="s">
        <v>2407</v>
      </c>
      <c r="B306" s="2">
        <v>600000</v>
      </c>
      <c r="C306" s="2">
        <f t="shared" si="61"/>
        <v>10500.000000000002</v>
      </c>
      <c r="D306" s="44">
        <v>45363</v>
      </c>
      <c r="E306" s="3" t="s">
        <v>11</v>
      </c>
      <c r="F306" s="3" t="s">
        <v>28</v>
      </c>
      <c r="G306" s="3"/>
      <c r="I306" s="21" t="s">
        <v>30</v>
      </c>
    </row>
    <row r="307" spans="1:10">
      <c r="A307" s="16" t="s">
        <v>2408</v>
      </c>
      <c r="B307" s="2">
        <v>100000</v>
      </c>
      <c r="C307" s="2">
        <f t="shared" si="61"/>
        <v>1750.0000000000002</v>
      </c>
      <c r="D307" s="44">
        <v>45364</v>
      </c>
      <c r="E307" s="3" t="s">
        <v>15</v>
      </c>
      <c r="F307" s="3" t="s">
        <v>28</v>
      </c>
      <c r="G307" s="3"/>
      <c r="H307" s="16" t="s">
        <v>2409</v>
      </c>
      <c r="J307" s="16">
        <v>200</v>
      </c>
    </row>
    <row r="308" spans="1:10">
      <c r="A308" s="16" t="s">
        <v>2410</v>
      </c>
      <c r="B308" s="2">
        <v>75000</v>
      </c>
      <c r="C308" s="2">
        <f t="shared" si="61"/>
        <v>1312.5000000000002</v>
      </c>
      <c r="D308" s="44">
        <v>45364</v>
      </c>
      <c r="E308" s="32" t="s">
        <v>60</v>
      </c>
      <c r="F308" s="3" t="s">
        <v>28</v>
      </c>
      <c r="G308" s="3"/>
      <c r="I308" s="21" t="s">
        <v>30</v>
      </c>
    </row>
    <row r="309" spans="1:10">
      <c r="A309" s="16" t="s">
        <v>2411</v>
      </c>
      <c r="B309" s="2">
        <v>500000</v>
      </c>
      <c r="C309" s="2">
        <f>0.0175*490000</f>
        <v>8575</v>
      </c>
      <c r="D309" s="44">
        <v>45364</v>
      </c>
      <c r="E309" s="3" t="s">
        <v>24</v>
      </c>
      <c r="F309" s="3" t="s">
        <v>28</v>
      </c>
      <c r="G309" s="3"/>
      <c r="H309" s="16" t="s">
        <v>2350</v>
      </c>
      <c r="I309" s="21" t="s">
        <v>30</v>
      </c>
    </row>
    <row r="310" spans="1:10">
      <c r="A310" s="16" t="s">
        <v>2412</v>
      </c>
      <c r="B310" s="2">
        <v>500000</v>
      </c>
      <c r="C310" s="2">
        <f t="shared" ref="C310:C315" si="62">0.0175*B310</f>
        <v>8750</v>
      </c>
      <c r="D310" s="44">
        <v>45364</v>
      </c>
      <c r="E310" s="3" t="s">
        <v>75</v>
      </c>
      <c r="F310" s="3" t="s">
        <v>28</v>
      </c>
      <c r="G310" s="3"/>
      <c r="I310" s="21" t="s">
        <v>30</v>
      </c>
    </row>
    <row r="311" spans="1:10">
      <c r="A311" s="16" t="s">
        <v>2413</v>
      </c>
      <c r="B311" s="2">
        <v>80000</v>
      </c>
      <c r="C311" s="2">
        <f t="shared" si="62"/>
        <v>1400.0000000000002</v>
      </c>
      <c r="D311" s="44">
        <v>45364</v>
      </c>
      <c r="E311" s="3" t="s">
        <v>11</v>
      </c>
      <c r="F311" s="3" t="s">
        <v>28</v>
      </c>
      <c r="G311" s="3"/>
      <c r="I311" s="21" t="s">
        <v>30</v>
      </c>
    </row>
    <row r="312" spans="1:10">
      <c r="A312" s="16" t="s">
        <v>2414</v>
      </c>
      <c r="B312" s="2">
        <v>300000</v>
      </c>
      <c r="C312" s="2">
        <f t="shared" si="62"/>
        <v>5250.0000000000009</v>
      </c>
      <c r="D312" s="44">
        <v>45365</v>
      </c>
      <c r="E312" s="32" t="s">
        <v>60</v>
      </c>
      <c r="F312" s="3" t="s">
        <v>28</v>
      </c>
      <c r="G312" s="3"/>
      <c r="I312" s="21" t="s">
        <v>30</v>
      </c>
    </row>
    <row r="313" spans="1:10">
      <c r="A313" s="16" t="s">
        <v>2415</v>
      </c>
      <c r="B313" s="2">
        <v>50000</v>
      </c>
      <c r="C313" s="2">
        <f t="shared" si="62"/>
        <v>875.00000000000011</v>
      </c>
      <c r="D313" s="44">
        <v>45365</v>
      </c>
      <c r="E313" s="3" t="s">
        <v>11</v>
      </c>
      <c r="F313" s="3" t="s">
        <v>28</v>
      </c>
      <c r="G313" s="3"/>
      <c r="I313" s="21" t="s">
        <v>30</v>
      </c>
    </row>
    <row r="314" spans="1:10">
      <c r="A314" s="16" t="s">
        <v>2416</v>
      </c>
      <c r="B314" s="2">
        <v>20000</v>
      </c>
      <c r="C314" s="2">
        <f t="shared" si="62"/>
        <v>350.00000000000006</v>
      </c>
      <c r="D314" s="44">
        <v>45365</v>
      </c>
      <c r="E314" s="3" t="s">
        <v>772</v>
      </c>
      <c r="F314" s="3" t="s">
        <v>28</v>
      </c>
      <c r="G314" s="3"/>
      <c r="I314" s="21" t="s">
        <v>30</v>
      </c>
    </row>
    <row r="315" spans="1:10">
      <c r="A315" s="16" t="s">
        <v>2417</v>
      </c>
      <c r="B315" s="2">
        <v>40000</v>
      </c>
      <c r="C315" s="2">
        <f t="shared" si="62"/>
        <v>700.00000000000011</v>
      </c>
      <c r="D315" s="44">
        <v>45365</v>
      </c>
      <c r="E315" s="3" t="s">
        <v>135</v>
      </c>
      <c r="F315" s="3" t="s">
        <v>28</v>
      </c>
      <c r="G315" s="3"/>
      <c r="H315" s="16" t="s">
        <v>13</v>
      </c>
      <c r="I315" s="21" t="s">
        <v>30</v>
      </c>
    </row>
    <row r="316" spans="1:10">
      <c r="A316" s="16" t="s">
        <v>2418</v>
      </c>
      <c r="B316" s="17">
        <v>30000</v>
      </c>
      <c r="C316" s="2">
        <f t="shared" ref="C316:C317" si="63">0.0125*B316</f>
        <v>375</v>
      </c>
      <c r="D316" s="44">
        <v>45365</v>
      </c>
      <c r="E316" s="3" t="s">
        <v>11</v>
      </c>
      <c r="F316" s="3" t="s">
        <v>12</v>
      </c>
      <c r="G316" s="3"/>
    </row>
    <row r="317" spans="1:10">
      <c r="A317" s="16" t="s">
        <v>2419</v>
      </c>
      <c r="B317" s="17">
        <v>12000</v>
      </c>
      <c r="C317" s="2">
        <f t="shared" si="63"/>
        <v>150</v>
      </c>
      <c r="D317" s="44">
        <v>45365</v>
      </c>
      <c r="E317" s="3" t="s">
        <v>11</v>
      </c>
      <c r="F317" s="3" t="s">
        <v>12</v>
      </c>
      <c r="G317" s="3"/>
    </row>
    <row r="318" spans="1:10">
      <c r="A318" s="16" t="s">
        <v>2420</v>
      </c>
      <c r="B318" s="2">
        <v>200000</v>
      </c>
      <c r="C318" s="2">
        <f>0.0175*B318</f>
        <v>3500.0000000000005</v>
      </c>
      <c r="D318" s="44">
        <v>45365</v>
      </c>
      <c r="E318" s="3" t="s">
        <v>11</v>
      </c>
      <c r="F318" s="3" t="s">
        <v>28</v>
      </c>
      <c r="G318" s="3"/>
      <c r="I318" s="21" t="s">
        <v>30</v>
      </c>
    </row>
    <row r="319" spans="1:10">
      <c r="A319" s="16" t="s">
        <v>653</v>
      </c>
      <c r="B319" s="2">
        <v>100000</v>
      </c>
      <c r="C319" s="2">
        <f>0.0175*90000</f>
        <v>1575.0000000000002</v>
      </c>
      <c r="D319" s="44">
        <v>45365</v>
      </c>
      <c r="E319" s="3" t="s">
        <v>24</v>
      </c>
      <c r="F319" s="3" t="s">
        <v>28</v>
      </c>
      <c r="G319" s="3"/>
      <c r="H319" s="16" t="s">
        <v>2350</v>
      </c>
      <c r="I319" s="21" t="s">
        <v>30</v>
      </c>
    </row>
    <row r="320" spans="1:10">
      <c r="A320" s="16" t="s">
        <v>2421</v>
      </c>
      <c r="B320" s="2">
        <v>85000</v>
      </c>
      <c r="C320" s="2">
        <f t="shared" ref="C320:C324" si="64">0.0175*B320</f>
        <v>1487.5000000000002</v>
      </c>
      <c r="D320" s="44">
        <v>45366</v>
      </c>
      <c r="E320" s="3" t="s">
        <v>24</v>
      </c>
      <c r="F320" s="3" t="s">
        <v>28</v>
      </c>
      <c r="G320" s="3"/>
      <c r="H320" s="16" t="s">
        <v>2350</v>
      </c>
      <c r="I320" s="21" t="s">
        <v>30</v>
      </c>
    </row>
    <row r="321" spans="1:10">
      <c r="A321" s="16" t="s">
        <v>2422</v>
      </c>
      <c r="B321" s="2">
        <v>3500</v>
      </c>
      <c r="C321" s="2">
        <f t="shared" si="64"/>
        <v>61.250000000000007</v>
      </c>
      <c r="D321" s="44">
        <v>45366</v>
      </c>
      <c r="E321" s="3" t="s">
        <v>15</v>
      </c>
      <c r="F321" s="3" t="s">
        <v>28</v>
      </c>
      <c r="G321" s="3"/>
      <c r="H321" s="16" t="s">
        <v>2116</v>
      </c>
      <c r="J321" s="16">
        <v>42</v>
      </c>
    </row>
    <row r="322" spans="1:10">
      <c r="A322" s="16" t="s">
        <v>2423</v>
      </c>
      <c r="B322" s="2">
        <v>135000</v>
      </c>
      <c r="C322" s="2">
        <f t="shared" si="64"/>
        <v>2362.5</v>
      </c>
      <c r="D322" s="44">
        <v>45369</v>
      </c>
      <c r="E322" s="3" t="s">
        <v>11</v>
      </c>
      <c r="F322" s="3" t="s">
        <v>28</v>
      </c>
      <c r="G322" s="3"/>
    </row>
    <row r="323" spans="1:10">
      <c r="A323" s="16" t="s">
        <v>2424</v>
      </c>
      <c r="B323" s="2">
        <v>100000</v>
      </c>
      <c r="C323" s="2">
        <f t="shared" si="64"/>
        <v>1750.0000000000002</v>
      </c>
      <c r="D323" s="44">
        <v>45369</v>
      </c>
      <c r="E323" s="3" t="s">
        <v>11</v>
      </c>
      <c r="F323" s="3" t="s">
        <v>28</v>
      </c>
      <c r="G323" s="3"/>
    </row>
    <row r="324" spans="1:10">
      <c r="A324" s="16" t="s">
        <v>2425</v>
      </c>
      <c r="B324" s="2">
        <v>125000</v>
      </c>
      <c r="C324" s="2">
        <f t="shared" si="64"/>
        <v>2187.5</v>
      </c>
      <c r="D324" s="44">
        <v>45369</v>
      </c>
      <c r="E324" s="32" t="s">
        <v>60</v>
      </c>
      <c r="F324" s="3" t="s">
        <v>28</v>
      </c>
      <c r="G324" s="3"/>
      <c r="I324" s="21" t="s">
        <v>30</v>
      </c>
    </row>
    <row r="325" spans="1:10">
      <c r="A325" s="16" t="s">
        <v>2381</v>
      </c>
      <c r="B325" s="2">
        <v>300000</v>
      </c>
      <c r="C325" s="2">
        <f>0.0125*B325</f>
        <v>3750</v>
      </c>
      <c r="D325" s="44">
        <v>45369</v>
      </c>
      <c r="E325" s="3" t="s">
        <v>135</v>
      </c>
      <c r="F325" s="3" t="s">
        <v>12</v>
      </c>
      <c r="G325" s="3"/>
      <c r="H325" s="16" t="s">
        <v>22</v>
      </c>
    </row>
    <row r="326" spans="1:10">
      <c r="A326" s="16" t="s">
        <v>2426</v>
      </c>
      <c r="B326" s="2">
        <v>100000</v>
      </c>
      <c r="C326" s="2">
        <f t="shared" ref="C326:C329" si="65">0.0175*B326</f>
        <v>1750.0000000000002</v>
      </c>
      <c r="D326" s="44">
        <v>45369</v>
      </c>
      <c r="E326" s="3" t="s">
        <v>11</v>
      </c>
      <c r="F326" s="3" t="s">
        <v>28</v>
      </c>
      <c r="G326" s="3"/>
      <c r="I326" s="21" t="s">
        <v>30</v>
      </c>
    </row>
    <row r="327" spans="1:10">
      <c r="A327" s="16" t="s">
        <v>2427</v>
      </c>
      <c r="B327" s="2">
        <v>58000</v>
      </c>
      <c r="C327" s="2">
        <f t="shared" si="65"/>
        <v>1015.0000000000001</v>
      </c>
      <c r="D327" s="44">
        <v>45369</v>
      </c>
      <c r="E327" s="32" t="s">
        <v>60</v>
      </c>
      <c r="F327" s="3" t="s">
        <v>28</v>
      </c>
      <c r="G327" s="3"/>
      <c r="I327" s="21" t="s">
        <v>30</v>
      </c>
    </row>
    <row r="328" spans="1:10">
      <c r="A328" s="16" t="s">
        <v>2428</v>
      </c>
      <c r="B328" s="2">
        <v>125000</v>
      </c>
      <c r="C328" s="2">
        <f t="shared" si="65"/>
        <v>2187.5</v>
      </c>
      <c r="D328" s="44">
        <v>45369</v>
      </c>
      <c r="E328" s="32" t="s">
        <v>60</v>
      </c>
      <c r="F328" s="3" t="s">
        <v>28</v>
      </c>
      <c r="G328" s="3"/>
      <c r="I328" s="21" t="s">
        <v>30</v>
      </c>
    </row>
    <row r="329" spans="1:10">
      <c r="A329" s="16" t="s">
        <v>2429</v>
      </c>
      <c r="B329" s="2">
        <v>200000</v>
      </c>
      <c r="C329" s="2">
        <f t="shared" si="65"/>
        <v>3500.0000000000005</v>
      </c>
      <c r="D329" s="44">
        <v>45369</v>
      </c>
      <c r="E329" s="3" t="s">
        <v>11</v>
      </c>
      <c r="F329" s="3" t="s">
        <v>28</v>
      </c>
      <c r="G329" s="3"/>
      <c r="I329" s="21" t="s">
        <v>30</v>
      </c>
    </row>
    <row r="330" spans="1:10">
      <c r="A330" s="16" t="s">
        <v>2430</v>
      </c>
      <c r="B330" s="2">
        <v>25000</v>
      </c>
      <c r="C330" s="2">
        <f>0.0175*20000</f>
        <v>350.00000000000006</v>
      </c>
      <c r="D330" s="44">
        <v>45370</v>
      </c>
      <c r="E330" s="3" t="s">
        <v>24</v>
      </c>
      <c r="F330" s="3" t="s">
        <v>28</v>
      </c>
      <c r="G330" s="3"/>
      <c r="H330" s="16" t="s">
        <v>2431</v>
      </c>
      <c r="I330" s="21" t="s">
        <v>30</v>
      </c>
    </row>
    <row r="331" spans="1:10">
      <c r="A331" s="16" t="s">
        <v>2432</v>
      </c>
      <c r="B331" s="2">
        <v>670000</v>
      </c>
      <c r="C331" s="2">
        <f>0.0125*B331</f>
        <v>8375</v>
      </c>
      <c r="D331" s="44">
        <v>45370</v>
      </c>
      <c r="E331" s="3" t="s">
        <v>24</v>
      </c>
      <c r="F331" s="3" t="s">
        <v>12</v>
      </c>
      <c r="G331" s="3"/>
      <c r="H331" s="16" t="s">
        <v>2433</v>
      </c>
    </row>
    <row r="332" spans="1:10">
      <c r="A332" s="16" t="s">
        <v>2434</v>
      </c>
      <c r="B332" s="2">
        <v>200000</v>
      </c>
      <c r="C332" s="2">
        <f>0.0175*B332</f>
        <v>3500.0000000000005</v>
      </c>
      <c r="D332" s="44">
        <v>45370</v>
      </c>
      <c r="E332" s="3" t="s">
        <v>11</v>
      </c>
      <c r="F332" s="3" t="s">
        <v>28</v>
      </c>
      <c r="G332" s="3"/>
      <c r="I332" s="21" t="s">
        <v>30</v>
      </c>
    </row>
    <row r="333" spans="1:10">
      <c r="A333" s="16" t="s">
        <v>2435</v>
      </c>
      <c r="B333" s="2">
        <v>25000</v>
      </c>
      <c r="C333" s="2">
        <f>0.0125*B333</f>
        <v>312.5</v>
      </c>
      <c r="D333" s="44">
        <v>45370</v>
      </c>
      <c r="E333" s="3" t="s">
        <v>15</v>
      </c>
      <c r="F333" s="3" t="s">
        <v>12</v>
      </c>
      <c r="G333" s="3"/>
      <c r="H333" s="16" t="s">
        <v>54</v>
      </c>
      <c r="J333" s="16">
        <v>150</v>
      </c>
    </row>
    <row r="334" spans="1:10">
      <c r="A334" s="16" t="s">
        <v>2436</v>
      </c>
      <c r="B334" s="2">
        <v>300000</v>
      </c>
      <c r="C334" s="2">
        <f t="shared" ref="C334:C336" si="66">0.0175*B334</f>
        <v>5250.0000000000009</v>
      </c>
      <c r="D334" s="44">
        <v>45370</v>
      </c>
      <c r="E334" s="3" t="s">
        <v>11</v>
      </c>
      <c r="F334" s="3" t="s">
        <v>28</v>
      </c>
      <c r="G334" s="3"/>
      <c r="I334" s="21" t="s">
        <v>30</v>
      </c>
    </row>
    <row r="335" spans="1:10">
      <c r="A335" s="16" t="s">
        <v>2410</v>
      </c>
      <c r="B335" s="2">
        <v>50000</v>
      </c>
      <c r="C335" s="2">
        <f t="shared" si="66"/>
        <v>875.00000000000011</v>
      </c>
      <c r="D335" s="44">
        <v>45371</v>
      </c>
      <c r="E335" s="32" t="s">
        <v>60</v>
      </c>
      <c r="F335" s="3" t="s">
        <v>28</v>
      </c>
      <c r="G335" s="3"/>
      <c r="I335" s="21" t="s">
        <v>30</v>
      </c>
    </row>
    <row r="336" spans="1:10">
      <c r="A336" s="16" t="s">
        <v>2437</v>
      </c>
      <c r="B336" s="2">
        <v>200000</v>
      </c>
      <c r="C336" s="2">
        <f t="shared" si="66"/>
        <v>3500.0000000000005</v>
      </c>
      <c r="D336" s="44">
        <v>45371</v>
      </c>
      <c r="E336" s="3" t="s">
        <v>11</v>
      </c>
      <c r="F336" s="3" t="s">
        <v>2438</v>
      </c>
      <c r="G336" s="3"/>
      <c r="I336" s="21" t="s">
        <v>30</v>
      </c>
    </row>
    <row r="337" spans="1:10">
      <c r="A337" s="16" t="s">
        <v>838</v>
      </c>
      <c r="B337" s="2">
        <v>385000</v>
      </c>
      <c r="C337" s="2">
        <f>0.0125*B337</f>
        <v>4812.5</v>
      </c>
      <c r="D337" s="44">
        <v>45371</v>
      </c>
      <c r="E337" s="3" t="s">
        <v>11</v>
      </c>
      <c r="F337" s="3" t="s">
        <v>12</v>
      </c>
      <c r="G337" s="3"/>
    </row>
    <row r="338" spans="1:10">
      <c r="A338" s="16" t="s">
        <v>2439</v>
      </c>
      <c r="B338" s="2">
        <v>120000</v>
      </c>
      <c r="C338" s="2">
        <f t="shared" ref="C338:C340" si="67">0.0175*B338</f>
        <v>2100</v>
      </c>
      <c r="D338" s="44">
        <v>45371</v>
      </c>
      <c r="E338" s="3" t="s">
        <v>15</v>
      </c>
      <c r="F338" s="3" t="s">
        <v>28</v>
      </c>
      <c r="G338" s="3"/>
      <c r="H338" s="16" t="s">
        <v>2179</v>
      </c>
      <c r="I338" s="21" t="s">
        <v>30</v>
      </c>
      <c r="J338" s="16">
        <v>480</v>
      </c>
    </row>
    <row r="339" spans="1:10">
      <c r="A339" s="16" t="s">
        <v>2440</v>
      </c>
      <c r="B339" s="2">
        <v>10000</v>
      </c>
      <c r="C339" s="2">
        <f t="shared" si="67"/>
        <v>175.00000000000003</v>
      </c>
      <c r="D339" s="44">
        <v>45371</v>
      </c>
      <c r="E339" s="3" t="s">
        <v>15</v>
      </c>
      <c r="F339" s="3" t="s">
        <v>28</v>
      </c>
      <c r="G339" s="3"/>
      <c r="H339" s="16" t="s">
        <v>2116</v>
      </c>
      <c r="I339" s="21" t="s">
        <v>30</v>
      </c>
      <c r="J339" s="16">
        <v>120</v>
      </c>
    </row>
    <row r="340" spans="1:10">
      <c r="A340" s="16" t="s">
        <v>2441</v>
      </c>
      <c r="B340" s="2">
        <v>200000</v>
      </c>
      <c r="C340" s="2">
        <f t="shared" si="67"/>
        <v>3500.0000000000005</v>
      </c>
      <c r="D340" s="44">
        <v>45372</v>
      </c>
      <c r="E340" s="3" t="s">
        <v>92</v>
      </c>
      <c r="F340" s="3" t="s">
        <v>28</v>
      </c>
      <c r="G340" s="3"/>
      <c r="I340" s="21" t="s">
        <v>30</v>
      </c>
    </row>
    <row r="341" spans="1:10">
      <c r="A341" s="16" t="s">
        <v>2442</v>
      </c>
      <c r="B341" s="2">
        <v>70000</v>
      </c>
      <c r="C341" s="2">
        <f>0.0125*B341</f>
        <v>875</v>
      </c>
      <c r="D341" s="44">
        <v>45372</v>
      </c>
      <c r="E341" s="3" t="s">
        <v>11</v>
      </c>
      <c r="F341" s="3" t="s">
        <v>12</v>
      </c>
      <c r="G341" s="3"/>
    </row>
    <row r="342" spans="1:10">
      <c r="A342" s="16" t="s">
        <v>2443</v>
      </c>
      <c r="B342" s="17">
        <v>15000</v>
      </c>
      <c r="C342" s="2">
        <f t="shared" ref="C342:C343" si="68">0.0175*B342</f>
        <v>262.5</v>
      </c>
      <c r="D342" s="44">
        <v>45372</v>
      </c>
      <c r="E342" s="3" t="s">
        <v>11</v>
      </c>
      <c r="F342" s="3" t="s">
        <v>28</v>
      </c>
      <c r="G342" s="3"/>
    </row>
    <row r="343" spans="1:10">
      <c r="A343" s="16" t="s">
        <v>2444</v>
      </c>
      <c r="B343" s="17">
        <v>15000</v>
      </c>
      <c r="C343" s="2">
        <f t="shared" si="68"/>
        <v>262.5</v>
      </c>
      <c r="D343" s="44">
        <v>45372</v>
      </c>
      <c r="E343" s="3" t="s">
        <v>15</v>
      </c>
      <c r="F343" s="3" t="s">
        <v>28</v>
      </c>
      <c r="G343" s="3"/>
      <c r="H343" s="16" t="s">
        <v>2135</v>
      </c>
      <c r="I343" s="21" t="s">
        <v>30</v>
      </c>
      <c r="J343" s="16">
        <v>90</v>
      </c>
    </row>
    <row r="344" spans="1:10">
      <c r="A344" s="16" t="s">
        <v>2445</v>
      </c>
      <c r="B344" s="17">
        <v>20500</v>
      </c>
      <c r="C344" s="2">
        <f>0.0125*B344</f>
        <v>256.25</v>
      </c>
      <c r="D344" s="44">
        <v>45372</v>
      </c>
      <c r="E344" s="3" t="s">
        <v>11</v>
      </c>
      <c r="F344" s="3" t="s">
        <v>12</v>
      </c>
      <c r="G344" s="3"/>
    </row>
    <row r="345" spans="1:10">
      <c r="A345" s="16" t="s">
        <v>2446</v>
      </c>
      <c r="B345" s="17">
        <v>5000</v>
      </c>
      <c r="C345" s="2">
        <f t="shared" ref="C345:C346" si="69">0.0175*B345</f>
        <v>87.500000000000014</v>
      </c>
      <c r="D345" s="44">
        <v>45372</v>
      </c>
      <c r="E345" s="3" t="s">
        <v>15</v>
      </c>
      <c r="F345" s="3" t="s">
        <v>28</v>
      </c>
      <c r="G345" s="3"/>
      <c r="H345" s="16" t="s">
        <v>2116</v>
      </c>
      <c r="J345" s="16">
        <v>60</v>
      </c>
    </row>
    <row r="346" spans="1:10">
      <c r="A346" s="16" t="s">
        <v>2447</v>
      </c>
      <c r="B346" s="17">
        <v>56500</v>
      </c>
      <c r="C346" s="2">
        <f t="shared" si="69"/>
        <v>988.75000000000011</v>
      </c>
      <c r="D346" s="44">
        <v>45372</v>
      </c>
      <c r="E346" s="3" t="s">
        <v>11</v>
      </c>
      <c r="F346" s="3" t="s">
        <v>28</v>
      </c>
      <c r="G346" s="3"/>
    </row>
    <row r="347" spans="1:10">
      <c r="A347" s="16" t="s">
        <v>2448</v>
      </c>
      <c r="B347" s="17">
        <v>25000</v>
      </c>
      <c r="C347" s="2">
        <f>0.0125*B347</f>
        <v>312.5</v>
      </c>
      <c r="D347" s="44">
        <v>45372</v>
      </c>
      <c r="E347" s="3" t="s">
        <v>11</v>
      </c>
      <c r="F347" s="3" t="s">
        <v>12</v>
      </c>
      <c r="G347" s="3"/>
    </row>
    <row r="348" spans="1:10">
      <c r="A348" s="16" t="s">
        <v>2449</v>
      </c>
      <c r="B348" s="2">
        <v>300000</v>
      </c>
      <c r="C348" s="2">
        <f t="shared" ref="C348:C349" si="70">0.0175*B348</f>
        <v>5250.0000000000009</v>
      </c>
      <c r="D348" s="44">
        <v>45373</v>
      </c>
      <c r="E348" s="3" t="s">
        <v>11</v>
      </c>
      <c r="F348" s="3" t="s">
        <v>28</v>
      </c>
      <c r="G348" s="3"/>
    </row>
    <row r="349" spans="1:10">
      <c r="A349" s="16" t="s">
        <v>2450</v>
      </c>
      <c r="B349" s="2">
        <v>40000</v>
      </c>
      <c r="C349" s="2">
        <f t="shared" si="70"/>
        <v>700.00000000000011</v>
      </c>
      <c r="D349" s="44">
        <v>45373</v>
      </c>
      <c r="E349" s="3" t="s">
        <v>11</v>
      </c>
      <c r="F349" s="3" t="s">
        <v>67</v>
      </c>
      <c r="G349" s="3"/>
      <c r="I349" s="21" t="s">
        <v>30</v>
      </c>
    </row>
    <row r="350" spans="1:10">
      <c r="A350" s="16" t="s">
        <v>2451</v>
      </c>
      <c r="B350" s="2">
        <v>200000</v>
      </c>
      <c r="C350" s="2">
        <f>0.0175*190000</f>
        <v>3325.0000000000005</v>
      </c>
      <c r="D350" s="44">
        <v>45373</v>
      </c>
      <c r="E350" s="3" t="s">
        <v>24</v>
      </c>
      <c r="F350" s="3" t="s">
        <v>28</v>
      </c>
      <c r="G350" s="3"/>
      <c r="H350" s="16" t="s">
        <v>2350</v>
      </c>
      <c r="I350" s="21" t="s">
        <v>30</v>
      </c>
    </row>
    <row r="351" spans="1:10">
      <c r="A351" s="16" t="s">
        <v>2452</v>
      </c>
      <c r="B351" s="2">
        <v>80000</v>
      </c>
      <c r="C351" s="2">
        <f>0.0175*B351</f>
        <v>1400.0000000000002</v>
      </c>
      <c r="D351" s="44">
        <v>45376</v>
      </c>
      <c r="E351" s="3" t="s">
        <v>24</v>
      </c>
      <c r="F351" s="3" t="s">
        <v>28</v>
      </c>
      <c r="G351" s="3"/>
      <c r="H351" s="16" t="s">
        <v>2350</v>
      </c>
      <c r="I351" s="21" t="s">
        <v>30</v>
      </c>
    </row>
    <row r="352" spans="1:10">
      <c r="A352" s="16" t="s">
        <v>2453</v>
      </c>
      <c r="B352" s="2">
        <v>400000</v>
      </c>
      <c r="C352" s="2">
        <f t="shared" ref="C352:C354" si="71">0.0125*B352</f>
        <v>5000</v>
      </c>
      <c r="D352" s="44">
        <v>45376</v>
      </c>
      <c r="E352" s="3" t="s">
        <v>69</v>
      </c>
      <c r="F352" s="3" t="s">
        <v>12</v>
      </c>
      <c r="G352" s="3"/>
      <c r="H352" s="16" t="s">
        <v>22</v>
      </c>
    </row>
    <row r="353" spans="1:10">
      <c r="A353" s="16" t="s">
        <v>2454</v>
      </c>
      <c r="B353" s="2">
        <v>4000000</v>
      </c>
      <c r="C353" s="2">
        <f t="shared" si="71"/>
        <v>50000</v>
      </c>
      <c r="D353" s="47">
        <v>45377</v>
      </c>
      <c r="E353" s="3" t="s">
        <v>165</v>
      </c>
      <c r="F353" s="3" t="s">
        <v>12</v>
      </c>
      <c r="G353" s="3"/>
    </row>
    <row r="354" spans="1:10">
      <c r="A354" s="16" t="s">
        <v>52</v>
      </c>
      <c r="B354" s="2">
        <v>1500000</v>
      </c>
      <c r="C354" s="2">
        <f t="shared" si="71"/>
        <v>18750</v>
      </c>
      <c r="D354" s="47">
        <v>45377</v>
      </c>
      <c r="E354" s="3" t="s">
        <v>11</v>
      </c>
      <c r="F354" s="3" t="s">
        <v>12</v>
      </c>
      <c r="G354" s="3"/>
    </row>
    <row r="355" spans="1:10">
      <c r="A355" s="16" t="s">
        <v>2455</v>
      </c>
      <c r="B355" s="2">
        <v>20000</v>
      </c>
      <c r="C355" s="2">
        <f t="shared" ref="C355:C362" si="72">0.0175*B355</f>
        <v>350.00000000000006</v>
      </c>
      <c r="D355" s="47">
        <v>45377</v>
      </c>
      <c r="E355" s="3" t="s">
        <v>15</v>
      </c>
      <c r="F355" s="3" t="s">
        <v>28</v>
      </c>
      <c r="G355" s="3"/>
      <c r="H355" s="16" t="s">
        <v>2116</v>
      </c>
      <c r="I355" s="21" t="s">
        <v>30</v>
      </c>
      <c r="J355" s="16">
        <v>240</v>
      </c>
    </row>
    <row r="356" spans="1:10">
      <c r="A356" s="16" t="s">
        <v>2456</v>
      </c>
      <c r="B356" s="2">
        <v>90000</v>
      </c>
      <c r="C356" s="2">
        <f t="shared" si="72"/>
        <v>1575.0000000000002</v>
      </c>
      <c r="D356" s="47">
        <v>45377</v>
      </c>
      <c r="E356" s="3" t="s">
        <v>15</v>
      </c>
      <c r="F356" s="3" t="s">
        <v>28</v>
      </c>
      <c r="G356" s="3"/>
      <c r="H356" s="16" t="s">
        <v>2126</v>
      </c>
      <c r="I356" s="21" t="s">
        <v>30</v>
      </c>
      <c r="J356" s="16">
        <v>720</v>
      </c>
    </row>
    <row r="357" spans="1:10">
      <c r="A357" s="16" t="s">
        <v>2457</v>
      </c>
      <c r="B357" s="2">
        <v>10000</v>
      </c>
      <c r="C357" s="2">
        <f t="shared" si="72"/>
        <v>175.00000000000003</v>
      </c>
      <c r="D357" s="47">
        <v>45377</v>
      </c>
      <c r="E357" s="3" t="s">
        <v>15</v>
      </c>
      <c r="F357" s="3" t="s">
        <v>28</v>
      </c>
      <c r="G357" s="3"/>
      <c r="H357" s="16" t="s">
        <v>2143</v>
      </c>
      <c r="I357" s="21" t="s">
        <v>30</v>
      </c>
      <c r="J357" s="16">
        <v>100</v>
      </c>
    </row>
    <row r="358" spans="1:10">
      <c r="A358" s="16" t="s">
        <v>2372</v>
      </c>
      <c r="B358" s="2">
        <v>10000</v>
      </c>
      <c r="C358" s="2">
        <f t="shared" si="72"/>
        <v>175.00000000000003</v>
      </c>
      <c r="D358" s="47">
        <v>45377</v>
      </c>
      <c r="E358" s="3" t="s">
        <v>15</v>
      </c>
      <c r="F358" s="3" t="s">
        <v>67</v>
      </c>
      <c r="G358" s="3"/>
      <c r="H358" s="16" t="s">
        <v>2143</v>
      </c>
      <c r="I358" s="21" t="s">
        <v>30</v>
      </c>
      <c r="J358" s="16">
        <v>100</v>
      </c>
    </row>
    <row r="359" spans="1:10">
      <c r="A359" s="16" t="s">
        <v>2458</v>
      </c>
      <c r="B359" s="2">
        <v>10000</v>
      </c>
      <c r="C359" s="2">
        <f t="shared" si="72"/>
        <v>175.00000000000003</v>
      </c>
      <c r="D359" s="47">
        <v>45377</v>
      </c>
      <c r="E359" s="3" t="s">
        <v>11</v>
      </c>
      <c r="F359" s="3" t="s">
        <v>28</v>
      </c>
      <c r="G359" s="3"/>
      <c r="I359" s="21" t="s">
        <v>30</v>
      </c>
    </row>
    <row r="360" spans="1:10">
      <c r="A360" s="16" t="s">
        <v>2459</v>
      </c>
      <c r="B360" s="2">
        <v>175000</v>
      </c>
      <c r="C360" s="2">
        <f t="shared" si="72"/>
        <v>3062.5000000000005</v>
      </c>
      <c r="D360" s="44">
        <v>45378</v>
      </c>
      <c r="E360" s="3" t="s">
        <v>2120</v>
      </c>
      <c r="F360" s="3" t="s">
        <v>28</v>
      </c>
      <c r="G360" s="3"/>
      <c r="H360" s="16" t="s">
        <v>13</v>
      </c>
    </row>
    <row r="361" spans="1:10">
      <c r="A361" s="16" t="s">
        <v>2460</v>
      </c>
      <c r="B361" s="2">
        <v>150000</v>
      </c>
      <c r="C361" s="2">
        <f t="shared" si="72"/>
        <v>2625.0000000000005</v>
      </c>
      <c r="D361" s="44">
        <v>45378</v>
      </c>
      <c r="E361" s="3" t="s">
        <v>11</v>
      </c>
      <c r="F361" s="3" t="s">
        <v>28</v>
      </c>
      <c r="G361" s="3"/>
    </row>
    <row r="362" spans="1:10">
      <c r="A362" s="16" t="s">
        <v>2461</v>
      </c>
      <c r="B362" s="2">
        <v>100000</v>
      </c>
      <c r="C362" s="2">
        <f t="shared" si="72"/>
        <v>1750.0000000000002</v>
      </c>
      <c r="D362" s="44">
        <v>45378</v>
      </c>
      <c r="E362" s="3" t="s">
        <v>772</v>
      </c>
      <c r="F362" s="3" t="s">
        <v>28</v>
      </c>
      <c r="G362" s="3"/>
      <c r="I362" s="21" t="s">
        <v>30</v>
      </c>
    </row>
    <row r="363" spans="1:10">
      <c r="A363" s="16" t="s">
        <v>2462</v>
      </c>
      <c r="B363" s="2">
        <v>135000</v>
      </c>
      <c r="C363" s="2">
        <f>0.0125*B363</f>
        <v>1687.5</v>
      </c>
      <c r="D363" s="44">
        <v>45378</v>
      </c>
      <c r="E363" s="3" t="s">
        <v>11</v>
      </c>
      <c r="F363" s="3" t="s">
        <v>12</v>
      </c>
      <c r="G363" s="3"/>
    </row>
    <row r="364" spans="1:10">
      <c r="A364" s="16" t="s">
        <v>2463</v>
      </c>
      <c r="B364" s="2">
        <v>100000</v>
      </c>
      <c r="C364" s="2">
        <f t="shared" ref="C364:C365" si="73">0.0175*B364</f>
        <v>1750.0000000000002</v>
      </c>
      <c r="D364" s="44">
        <v>45379</v>
      </c>
      <c r="E364" s="3" t="s">
        <v>11</v>
      </c>
      <c r="F364" s="3" t="s">
        <v>28</v>
      </c>
      <c r="G364" s="3"/>
      <c r="I364" s="21" t="s">
        <v>30</v>
      </c>
    </row>
    <row r="365" spans="1:10">
      <c r="A365" s="16" t="s">
        <v>2464</v>
      </c>
      <c r="B365" s="17">
        <v>10000</v>
      </c>
      <c r="C365" s="2">
        <f t="shared" si="73"/>
        <v>175.00000000000003</v>
      </c>
      <c r="D365" s="44">
        <v>45379</v>
      </c>
      <c r="E365" s="3" t="s">
        <v>11</v>
      </c>
      <c r="F365" s="3" t="s">
        <v>28</v>
      </c>
      <c r="G365" s="3"/>
    </row>
    <row r="366" spans="1:10">
      <c r="A366" s="16" t="s">
        <v>2300</v>
      </c>
      <c r="B366" s="17">
        <v>105000</v>
      </c>
      <c r="C366" s="2">
        <f>0.0125*B366</f>
        <v>1312.5</v>
      </c>
      <c r="D366" s="44">
        <v>45379</v>
      </c>
      <c r="E366" s="3" t="s">
        <v>69</v>
      </c>
      <c r="F366" s="3" t="s">
        <v>12</v>
      </c>
      <c r="G366" s="3"/>
      <c r="H366" s="16" t="s">
        <v>22</v>
      </c>
    </row>
    <row r="367" spans="1:10">
      <c r="A367" s="16" t="s">
        <v>2465</v>
      </c>
      <c r="B367" s="2">
        <v>150000</v>
      </c>
      <c r="C367" s="2">
        <f t="shared" ref="C367:C368" si="74">0.0175*B367</f>
        <v>2625.0000000000005</v>
      </c>
      <c r="D367" s="44">
        <v>45379</v>
      </c>
      <c r="E367" s="3" t="s">
        <v>147</v>
      </c>
      <c r="F367" s="3" t="s">
        <v>28</v>
      </c>
      <c r="G367" s="3"/>
      <c r="I367" s="21" t="s">
        <v>30</v>
      </c>
    </row>
    <row r="368" spans="1:10">
      <c r="A368" s="16" t="s">
        <v>2466</v>
      </c>
      <c r="B368" s="2">
        <v>150000</v>
      </c>
      <c r="C368" s="2">
        <f t="shared" si="74"/>
        <v>2625.0000000000005</v>
      </c>
      <c r="D368" s="44">
        <v>45379</v>
      </c>
      <c r="E368" s="3" t="s">
        <v>11</v>
      </c>
      <c r="F368" s="3" t="s">
        <v>28</v>
      </c>
      <c r="G368" s="3"/>
      <c r="I368" s="21" t="s">
        <v>30</v>
      </c>
    </row>
    <row r="369" spans="1:12">
      <c r="A369" s="16" t="s">
        <v>2467</v>
      </c>
      <c r="B369" s="2">
        <v>90000</v>
      </c>
      <c r="C369" s="2">
        <f>0.0125*B369</f>
        <v>1125</v>
      </c>
      <c r="D369" s="44">
        <v>45379</v>
      </c>
      <c r="E369" s="3" t="s">
        <v>11</v>
      </c>
      <c r="F369" s="3" t="s">
        <v>12</v>
      </c>
      <c r="G369" s="3"/>
    </row>
    <row r="370" spans="1:12">
      <c r="A370" s="16" t="s">
        <v>2468</v>
      </c>
      <c r="B370" s="2">
        <v>30000</v>
      </c>
      <c r="C370" s="2">
        <f>0.0175*20000</f>
        <v>350.00000000000006</v>
      </c>
      <c r="D370" s="44">
        <v>45379</v>
      </c>
      <c r="E370" s="3" t="s">
        <v>24</v>
      </c>
      <c r="F370" s="3" t="s">
        <v>28</v>
      </c>
      <c r="G370" s="3"/>
      <c r="H370" s="16" t="s">
        <v>2350</v>
      </c>
      <c r="I370" s="21" t="s">
        <v>30</v>
      </c>
    </row>
    <row r="371" spans="1:12">
      <c r="A371" s="16" t="s">
        <v>2469</v>
      </c>
      <c r="B371" s="2">
        <v>60000</v>
      </c>
      <c r="C371" s="2">
        <f>0.0175*B371</f>
        <v>1050</v>
      </c>
      <c r="D371" s="44">
        <v>45379</v>
      </c>
      <c r="E371" s="3" t="s">
        <v>2157</v>
      </c>
      <c r="F371" s="3" t="s">
        <v>28</v>
      </c>
      <c r="G371" s="3"/>
      <c r="H371" s="16" t="s">
        <v>13</v>
      </c>
      <c r="I371" s="21" t="s">
        <v>30</v>
      </c>
    </row>
    <row r="372" spans="1:12">
      <c r="A372" s="16" t="s">
        <v>2470</v>
      </c>
      <c r="B372" s="2">
        <v>80000</v>
      </c>
      <c r="C372" s="2">
        <f t="shared" ref="C372:C373" si="75">0.0125*B372</f>
        <v>1000</v>
      </c>
      <c r="D372" s="44">
        <v>45379</v>
      </c>
      <c r="E372" s="3" t="s">
        <v>11</v>
      </c>
      <c r="F372" s="3" t="s">
        <v>12</v>
      </c>
      <c r="G372" s="3"/>
    </row>
    <row r="373" spans="1:12">
      <c r="A373" s="16" t="s">
        <v>2471</v>
      </c>
      <c r="B373" s="2">
        <v>80000</v>
      </c>
      <c r="C373" s="2">
        <f t="shared" si="75"/>
        <v>1000</v>
      </c>
      <c r="D373" s="44">
        <v>45379</v>
      </c>
      <c r="E373" s="32" t="s">
        <v>2472</v>
      </c>
      <c r="F373" s="3" t="s">
        <v>12</v>
      </c>
      <c r="G373" s="3"/>
    </row>
    <row r="374" spans="1:12">
      <c r="A374" s="16" t="s">
        <v>2473</v>
      </c>
      <c r="B374" s="2">
        <v>125000</v>
      </c>
      <c r="C374" s="2">
        <f>0.0175*115000</f>
        <v>2012.5000000000002</v>
      </c>
      <c r="D374" s="44">
        <v>45380</v>
      </c>
      <c r="E374" s="3" t="s">
        <v>24</v>
      </c>
      <c r="F374" s="3" t="s">
        <v>67</v>
      </c>
      <c r="G374" s="3"/>
      <c r="H374" s="16" t="s">
        <v>2433</v>
      </c>
    </row>
    <row r="375" spans="1:12">
      <c r="A375" s="16" t="s">
        <v>2474</v>
      </c>
      <c r="B375" s="2">
        <v>100000</v>
      </c>
      <c r="C375" s="2">
        <f t="shared" ref="C375:C377" si="76">0.0175*B375</f>
        <v>1750.0000000000002</v>
      </c>
      <c r="D375" s="44">
        <v>45380</v>
      </c>
      <c r="E375" s="3" t="s">
        <v>231</v>
      </c>
      <c r="F375" s="3" t="s">
        <v>28</v>
      </c>
      <c r="G375" s="3"/>
      <c r="I375" s="21" t="s">
        <v>30</v>
      </c>
    </row>
    <row r="376" spans="1:12">
      <c r="A376" s="16" t="s">
        <v>2475</v>
      </c>
      <c r="B376" s="2">
        <v>50000</v>
      </c>
      <c r="C376" s="2">
        <f t="shared" si="76"/>
        <v>875.00000000000011</v>
      </c>
      <c r="D376" s="44">
        <v>45380</v>
      </c>
      <c r="E376" s="3" t="s">
        <v>2120</v>
      </c>
      <c r="F376" s="3" t="s">
        <v>28</v>
      </c>
      <c r="G376" s="3"/>
      <c r="I376" s="21" t="s">
        <v>30</v>
      </c>
    </row>
    <row r="377" spans="1:12">
      <c r="A377" s="16" t="s">
        <v>2476</v>
      </c>
      <c r="B377" s="2">
        <v>20000</v>
      </c>
      <c r="C377" s="2">
        <f t="shared" si="76"/>
        <v>350.00000000000006</v>
      </c>
      <c r="D377" s="44">
        <v>45380</v>
      </c>
      <c r="E377" s="3" t="s">
        <v>11</v>
      </c>
      <c r="F377" s="3" t="s">
        <v>28</v>
      </c>
      <c r="G377" s="3"/>
      <c r="I377" s="21" t="s">
        <v>30</v>
      </c>
    </row>
    <row r="378" spans="1:12">
      <c r="A378" s="16" t="s">
        <v>2477</v>
      </c>
      <c r="B378" s="2">
        <v>75000</v>
      </c>
      <c r="C378" s="2">
        <f>0.0125*B378</f>
        <v>937.5</v>
      </c>
      <c r="D378" s="44">
        <v>45380</v>
      </c>
      <c r="E378" s="3" t="s">
        <v>11</v>
      </c>
      <c r="F378" s="3" t="s">
        <v>12</v>
      </c>
      <c r="G378" s="3"/>
    </row>
    <row r="379" spans="1:12">
      <c r="A379" s="11">
        <v>45383</v>
      </c>
      <c r="B379" s="12">
        <f t="shared" ref="B379:C379" si="77">SUM(B380:B525)</f>
        <v>25561600</v>
      </c>
      <c r="C379" s="12">
        <f t="shared" si="77"/>
        <v>396655</v>
      </c>
      <c r="D379" s="14"/>
      <c r="E379" s="14"/>
      <c r="F379" s="14"/>
      <c r="G379" s="14"/>
      <c r="H379" s="15"/>
      <c r="I379" s="15"/>
      <c r="J379" s="15"/>
      <c r="K379" s="15"/>
      <c r="L379" s="15"/>
    </row>
    <row r="380" spans="1:12">
      <c r="A380" s="16" t="s">
        <v>2478</v>
      </c>
      <c r="B380" s="2">
        <v>100000</v>
      </c>
      <c r="C380" s="2">
        <f t="shared" ref="C380:C383" si="78">0.0175*B380</f>
        <v>1750.0000000000002</v>
      </c>
      <c r="D380" s="44">
        <v>45383</v>
      </c>
      <c r="E380" s="3" t="s">
        <v>2157</v>
      </c>
      <c r="F380" s="3" t="s">
        <v>28</v>
      </c>
      <c r="G380" s="3"/>
      <c r="H380" s="16" t="s">
        <v>13</v>
      </c>
      <c r="I380" s="21" t="s">
        <v>30</v>
      </c>
    </row>
    <row r="381" spans="1:12">
      <c r="A381" s="16" t="s">
        <v>2479</v>
      </c>
      <c r="B381" s="2">
        <v>300000</v>
      </c>
      <c r="C381" s="2">
        <f t="shared" si="78"/>
        <v>5250.0000000000009</v>
      </c>
      <c r="D381" s="44">
        <v>45384</v>
      </c>
      <c r="E381" s="32" t="s">
        <v>60</v>
      </c>
      <c r="F381" s="3" t="s">
        <v>28</v>
      </c>
      <c r="G381" s="3"/>
      <c r="I381" s="21" t="s">
        <v>30</v>
      </c>
    </row>
    <row r="382" spans="1:12">
      <c r="A382" s="16" t="s">
        <v>2238</v>
      </c>
      <c r="B382" s="2">
        <v>100000</v>
      </c>
      <c r="C382" s="2">
        <f t="shared" si="78"/>
        <v>1750.0000000000002</v>
      </c>
      <c r="D382" s="44">
        <v>45384</v>
      </c>
      <c r="E382" s="3" t="s">
        <v>11</v>
      </c>
      <c r="F382" s="3" t="s">
        <v>28</v>
      </c>
      <c r="G382" s="3"/>
      <c r="I382" s="21" t="s">
        <v>30</v>
      </c>
    </row>
    <row r="383" spans="1:12">
      <c r="A383" s="16" t="s">
        <v>2480</v>
      </c>
      <c r="B383" s="2">
        <v>100000</v>
      </c>
      <c r="C383" s="2">
        <f t="shared" si="78"/>
        <v>1750.0000000000002</v>
      </c>
      <c r="D383" s="44">
        <v>45384</v>
      </c>
      <c r="E383" s="3" t="s">
        <v>2481</v>
      </c>
      <c r="F383" s="3" t="s">
        <v>28</v>
      </c>
      <c r="G383" s="3"/>
      <c r="I383" s="21" t="s">
        <v>30</v>
      </c>
    </row>
    <row r="384" spans="1:12">
      <c r="A384" s="16" t="s">
        <v>2482</v>
      </c>
      <c r="B384" s="2">
        <v>300000</v>
      </c>
      <c r="C384" s="2">
        <f t="shared" ref="C384:C385" si="79">0.0125*B384</f>
        <v>3750</v>
      </c>
      <c r="D384" s="44">
        <v>45385</v>
      </c>
      <c r="E384" s="3" t="s">
        <v>135</v>
      </c>
      <c r="F384" s="3" t="s">
        <v>12</v>
      </c>
      <c r="G384" s="3"/>
      <c r="H384" s="16" t="s">
        <v>22</v>
      </c>
    </row>
    <row r="385" spans="1:9">
      <c r="A385" s="16" t="s">
        <v>277</v>
      </c>
      <c r="B385" s="2">
        <v>950000</v>
      </c>
      <c r="C385" s="2">
        <f t="shared" si="79"/>
        <v>11875</v>
      </c>
      <c r="D385" s="44">
        <v>45385</v>
      </c>
      <c r="E385" s="3" t="s">
        <v>15</v>
      </c>
      <c r="F385" s="3" t="s">
        <v>12</v>
      </c>
      <c r="G385" s="3"/>
      <c r="H385" s="16" t="s">
        <v>282</v>
      </c>
    </row>
    <row r="386" spans="1:9">
      <c r="A386" s="16" t="s">
        <v>2483</v>
      </c>
      <c r="B386" s="2">
        <v>200000</v>
      </c>
      <c r="C386" s="2">
        <f t="shared" ref="C386:C390" si="80">0.0175*B386</f>
        <v>3500.0000000000005</v>
      </c>
      <c r="D386" s="44">
        <v>45385</v>
      </c>
      <c r="E386" s="3" t="s">
        <v>11</v>
      </c>
      <c r="F386" s="3" t="s">
        <v>28</v>
      </c>
      <c r="G386" s="3"/>
    </row>
    <row r="387" spans="1:9">
      <c r="A387" s="16" t="s">
        <v>2484</v>
      </c>
      <c r="B387" s="2">
        <v>175000</v>
      </c>
      <c r="C387" s="2">
        <f t="shared" si="80"/>
        <v>3062.5000000000005</v>
      </c>
      <c r="D387" s="44">
        <v>45385</v>
      </c>
      <c r="E387" s="32" t="s">
        <v>60</v>
      </c>
      <c r="F387" s="3" t="s">
        <v>28</v>
      </c>
      <c r="G387" s="3"/>
      <c r="I387" s="21" t="s">
        <v>30</v>
      </c>
    </row>
    <row r="388" spans="1:9">
      <c r="A388" s="16" t="s">
        <v>2485</v>
      </c>
      <c r="B388" s="2">
        <v>150000</v>
      </c>
      <c r="C388" s="2">
        <f t="shared" si="80"/>
        <v>2625.0000000000005</v>
      </c>
      <c r="D388" s="44">
        <v>45385</v>
      </c>
      <c r="E388" s="3" t="s">
        <v>772</v>
      </c>
      <c r="F388" s="3" t="s">
        <v>28</v>
      </c>
      <c r="G388" s="3"/>
      <c r="I388" s="21" t="s">
        <v>30</v>
      </c>
    </row>
    <row r="389" spans="1:9">
      <c r="A389" s="16" t="s">
        <v>2486</v>
      </c>
      <c r="B389" s="2">
        <v>50000</v>
      </c>
      <c r="C389" s="2">
        <f t="shared" si="80"/>
        <v>875.00000000000011</v>
      </c>
      <c r="D389" s="44">
        <v>45385</v>
      </c>
      <c r="E389" s="3" t="s">
        <v>15</v>
      </c>
      <c r="F389" s="3" t="s">
        <v>28</v>
      </c>
      <c r="G389" s="3"/>
      <c r="H389" s="16" t="s">
        <v>2135</v>
      </c>
      <c r="I389" s="21" t="s">
        <v>30</v>
      </c>
    </row>
    <row r="390" spans="1:9">
      <c r="A390" s="16" t="s">
        <v>2487</v>
      </c>
      <c r="B390" s="2">
        <v>300000</v>
      </c>
      <c r="C390" s="2">
        <f t="shared" si="80"/>
        <v>5250.0000000000009</v>
      </c>
      <c r="D390" s="44">
        <v>45385</v>
      </c>
      <c r="E390" s="3" t="s">
        <v>772</v>
      </c>
      <c r="F390" s="3" t="s">
        <v>28</v>
      </c>
      <c r="G390" s="3"/>
      <c r="I390" s="21" t="s">
        <v>30</v>
      </c>
    </row>
    <row r="391" spans="1:9">
      <c r="A391" s="16" t="s">
        <v>2488</v>
      </c>
      <c r="B391" s="2">
        <v>375000</v>
      </c>
      <c r="C391" s="2">
        <f>0.0125*B391</f>
        <v>4687.5</v>
      </c>
      <c r="D391" s="44">
        <v>45386</v>
      </c>
      <c r="E391" s="3" t="s">
        <v>11</v>
      </c>
      <c r="F391" s="3" t="s">
        <v>12</v>
      </c>
      <c r="G391" s="3"/>
    </row>
    <row r="392" spans="1:9">
      <c r="A392" s="16" t="s">
        <v>2489</v>
      </c>
      <c r="B392" s="2">
        <v>95000</v>
      </c>
      <c r="C392" s="2">
        <f t="shared" ref="C392:C393" si="81">0.0175*B392</f>
        <v>1662.5000000000002</v>
      </c>
      <c r="D392" s="44">
        <v>45386</v>
      </c>
      <c r="E392" s="32" t="s">
        <v>60</v>
      </c>
      <c r="F392" s="3" t="s">
        <v>28</v>
      </c>
      <c r="G392" s="3"/>
      <c r="I392" s="21" t="s">
        <v>30</v>
      </c>
    </row>
    <row r="393" spans="1:9">
      <c r="A393" s="16" t="s">
        <v>2490</v>
      </c>
      <c r="B393" s="2">
        <v>800000</v>
      </c>
      <c r="C393" s="2">
        <f t="shared" si="81"/>
        <v>14000.000000000002</v>
      </c>
      <c r="D393" s="44">
        <v>45386</v>
      </c>
      <c r="E393" s="3" t="s">
        <v>21</v>
      </c>
      <c r="F393" s="3" t="s">
        <v>28</v>
      </c>
      <c r="G393" s="3"/>
      <c r="H393" s="16" t="s">
        <v>2491</v>
      </c>
      <c r="I393" s="21" t="s">
        <v>30</v>
      </c>
    </row>
    <row r="394" spans="1:9">
      <c r="A394" s="16" t="s">
        <v>2492</v>
      </c>
      <c r="B394" s="2">
        <v>70000</v>
      </c>
      <c r="C394" s="2">
        <f>0.0125*B394</f>
        <v>875</v>
      </c>
      <c r="D394" s="44">
        <v>45386</v>
      </c>
      <c r="E394" s="3" t="s">
        <v>11</v>
      </c>
      <c r="F394" s="3" t="s">
        <v>12</v>
      </c>
      <c r="G394" s="3"/>
    </row>
    <row r="395" spans="1:9">
      <c r="A395" s="16" t="s">
        <v>2493</v>
      </c>
      <c r="B395" s="2">
        <v>100000</v>
      </c>
      <c r="C395" s="2">
        <f>0.0175*B395</f>
        <v>1750.0000000000002</v>
      </c>
      <c r="D395" s="44">
        <v>45386</v>
      </c>
      <c r="E395" s="3" t="s">
        <v>2157</v>
      </c>
      <c r="F395" s="3" t="s">
        <v>28</v>
      </c>
      <c r="G395" s="3"/>
      <c r="H395" s="16" t="s">
        <v>13</v>
      </c>
    </row>
    <row r="396" spans="1:9">
      <c r="A396" s="16" t="s">
        <v>2432</v>
      </c>
      <c r="B396" s="2">
        <v>300000</v>
      </c>
      <c r="C396" s="2">
        <f>0.0125*B396</f>
        <v>3750</v>
      </c>
      <c r="D396" s="44">
        <v>45386</v>
      </c>
      <c r="E396" s="3" t="s">
        <v>24</v>
      </c>
      <c r="F396" s="3" t="s">
        <v>12</v>
      </c>
      <c r="G396" s="3"/>
      <c r="H396" s="16" t="s">
        <v>2433</v>
      </c>
    </row>
    <row r="397" spans="1:9">
      <c r="A397" s="16" t="s">
        <v>2494</v>
      </c>
      <c r="B397" s="2">
        <v>1000000</v>
      </c>
      <c r="C397" s="2">
        <f t="shared" ref="C397:C401" si="82">0.0175*B397</f>
        <v>17500</v>
      </c>
      <c r="D397" s="44">
        <v>45386</v>
      </c>
      <c r="E397" s="3" t="s">
        <v>11</v>
      </c>
      <c r="F397" s="3" t="s">
        <v>28</v>
      </c>
      <c r="G397" s="3"/>
      <c r="I397" s="21" t="s">
        <v>30</v>
      </c>
    </row>
    <row r="398" spans="1:9">
      <c r="A398" s="16" t="s">
        <v>2495</v>
      </c>
      <c r="B398" s="2">
        <v>500000</v>
      </c>
      <c r="C398" s="2">
        <f t="shared" si="82"/>
        <v>8750</v>
      </c>
      <c r="D398" s="44">
        <v>45387</v>
      </c>
      <c r="E398" s="3" t="s">
        <v>11</v>
      </c>
      <c r="F398" s="3" t="s">
        <v>28</v>
      </c>
      <c r="G398" s="3"/>
      <c r="I398" s="21" t="s">
        <v>30</v>
      </c>
    </row>
    <row r="399" spans="1:9">
      <c r="A399" s="16" t="s">
        <v>2496</v>
      </c>
      <c r="B399" s="2">
        <v>105000</v>
      </c>
      <c r="C399" s="2">
        <f t="shared" si="82"/>
        <v>1837.5000000000002</v>
      </c>
      <c r="D399" s="44">
        <v>45387</v>
      </c>
      <c r="E399" s="3" t="s">
        <v>11</v>
      </c>
      <c r="F399" s="3" t="s">
        <v>28</v>
      </c>
      <c r="G399" s="3"/>
    </row>
    <row r="400" spans="1:9">
      <c r="A400" s="16" t="s">
        <v>2497</v>
      </c>
      <c r="B400" s="2">
        <v>350000</v>
      </c>
      <c r="C400" s="2">
        <f t="shared" si="82"/>
        <v>6125.0000000000009</v>
      </c>
      <c r="D400" s="44">
        <v>45387</v>
      </c>
      <c r="E400" s="32" t="s">
        <v>60</v>
      </c>
      <c r="F400" s="3" t="s">
        <v>28</v>
      </c>
      <c r="G400" s="3"/>
      <c r="I400" s="21" t="s">
        <v>30</v>
      </c>
    </row>
    <row r="401" spans="1:21">
      <c r="A401" s="16" t="s">
        <v>2498</v>
      </c>
      <c r="B401" s="2">
        <v>15000</v>
      </c>
      <c r="C401" s="2">
        <f t="shared" si="82"/>
        <v>262.5</v>
      </c>
      <c r="D401" s="44">
        <v>45387</v>
      </c>
      <c r="E401" s="3" t="s">
        <v>11</v>
      </c>
      <c r="F401" s="3" t="s">
        <v>28</v>
      </c>
      <c r="G401" s="3"/>
      <c r="I401" s="21" t="s">
        <v>30</v>
      </c>
    </row>
    <row r="402" spans="1:21">
      <c r="A402" s="16" t="s">
        <v>2499</v>
      </c>
      <c r="B402" s="2">
        <v>130000</v>
      </c>
      <c r="C402" s="2">
        <f>0.0125*B402</f>
        <v>1625</v>
      </c>
      <c r="D402" s="44">
        <v>45387</v>
      </c>
      <c r="E402" s="3" t="s">
        <v>11</v>
      </c>
      <c r="F402" s="3" t="s">
        <v>12</v>
      </c>
      <c r="G402" s="3"/>
    </row>
    <row r="403" spans="1:21">
      <c r="A403" s="16" t="s">
        <v>2500</v>
      </c>
      <c r="B403" s="2">
        <v>100000</v>
      </c>
      <c r="C403" s="2">
        <f t="shared" ref="C403:C405" si="83">0.0175*B403</f>
        <v>1750.0000000000002</v>
      </c>
      <c r="D403" s="44">
        <v>45387</v>
      </c>
      <c r="E403" s="3" t="s">
        <v>2157</v>
      </c>
      <c r="F403" s="3" t="s">
        <v>28</v>
      </c>
      <c r="G403" s="3"/>
      <c r="H403" s="16" t="s">
        <v>13</v>
      </c>
      <c r="I403" s="21" t="s">
        <v>30</v>
      </c>
    </row>
    <row r="404" spans="1:21">
      <c r="A404" s="16" t="s">
        <v>2501</v>
      </c>
      <c r="B404" s="2">
        <v>50000</v>
      </c>
      <c r="C404" s="2">
        <f t="shared" si="83"/>
        <v>875.00000000000011</v>
      </c>
      <c r="D404" s="44">
        <v>45390</v>
      </c>
      <c r="E404" s="3" t="s">
        <v>15</v>
      </c>
      <c r="F404" s="3" t="s">
        <v>28</v>
      </c>
      <c r="G404" s="3"/>
      <c r="H404" s="16" t="s">
        <v>2135</v>
      </c>
      <c r="I404" s="21" t="s">
        <v>30</v>
      </c>
    </row>
    <row r="405" spans="1:21">
      <c r="A405" s="16" t="s">
        <v>2502</v>
      </c>
      <c r="B405" s="2">
        <v>100000</v>
      </c>
      <c r="C405" s="2">
        <f t="shared" si="83"/>
        <v>1750.0000000000002</v>
      </c>
      <c r="D405" s="44">
        <v>45390</v>
      </c>
      <c r="E405" s="32" t="s">
        <v>60</v>
      </c>
      <c r="F405" s="3" t="s">
        <v>28</v>
      </c>
      <c r="G405" s="3"/>
      <c r="I405" s="21" t="s">
        <v>30</v>
      </c>
    </row>
    <row r="406" spans="1:21">
      <c r="A406" s="16" t="s">
        <v>2503</v>
      </c>
      <c r="B406" s="2">
        <v>195000</v>
      </c>
      <c r="C406" s="2">
        <f t="shared" ref="C406:C408" si="84">0.0125*B406</f>
        <v>2437.5</v>
      </c>
      <c r="D406" s="44">
        <v>45390</v>
      </c>
      <c r="E406" s="3" t="s">
        <v>11</v>
      </c>
      <c r="F406" s="3" t="s">
        <v>12</v>
      </c>
      <c r="G406" s="3"/>
    </row>
    <row r="407" spans="1:21">
      <c r="A407" s="16" t="s">
        <v>2111</v>
      </c>
      <c r="B407" s="2">
        <v>250000</v>
      </c>
      <c r="C407" s="2">
        <f t="shared" si="84"/>
        <v>3125</v>
      </c>
      <c r="D407" s="44">
        <v>45390</v>
      </c>
      <c r="E407" s="3" t="s">
        <v>11</v>
      </c>
      <c r="F407" s="3" t="s">
        <v>12</v>
      </c>
      <c r="G407" s="3"/>
    </row>
    <row r="408" spans="1:21">
      <c r="A408" s="16" t="s">
        <v>2504</v>
      </c>
      <c r="B408" s="2">
        <v>205000</v>
      </c>
      <c r="C408" s="2">
        <f t="shared" si="84"/>
        <v>2562.5</v>
      </c>
      <c r="D408" s="44">
        <v>45390</v>
      </c>
      <c r="E408" s="32" t="s">
        <v>60</v>
      </c>
      <c r="F408" s="3" t="s">
        <v>12</v>
      </c>
      <c r="G408" s="3"/>
      <c r="S408" s="16"/>
    </row>
    <row r="409" spans="1:21">
      <c r="A409" s="16" t="s">
        <v>2505</v>
      </c>
      <c r="B409" s="2">
        <v>100000</v>
      </c>
      <c r="C409" s="2">
        <f t="shared" ref="C409:C411" si="85">0.0175*B409</f>
        <v>1750.0000000000002</v>
      </c>
      <c r="D409" s="44">
        <v>45391</v>
      </c>
      <c r="E409" s="3" t="s">
        <v>11</v>
      </c>
      <c r="F409" s="3" t="s">
        <v>28</v>
      </c>
      <c r="G409" s="3"/>
      <c r="I409" s="21" t="s">
        <v>30</v>
      </c>
      <c r="S409" s="16"/>
      <c r="T409" s="16"/>
      <c r="U409" s="16"/>
    </row>
    <row r="410" spans="1:21">
      <c r="A410" s="16" t="s">
        <v>2506</v>
      </c>
      <c r="B410" s="2">
        <v>30000</v>
      </c>
      <c r="C410" s="2">
        <f t="shared" si="85"/>
        <v>525</v>
      </c>
      <c r="D410" s="44">
        <v>45391</v>
      </c>
      <c r="E410" s="3" t="s">
        <v>11</v>
      </c>
      <c r="F410" s="3" t="s">
        <v>28</v>
      </c>
      <c r="G410" s="3"/>
      <c r="I410" s="21" t="s">
        <v>30</v>
      </c>
    </row>
    <row r="411" spans="1:21">
      <c r="A411" s="16" t="s">
        <v>2507</v>
      </c>
      <c r="B411" s="2">
        <v>250000</v>
      </c>
      <c r="C411" s="2">
        <f t="shared" si="85"/>
        <v>4375</v>
      </c>
      <c r="D411" s="44">
        <v>45391</v>
      </c>
      <c r="E411" s="3" t="s">
        <v>73</v>
      </c>
      <c r="F411" s="3" t="s">
        <v>28</v>
      </c>
      <c r="G411" s="3"/>
    </row>
    <row r="412" spans="1:21">
      <c r="A412" s="16" t="s">
        <v>2508</v>
      </c>
      <c r="B412" s="2">
        <v>213000</v>
      </c>
      <c r="C412" s="2">
        <f t="shared" ref="C412:C413" si="86">0.0125*B412</f>
        <v>2662.5</v>
      </c>
      <c r="D412" s="44">
        <v>45391</v>
      </c>
      <c r="E412" s="3" t="s">
        <v>15</v>
      </c>
      <c r="F412" s="3" t="s">
        <v>12</v>
      </c>
      <c r="G412" s="3"/>
      <c r="H412" s="16" t="s">
        <v>35</v>
      </c>
    </row>
    <row r="413" spans="1:21">
      <c r="A413" s="16" t="s">
        <v>2509</v>
      </c>
      <c r="B413" s="2">
        <v>100000</v>
      </c>
      <c r="C413" s="2">
        <f t="shared" si="86"/>
        <v>1250</v>
      </c>
      <c r="D413" s="44">
        <v>45391</v>
      </c>
      <c r="E413" s="3" t="s">
        <v>11</v>
      </c>
      <c r="F413" s="3" t="s">
        <v>12</v>
      </c>
      <c r="G413" s="3"/>
    </row>
    <row r="414" spans="1:21">
      <c r="A414" s="16" t="s">
        <v>2510</v>
      </c>
      <c r="B414" s="2">
        <v>80000</v>
      </c>
      <c r="C414" s="2">
        <f t="shared" ref="C414:C418" si="87">0.0175*B414</f>
        <v>1400.0000000000002</v>
      </c>
      <c r="D414" s="44">
        <v>45391</v>
      </c>
      <c r="E414" s="3" t="s">
        <v>11</v>
      </c>
      <c r="F414" s="3" t="s">
        <v>28</v>
      </c>
      <c r="G414" s="3"/>
    </row>
    <row r="415" spans="1:21">
      <c r="A415" s="16" t="s">
        <v>2511</v>
      </c>
      <c r="B415" s="2">
        <v>100000</v>
      </c>
      <c r="C415" s="2">
        <f t="shared" si="87"/>
        <v>1750.0000000000002</v>
      </c>
      <c r="D415" s="44">
        <v>45391</v>
      </c>
      <c r="E415" s="3" t="s">
        <v>92</v>
      </c>
      <c r="F415" s="3" t="s">
        <v>28</v>
      </c>
      <c r="G415" s="3"/>
      <c r="I415" s="21" t="s">
        <v>30</v>
      </c>
    </row>
    <row r="416" spans="1:21">
      <c r="A416" s="16" t="s">
        <v>2512</v>
      </c>
      <c r="B416" s="2">
        <v>400000</v>
      </c>
      <c r="C416" s="2">
        <f t="shared" si="87"/>
        <v>7000.0000000000009</v>
      </c>
      <c r="D416" s="44">
        <v>45391</v>
      </c>
      <c r="E416" s="3" t="s">
        <v>69</v>
      </c>
      <c r="F416" s="3" t="s">
        <v>28</v>
      </c>
      <c r="G416" s="3"/>
      <c r="H416" s="16" t="s">
        <v>13</v>
      </c>
      <c r="I416" s="21" t="s">
        <v>30</v>
      </c>
    </row>
    <row r="417" spans="1:9">
      <c r="A417" s="16" t="s">
        <v>2513</v>
      </c>
      <c r="B417" s="2">
        <v>80000</v>
      </c>
      <c r="C417" s="2">
        <f t="shared" si="87"/>
        <v>1400.0000000000002</v>
      </c>
      <c r="D417" s="44">
        <v>45391</v>
      </c>
      <c r="E417" s="3" t="s">
        <v>11</v>
      </c>
      <c r="F417" s="3" t="s">
        <v>28</v>
      </c>
      <c r="G417" s="3"/>
      <c r="I417" s="21" t="s">
        <v>30</v>
      </c>
    </row>
    <row r="418" spans="1:9">
      <c r="A418" s="16" t="s">
        <v>2514</v>
      </c>
      <c r="B418" s="2">
        <v>750000</v>
      </c>
      <c r="C418" s="2">
        <f t="shared" si="87"/>
        <v>13125.000000000002</v>
      </c>
      <c r="D418" s="44">
        <v>45392</v>
      </c>
      <c r="E418" s="3" t="s">
        <v>40</v>
      </c>
      <c r="F418" s="3" t="s">
        <v>28</v>
      </c>
      <c r="G418" s="3"/>
    </row>
    <row r="419" spans="1:9">
      <c r="A419" s="16" t="s">
        <v>2515</v>
      </c>
      <c r="B419" s="2">
        <v>275000</v>
      </c>
      <c r="C419" s="2">
        <f>0.0125*B419</f>
        <v>3437.5</v>
      </c>
      <c r="D419" s="44">
        <v>45392</v>
      </c>
      <c r="E419" s="3" t="s">
        <v>73</v>
      </c>
      <c r="F419" s="3" t="s">
        <v>12</v>
      </c>
      <c r="G419" s="3"/>
    </row>
    <row r="420" spans="1:9">
      <c r="A420" s="16" t="s">
        <v>2516</v>
      </c>
      <c r="B420" s="2">
        <v>350000</v>
      </c>
      <c r="C420" s="2">
        <f t="shared" ref="C420:C422" si="88">0.0175*B420</f>
        <v>6125.0000000000009</v>
      </c>
      <c r="D420" s="44">
        <v>45392</v>
      </c>
      <c r="E420" s="32" t="s">
        <v>60</v>
      </c>
      <c r="F420" s="3" t="s">
        <v>28</v>
      </c>
      <c r="G420" s="3"/>
      <c r="I420" s="21" t="s">
        <v>30</v>
      </c>
    </row>
    <row r="421" spans="1:9">
      <c r="A421" s="16" t="s">
        <v>2517</v>
      </c>
      <c r="B421" s="2">
        <v>130000</v>
      </c>
      <c r="C421" s="2">
        <f t="shared" si="88"/>
        <v>2275</v>
      </c>
      <c r="D421" s="44">
        <v>45392</v>
      </c>
      <c r="E421" s="32" t="s">
        <v>60</v>
      </c>
      <c r="F421" s="3" t="s">
        <v>28</v>
      </c>
      <c r="G421" s="3"/>
      <c r="I421" s="21" t="s">
        <v>30</v>
      </c>
    </row>
    <row r="422" spans="1:9">
      <c r="A422" s="16" t="s">
        <v>2518</v>
      </c>
      <c r="B422" s="2">
        <v>80000</v>
      </c>
      <c r="C422" s="2">
        <f t="shared" si="88"/>
        <v>1400.0000000000002</v>
      </c>
      <c r="D422" s="44">
        <v>45392</v>
      </c>
      <c r="E422" s="32" t="s">
        <v>60</v>
      </c>
      <c r="F422" s="3" t="s">
        <v>28</v>
      </c>
      <c r="G422" s="3"/>
    </row>
    <row r="423" spans="1:9">
      <c r="A423" s="16" t="s">
        <v>1163</v>
      </c>
      <c r="B423" s="2">
        <v>105000</v>
      </c>
      <c r="C423" s="2">
        <f>0.0125*B423</f>
        <v>1312.5</v>
      </c>
      <c r="D423" s="44">
        <v>45392</v>
      </c>
      <c r="E423" s="3" t="s">
        <v>24</v>
      </c>
      <c r="F423" s="3" t="s">
        <v>12</v>
      </c>
      <c r="G423" s="3"/>
      <c r="H423" s="16" t="s">
        <v>2433</v>
      </c>
    </row>
    <row r="424" spans="1:9">
      <c r="A424" s="16" t="s">
        <v>2519</v>
      </c>
      <c r="B424" s="2">
        <v>150000</v>
      </c>
      <c r="C424" s="2">
        <f t="shared" ref="C424:C425" si="89">0.0175*B424</f>
        <v>2625.0000000000005</v>
      </c>
      <c r="D424" s="44">
        <v>45392</v>
      </c>
      <c r="E424" s="3" t="s">
        <v>2346</v>
      </c>
      <c r="F424" s="3" t="s">
        <v>28</v>
      </c>
      <c r="G424" s="3"/>
      <c r="H424" s="16" t="s">
        <v>13</v>
      </c>
      <c r="I424" s="21" t="s">
        <v>30</v>
      </c>
    </row>
    <row r="425" spans="1:9">
      <c r="A425" s="16" t="s">
        <v>2520</v>
      </c>
      <c r="B425" s="2">
        <v>200000</v>
      </c>
      <c r="C425" s="2">
        <f t="shared" si="89"/>
        <v>3500.0000000000005</v>
      </c>
      <c r="D425" s="44">
        <v>45393</v>
      </c>
      <c r="E425" s="3" t="s">
        <v>2521</v>
      </c>
      <c r="F425" s="3" t="s">
        <v>28</v>
      </c>
      <c r="G425" s="3"/>
      <c r="I425" s="21" t="s">
        <v>30</v>
      </c>
    </row>
    <row r="426" spans="1:9">
      <c r="A426" s="16" t="s">
        <v>2522</v>
      </c>
      <c r="B426" s="2">
        <v>420000</v>
      </c>
      <c r="C426" s="2">
        <f t="shared" ref="C426:C427" si="90">0.0125*B426</f>
        <v>5250</v>
      </c>
      <c r="D426" s="44">
        <v>45393</v>
      </c>
      <c r="E426" s="3" t="s">
        <v>11</v>
      </c>
      <c r="F426" s="3" t="s">
        <v>12</v>
      </c>
      <c r="G426" s="3"/>
    </row>
    <row r="427" spans="1:9">
      <c r="A427" s="16" t="s">
        <v>2523</v>
      </c>
      <c r="B427" s="2">
        <v>175000</v>
      </c>
      <c r="C427" s="2">
        <f t="shared" si="90"/>
        <v>2187.5</v>
      </c>
      <c r="D427" s="45">
        <v>45393</v>
      </c>
      <c r="E427" s="3" t="s">
        <v>11</v>
      </c>
      <c r="F427" s="3" t="s">
        <v>12</v>
      </c>
      <c r="G427" s="3"/>
    </row>
    <row r="428" spans="1:9">
      <c r="A428" s="16" t="s">
        <v>1143</v>
      </c>
      <c r="B428" s="2">
        <v>750000</v>
      </c>
      <c r="C428" s="2">
        <f>0.0125*740000</f>
        <v>9250</v>
      </c>
      <c r="D428" s="45">
        <v>45393</v>
      </c>
      <c r="E428" s="3" t="s">
        <v>24</v>
      </c>
      <c r="F428" s="3" t="s">
        <v>12</v>
      </c>
      <c r="G428" s="3"/>
      <c r="H428" s="16" t="s">
        <v>2433</v>
      </c>
    </row>
    <row r="429" spans="1:9">
      <c r="A429" s="16" t="s">
        <v>391</v>
      </c>
      <c r="B429" s="2">
        <v>200000</v>
      </c>
      <c r="C429" s="2">
        <f>0.0125*B429</f>
        <v>2500</v>
      </c>
      <c r="D429" s="45">
        <v>45393</v>
      </c>
      <c r="E429" s="3" t="s">
        <v>11</v>
      </c>
      <c r="F429" s="3" t="s">
        <v>12</v>
      </c>
      <c r="G429" s="3"/>
    </row>
    <row r="430" spans="1:9">
      <c r="A430" s="16" t="s">
        <v>2524</v>
      </c>
      <c r="B430" s="2">
        <v>10000</v>
      </c>
      <c r="C430" s="2">
        <f>0.0175*B430</f>
        <v>175.00000000000003</v>
      </c>
      <c r="D430" s="45">
        <v>45393</v>
      </c>
      <c r="E430" s="3" t="s">
        <v>11</v>
      </c>
      <c r="F430" s="3" t="s">
        <v>12</v>
      </c>
      <c r="G430" s="3"/>
    </row>
    <row r="431" spans="1:9">
      <c r="A431" s="16" t="s">
        <v>2525</v>
      </c>
      <c r="B431" s="2">
        <v>690000</v>
      </c>
      <c r="C431" s="2">
        <f>0.0125*680000</f>
        <v>8500</v>
      </c>
      <c r="D431" s="44">
        <v>45394</v>
      </c>
      <c r="E431" s="3" t="s">
        <v>24</v>
      </c>
      <c r="F431" s="3" t="s">
        <v>12</v>
      </c>
      <c r="G431" s="3"/>
      <c r="H431" s="16" t="s">
        <v>2433</v>
      </c>
    </row>
    <row r="432" spans="1:9">
      <c r="A432" s="16" t="s">
        <v>2526</v>
      </c>
      <c r="B432" s="2">
        <v>95000</v>
      </c>
      <c r="C432" s="2">
        <f>0.0125*85000</f>
        <v>1062.5</v>
      </c>
      <c r="D432" s="44">
        <v>45394</v>
      </c>
      <c r="E432" s="3" t="s">
        <v>24</v>
      </c>
      <c r="F432" s="3" t="s">
        <v>12</v>
      </c>
      <c r="G432" s="3"/>
    </row>
    <row r="433" spans="1:9">
      <c r="A433" s="16" t="s">
        <v>2527</v>
      </c>
      <c r="B433" s="2">
        <v>180000</v>
      </c>
      <c r="C433" s="2">
        <f t="shared" ref="C433:C434" si="91">0.0125*B433</f>
        <v>2250</v>
      </c>
      <c r="D433" s="44">
        <v>45394</v>
      </c>
      <c r="E433" s="3" t="s">
        <v>15</v>
      </c>
      <c r="F433" s="3" t="s">
        <v>12</v>
      </c>
      <c r="G433" s="3"/>
      <c r="H433" s="16" t="s">
        <v>51</v>
      </c>
    </row>
    <row r="434" spans="1:9">
      <c r="A434" s="16" t="s">
        <v>2361</v>
      </c>
      <c r="B434" s="2">
        <v>50000</v>
      </c>
      <c r="C434" s="2">
        <f t="shared" si="91"/>
        <v>625</v>
      </c>
      <c r="D434" s="44">
        <v>45394</v>
      </c>
      <c r="E434" s="3" t="s">
        <v>15</v>
      </c>
      <c r="F434" s="3" t="s">
        <v>12</v>
      </c>
      <c r="G434" s="3"/>
      <c r="H434" s="16" t="s">
        <v>54</v>
      </c>
    </row>
    <row r="435" spans="1:9">
      <c r="A435" s="16" t="s">
        <v>2528</v>
      </c>
      <c r="B435" s="2">
        <v>50000</v>
      </c>
      <c r="C435" s="2">
        <f t="shared" ref="C435:C441" si="92">0.0175*B435</f>
        <v>875.00000000000011</v>
      </c>
      <c r="D435" s="44">
        <v>45394</v>
      </c>
      <c r="E435" s="3" t="s">
        <v>15</v>
      </c>
      <c r="F435" s="3" t="s">
        <v>28</v>
      </c>
      <c r="G435" s="3"/>
      <c r="H435" s="16" t="s">
        <v>2143</v>
      </c>
      <c r="I435" s="21" t="s">
        <v>30</v>
      </c>
    </row>
    <row r="436" spans="1:9">
      <c r="A436" s="16" t="s">
        <v>2529</v>
      </c>
      <c r="B436" s="2">
        <v>52500</v>
      </c>
      <c r="C436" s="2">
        <f t="shared" si="92"/>
        <v>918.75000000000011</v>
      </c>
      <c r="D436" s="44">
        <v>45394</v>
      </c>
      <c r="E436" s="3" t="s">
        <v>2157</v>
      </c>
      <c r="F436" s="3" t="s">
        <v>28</v>
      </c>
      <c r="G436" s="3"/>
      <c r="H436" s="16" t="s">
        <v>13</v>
      </c>
    </row>
    <row r="437" spans="1:9">
      <c r="A437" s="16" t="s">
        <v>1133</v>
      </c>
      <c r="B437" s="2">
        <v>200000</v>
      </c>
      <c r="C437" s="2">
        <f t="shared" si="92"/>
        <v>3500.0000000000005</v>
      </c>
      <c r="D437" s="44">
        <v>45394</v>
      </c>
      <c r="E437" s="3" t="s">
        <v>11</v>
      </c>
      <c r="F437" s="3" t="s">
        <v>28</v>
      </c>
      <c r="G437" s="3"/>
      <c r="I437" s="21" t="s">
        <v>30</v>
      </c>
    </row>
    <row r="438" spans="1:9">
      <c r="A438" s="16" t="s">
        <v>2530</v>
      </c>
      <c r="B438" s="2">
        <v>7500</v>
      </c>
      <c r="C438" s="2">
        <f t="shared" si="92"/>
        <v>131.25</v>
      </c>
      <c r="D438" s="44">
        <v>45394</v>
      </c>
      <c r="E438" s="3" t="s">
        <v>15</v>
      </c>
      <c r="F438" s="3" t="s">
        <v>28</v>
      </c>
      <c r="G438" s="3"/>
      <c r="H438" s="16" t="s">
        <v>2116</v>
      </c>
    </row>
    <row r="439" spans="1:9">
      <c r="A439" s="16" t="s">
        <v>2252</v>
      </c>
      <c r="B439" s="2">
        <v>30000</v>
      </c>
      <c r="C439" s="2">
        <f t="shared" si="92"/>
        <v>525</v>
      </c>
      <c r="D439" s="44">
        <v>45394</v>
      </c>
      <c r="E439" s="3" t="s">
        <v>15</v>
      </c>
      <c r="F439" s="3" t="s">
        <v>144</v>
      </c>
      <c r="G439" s="3"/>
      <c r="H439" s="16" t="s">
        <v>149</v>
      </c>
      <c r="I439" s="21" t="s">
        <v>30</v>
      </c>
    </row>
    <row r="440" spans="1:9">
      <c r="A440" s="16" t="s">
        <v>2531</v>
      </c>
      <c r="B440" s="2">
        <v>400000</v>
      </c>
      <c r="C440" s="2">
        <f t="shared" si="92"/>
        <v>7000.0000000000009</v>
      </c>
      <c r="D440" s="44">
        <v>45394</v>
      </c>
      <c r="E440" s="3" t="s">
        <v>2157</v>
      </c>
      <c r="F440" s="3" t="s">
        <v>28</v>
      </c>
      <c r="G440" s="3"/>
      <c r="H440" s="16" t="s">
        <v>13</v>
      </c>
      <c r="I440" s="21" t="s">
        <v>30</v>
      </c>
    </row>
    <row r="441" spans="1:9">
      <c r="A441" s="16" t="s">
        <v>2532</v>
      </c>
      <c r="B441" s="2">
        <v>300000</v>
      </c>
      <c r="C441" s="2">
        <f t="shared" si="92"/>
        <v>5250.0000000000009</v>
      </c>
      <c r="D441" s="44">
        <v>45397</v>
      </c>
      <c r="E441" s="3" t="s">
        <v>11</v>
      </c>
      <c r="F441" s="3" t="s">
        <v>28</v>
      </c>
      <c r="G441" s="3"/>
    </row>
    <row r="442" spans="1:9">
      <c r="A442" s="16" t="s">
        <v>275</v>
      </c>
      <c r="B442" s="2">
        <v>15000</v>
      </c>
      <c r="C442" s="2">
        <f>0.0125*B442</f>
        <v>187.5</v>
      </c>
      <c r="D442" s="44">
        <v>45397</v>
      </c>
      <c r="E442" s="3" t="s">
        <v>15</v>
      </c>
      <c r="F442" s="3" t="s">
        <v>144</v>
      </c>
      <c r="G442" s="3"/>
      <c r="H442" s="16" t="s">
        <v>51</v>
      </c>
    </row>
    <row r="443" spans="1:9">
      <c r="A443" s="16" t="s">
        <v>2533</v>
      </c>
      <c r="B443" s="2">
        <v>40000</v>
      </c>
      <c r="C443" s="2">
        <f>0.0175*B443</f>
        <v>700.00000000000011</v>
      </c>
      <c r="D443" s="44">
        <v>45397</v>
      </c>
      <c r="E443" s="3" t="s">
        <v>11</v>
      </c>
      <c r="F443" s="3" t="s">
        <v>28</v>
      </c>
      <c r="G443" s="3"/>
    </row>
    <row r="444" spans="1:9">
      <c r="A444" s="16" t="s">
        <v>465</v>
      </c>
      <c r="B444" s="2">
        <v>190000</v>
      </c>
      <c r="C444" s="2">
        <f>0.0125*B444</f>
        <v>2375</v>
      </c>
      <c r="D444" s="44">
        <v>45398</v>
      </c>
      <c r="E444" s="3" t="s">
        <v>2534</v>
      </c>
      <c r="F444" s="3" t="s">
        <v>2535</v>
      </c>
      <c r="G444" s="3"/>
      <c r="H444" s="16" t="s">
        <v>2536</v>
      </c>
    </row>
    <row r="445" spans="1:9">
      <c r="A445" s="16" t="s">
        <v>2537</v>
      </c>
      <c r="B445" s="2">
        <v>100000</v>
      </c>
      <c r="C445" s="2">
        <f t="shared" ref="C445:C452" si="93">0.0175*B445</f>
        <v>1750.0000000000002</v>
      </c>
      <c r="D445" s="44">
        <v>45398</v>
      </c>
      <c r="E445" s="3" t="s">
        <v>11</v>
      </c>
      <c r="F445" s="3" t="s">
        <v>28</v>
      </c>
      <c r="G445" s="3"/>
      <c r="I445" s="21" t="s">
        <v>30</v>
      </c>
    </row>
    <row r="446" spans="1:9">
      <c r="A446" s="16" t="s">
        <v>2538</v>
      </c>
      <c r="B446" s="2">
        <v>180000</v>
      </c>
      <c r="C446" s="2">
        <f t="shared" si="93"/>
        <v>3150.0000000000005</v>
      </c>
      <c r="D446" s="44">
        <v>45398</v>
      </c>
      <c r="E446" s="3" t="s">
        <v>11</v>
      </c>
      <c r="F446" s="3" t="s">
        <v>28</v>
      </c>
      <c r="G446" s="3"/>
      <c r="I446" s="21" t="s">
        <v>30</v>
      </c>
    </row>
    <row r="447" spans="1:9">
      <c r="A447" s="16" t="s">
        <v>2539</v>
      </c>
      <c r="B447" s="2">
        <v>275000</v>
      </c>
      <c r="C447" s="2">
        <f t="shared" si="93"/>
        <v>4812.5000000000009</v>
      </c>
      <c r="D447" s="44">
        <v>45398</v>
      </c>
      <c r="E447" s="32" t="s">
        <v>60</v>
      </c>
      <c r="F447" s="3" t="s">
        <v>28</v>
      </c>
      <c r="G447" s="3"/>
      <c r="I447" s="21" t="s">
        <v>30</v>
      </c>
    </row>
    <row r="448" spans="1:9">
      <c r="A448" s="16" t="s">
        <v>2540</v>
      </c>
      <c r="B448" s="2">
        <v>60000</v>
      </c>
      <c r="C448" s="2">
        <f t="shared" si="93"/>
        <v>1050</v>
      </c>
      <c r="D448" s="44">
        <v>45398</v>
      </c>
      <c r="E448" s="32" t="s">
        <v>60</v>
      </c>
      <c r="F448" s="3" t="s">
        <v>28</v>
      </c>
      <c r="G448" s="3"/>
      <c r="I448" s="21" t="s">
        <v>30</v>
      </c>
    </row>
    <row r="449" spans="1:9">
      <c r="A449" s="16" t="s">
        <v>2541</v>
      </c>
      <c r="B449" s="2">
        <v>60000</v>
      </c>
      <c r="C449" s="2">
        <f t="shared" si="93"/>
        <v>1050</v>
      </c>
      <c r="D449" s="44">
        <v>45398</v>
      </c>
      <c r="E449" s="3" t="s">
        <v>11</v>
      </c>
      <c r="F449" s="3" t="s">
        <v>28</v>
      </c>
      <c r="G449" s="3"/>
      <c r="I449" s="21" t="s">
        <v>30</v>
      </c>
    </row>
    <row r="450" spans="1:9">
      <c r="A450" s="16" t="s">
        <v>2542</v>
      </c>
      <c r="B450" s="2">
        <v>100000</v>
      </c>
      <c r="C450" s="2">
        <f t="shared" si="93"/>
        <v>1750.0000000000002</v>
      </c>
      <c r="D450" s="44">
        <v>45398</v>
      </c>
      <c r="E450" s="3" t="s">
        <v>11</v>
      </c>
      <c r="F450" s="3" t="s">
        <v>28</v>
      </c>
      <c r="G450" s="3"/>
    </row>
    <row r="451" spans="1:9">
      <c r="A451" s="16" t="s">
        <v>2543</v>
      </c>
      <c r="B451" s="2">
        <v>300000</v>
      </c>
      <c r="C451" s="2">
        <f t="shared" si="93"/>
        <v>5250.0000000000009</v>
      </c>
      <c r="D451" s="44">
        <v>45398</v>
      </c>
      <c r="E451" s="3" t="s">
        <v>11</v>
      </c>
      <c r="F451" s="3" t="s">
        <v>28</v>
      </c>
      <c r="G451" s="3"/>
    </row>
    <row r="452" spans="1:9">
      <c r="A452" s="16" t="s">
        <v>2544</v>
      </c>
      <c r="B452" s="2">
        <v>150000</v>
      </c>
      <c r="C452" s="2">
        <f t="shared" si="93"/>
        <v>2625.0000000000005</v>
      </c>
      <c r="D452" s="44">
        <v>45398</v>
      </c>
      <c r="E452" s="3" t="s">
        <v>11</v>
      </c>
      <c r="F452" s="3" t="s">
        <v>67</v>
      </c>
      <c r="G452" s="3"/>
      <c r="I452" s="21" t="s">
        <v>30</v>
      </c>
    </row>
    <row r="453" spans="1:9">
      <c r="A453" s="16" t="s">
        <v>2545</v>
      </c>
      <c r="B453" s="2">
        <v>46000</v>
      </c>
      <c r="C453" s="2">
        <f>0.0125*B453</f>
        <v>575</v>
      </c>
      <c r="D453" s="44">
        <v>45398</v>
      </c>
      <c r="E453" s="3" t="s">
        <v>15</v>
      </c>
      <c r="F453" s="3" t="s">
        <v>12</v>
      </c>
      <c r="G453" s="3"/>
      <c r="H453" s="16" t="s">
        <v>54</v>
      </c>
    </row>
    <row r="454" spans="1:9">
      <c r="A454" s="16" t="s">
        <v>2546</v>
      </c>
      <c r="B454" s="2">
        <v>500000</v>
      </c>
      <c r="C454" s="2">
        <f t="shared" ref="C454:C456" si="94">0.0175*B454</f>
        <v>8750</v>
      </c>
      <c r="D454" s="44">
        <v>45398</v>
      </c>
      <c r="E454" s="32" t="s">
        <v>60</v>
      </c>
      <c r="F454" s="3" t="s">
        <v>28</v>
      </c>
      <c r="G454" s="3"/>
      <c r="I454" s="21" t="s">
        <v>30</v>
      </c>
    </row>
    <row r="455" spans="1:9">
      <c r="A455" s="16" t="s">
        <v>2547</v>
      </c>
      <c r="B455" s="2">
        <v>50000</v>
      </c>
      <c r="C455" s="2">
        <f t="shared" si="94"/>
        <v>875.00000000000011</v>
      </c>
      <c r="D455" s="44">
        <v>45399</v>
      </c>
      <c r="E455" s="3" t="s">
        <v>15</v>
      </c>
      <c r="F455" s="3" t="s">
        <v>28</v>
      </c>
      <c r="G455" s="3"/>
      <c r="H455" s="16" t="s">
        <v>2179</v>
      </c>
      <c r="I455" s="21" t="s">
        <v>30</v>
      </c>
    </row>
    <row r="456" spans="1:9">
      <c r="A456" s="16" t="s">
        <v>2548</v>
      </c>
      <c r="B456" s="2">
        <v>50000</v>
      </c>
      <c r="C456" s="2">
        <f t="shared" si="94"/>
        <v>875.00000000000011</v>
      </c>
      <c r="D456" s="44">
        <v>45399</v>
      </c>
      <c r="E456" s="3" t="s">
        <v>73</v>
      </c>
      <c r="F456" s="3" t="s">
        <v>28</v>
      </c>
      <c r="G456" s="3"/>
    </row>
    <row r="457" spans="1:9">
      <c r="A457" s="16" t="s">
        <v>2549</v>
      </c>
      <c r="B457" s="2">
        <v>40000</v>
      </c>
      <c r="C457" s="2">
        <f>0.0175*30000</f>
        <v>525</v>
      </c>
      <c r="D457" s="44">
        <v>45399</v>
      </c>
      <c r="E457" s="3" t="s">
        <v>24</v>
      </c>
      <c r="F457" s="3" t="s">
        <v>28</v>
      </c>
      <c r="G457" s="3"/>
      <c r="H457" s="16" t="s">
        <v>2550</v>
      </c>
      <c r="I457" s="21" t="s">
        <v>30</v>
      </c>
    </row>
    <row r="458" spans="1:9">
      <c r="A458" s="16" t="s">
        <v>2551</v>
      </c>
      <c r="B458" s="2">
        <v>575000</v>
      </c>
      <c r="C458" s="2">
        <f>0.0175*B458</f>
        <v>10062.500000000002</v>
      </c>
      <c r="D458" s="44">
        <v>45399</v>
      </c>
      <c r="E458" s="3" t="s">
        <v>15</v>
      </c>
      <c r="F458" s="3" t="s">
        <v>28</v>
      </c>
      <c r="G458" s="3"/>
      <c r="H458" s="16" t="s">
        <v>2126</v>
      </c>
      <c r="I458" s="21" t="s">
        <v>30</v>
      </c>
    </row>
    <row r="459" spans="1:9">
      <c r="A459" s="16" t="s">
        <v>2552</v>
      </c>
      <c r="B459" s="2">
        <v>200000</v>
      </c>
      <c r="C459" s="2">
        <f>0.0125*B459</f>
        <v>2500</v>
      </c>
      <c r="D459" s="44">
        <v>45399</v>
      </c>
      <c r="E459" s="3" t="s">
        <v>15</v>
      </c>
      <c r="F459" s="3" t="s">
        <v>12</v>
      </c>
      <c r="G459" s="3"/>
      <c r="H459" s="16" t="s">
        <v>220</v>
      </c>
    </row>
    <row r="460" spans="1:9">
      <c r="A460" s="16" t="s">
        <v>2493</v>
      </c>
      <c r="B460" s="2">
        <v>100000</v>
      </c>
      <c r="C460" s="2">
        <f>0.0175*B460</f>
        <v>1750.0000000000002</v>
      </c>
      <c r="D460" s="44">
        <v>45399</v>
      </c>
      <c r="E460" s="3" t="s">
        <v>2157</v>
      </c>
      <c r="F460" s="3" t="s">
        <v>28</v>
      </c>
      <c r="G460" s="3"/>
      <c r="H460" s="16" t="s">
        <v>13</v>
      </c>
      <c r="I460" s="21" t="s">
        <v>30</v>
      </c>
    </row>
    <row r="461" spans="1:9">
      <c r="A461" s="16" t="s">
        <v>2553</v>
      </c>
      <c r="B461" s="2">
        <v>170000</v>
      </c>
      <c r="C461" s="2">
        <f>0.0125*B461</f>
        <v>2125</v>
      </c>
      <c r="D461" s="44">
        <v>45399</v>
      </c>
      <c r="E461" s="3" t="s">
        <v>73</v>
      </c>
      <c r="F461" s="3" t="s">
        <v>12</v>
      </c>
      <c r="G461" s="3"/>
      <c r="H461" s="16" t="s">
        <v>2554</v>
      </c>
    </row>
    <row r="462" spans="1:9">
      <c r="A462" s="16" t="s">
        <v>2555</v>
      </c>
      <c r="B462" s="2">
        <v>80000</v>
      </c>
      <c r="C462" s="2">
        <f t="shared" ref="C462:C463" si="95">0.0175*B462</f>
        <v>1400.0000000000002</v>
      </c>
      <c r="D462" s="44">
        <v>45399</v>
      </c>
      <c r="E462" s="3" t="s">
        <v>11</v>
      </c>
      <c r="F462" s="3" t="s">
        <v>28</v>
      </c>
      <c r="G462" s="3"/>
      <c r="I462" s="21" t="s">
        <v>30</v>
      </c>
    </row>
    <row r="463" spans="1:9">
      <c r="A463" s="16" t="s">
        <v>2556</v>
      </c>
      <c r="B463" s="2">
        <v>35000</v>
      </c>
      <c r="C463" s="2">
        <f t="shared" si="95"/>
        <v>612.50000000000011</v>
      </c>
      <c r="D463" s="44">
        <v>45400</v>
      </c>
      <c r="E463" s="3" t="s">
        <v>15</v>
      </c>
      <c r="F463" s="3" t="s">
        <v>28</v>
      </c>
      <c r="G463" s="3"/>
      <c r="H463" s="16" t="s">
        <v>2557</v>
      </c>
      <c r="I463" s="21" t="s">
        <v>30</v>
      </c>
    </row>
    <row r="464" spans="1:9">
      <c r="A464" s="16" t="s">
        <v>2313</v>
      </c>
      <c r="B464" s="2">
        <v>100000</v>
      </c>
      <c r="C464" s="2">
        <f t="shared" ref="C464:C466" si="96">0.0125*B464</f>
        <v>1250</v>
      </c>
      <c r="D464" s="44">
        <v>45400</v>
      </c>
      <c r="E464" s="3" t="s">
        <v>11</v>
      </c>
      <c r="F464" s="3" t="s">
        <v>12</v>
      </c>
      <c r="G464" s="3"/>
    </row>
    <row r="465" spans="1:9">
      <c r="A465" s="16" t="s">
        <v>2558</v>
      </c>
      <c r="B465" s="2">
        <v>120000</v>
      </c>
      <c r="C465" s="2">
        <f t="shared" si="96"/>
        <v>1500</v>
      </c>
      <c r="D465" s="44">
        <v>45400</v>
      </c>
      <c r="E465" s="3" t="s">
        <v>11</v>
      </c>
      <c r="F465" s="3" t="s">
        <v>12</v>
      </c>
      <c r="G465" s="3"/>
    </row>
    <row r="466" spans="1:9">
      <c r="A466" s="16" t="s">
        <v>2559</v>
      </c>
      <c r="B466" s="2">
        <v>60000</v>
      </c>
      <c r="C466" s="2">
        <f t="shared" si="96"/>
        <v>750</v>
      </c>
      <c r="D466" s="44">
        <v>45400</v>
      </c>
      <c r="E466" s="3" t="s">
        <v>11</v>
      </c>
      <c r="F466" s="3" t="s">
        <v>12</v>
      </c>
      <c r="G466" s="3"/>
    </row>
    <row r="467" spans="1:9">
      <c r="A467" s="16" t="s">
        <v>2560</v>
      </c>
      <c r="B467" s="17">
        <v>50000</v>
      </c>
      <c r="C467" s="2">
        <f t="shared" ref="C467:C468" si="97">0.0175*B467</f>
        <v>875.00000000000011</v>
      </c>
      <c r="D467" s="44">
        <v>45400</v>
      </c>
      <c r="E467" s="3" t="s">
        <v>15</v>
      </c>
      <c r="F467" s="3" t="s">
        <v>28</v>
      </c>
      <c r="G467" s="3"/>
      <c r="H467" s="16" t="s">
        <v>2135</v>
      </c>
      <c r="I467" s="21" t="s">
        <v>30</v>
      </c>
    </row>
    <row r="468" spans="1:9">
      <c r="A468" s="16" t="s">
        <v>2561</v>
      </c>
      <c r="B468" s="17">
        <v>100000</v>
      </c>
      <c r="C468" s="2">
        <f t="shared" si="97"/>
        <v>1750.0000000000002</v>
      </c>
      <c r="D468" s="44">
        <v>45400</v>
      </c>
      <c r="E468" s="3" t="s">
        <v>11</v>
      </c>
      <c r="F468" s="3" t="s">
        <v>28</v>
      </c>
      <c r="G468" s="3"/>
      <c r="I468" s="21" t="s">
        <v>30</v>
      </c>
    </row>
    <row r="469" spans="1:9">
      <c r="A469" s="16" t="s">
        <v>2299</v>
      </c>
      <c r="B469" s="17">
        <v>115000</v>
      </c>
      <c r="C469" s="2">
        <f>0.0125*B469</f>
        <v>1437.5</v>
      </c>
      <c r="D469" s="44">
        <v>45400</v>
      </c>
      <c r="E469" s="3" t="s">
        <v>11</v>
      </c>
      <c r="F469" s="3" t="s">
        <v>12</v>
      </c>
      <c r="G469" s="3"/>
    </row>
    <row r="470" spans="1:9">
      <c r="A470" s="16" t="s">
        <v>2562</v>
      </c>
      <c r="B470" s="17">
        <v>50000</v>
      </c>
      <c r="C470" s="2">
        <f>0.0175*B470</f>
        <v>875.00000000000011</v>
      </c>
      <c r="D470" s="44">
        <v>45400</v>
      </c>
      <c r="E470" s="3" t="s">
        <v>11</v>
      </c>
      <c r="F470" s="3" t="s">
        <v>28</v>
      </c>
      <c r="G470" s="3"/>
    </row>
    <row r="471" spans="1:9">
      <c r="A471" s="16" t="s">
        <v>2563</v>
      </c>
      <c r="B471" s="2">
        <v>175000</v>
      </c>
      <c r="C471" s="2">
        <f>0.0175*165000</f>
        <v>2887.5000000000005</v>
      </c>
      <c r="D471" s="44">
        <v>45400</v>
      </c>
      <c r="E471" s="3" t="s">
        <v>24</v>
      </c>
      <c r="F471" s="3" t="s">
        <v>28</v>
      </c>
      <c r="G471" s="3"/>
      <c r="H471" s="16" t="s">
        <v>2550</v>
      </c>
    </row>
    <row r="472" spans="1:9">
      <c r="A472" s="16" t="s">
        <v>2564</v>
      </c>
      <c r="B472" s="2">
        <v>215000</v>
      </c>
      <c r="C472" s="2">
        <f>0.0175*B472</f>
        <v>3762.5000000000005</v>
      </c>
      <c r="D472" s="44">
        <v>45400</v>
      </c>
      <c r="E472" s="32" t="s">
        <v>60</v>
      </c>
      <c r="F472" s="3" t="s">
        <v>28</v>
      </c>
      <c r="G472" s="3"/>
      <c r="I472" s="21" t="s">
        <v>30</v>
      </c>
    </row>
    <row r="473" spans="1:9">
      <c r="A473" s="16" t="s">
        <v>2565</v>
      </c>
      <c r="B473" s="2">
        <v>364600</v>
      </c>
      <c r="C473" s="2">
        <f t="shared" ref="C473:C475" si="98">0.0125*B473</f>
        <v>4557.5</v>
      </c>
      <c r="D473" s="44">
        <v>45400</v>
      </c>
      <c r="E473" s="3" t="s">
        <v>2157</v>
      </c>
      <c r="F473" s="3" t="s">
        <v>12</v>
      </c>
      <c r="G473" s="3"/>
      <c r="H473" s="16" t="s">
        <v>22</v>
      </c>
    </row>
    <row r="474" spans="1:9">
      <c r="A474" s="16" t="s">
        <v>1250</v>
      </c>
      <c r="B474" s="2">
        <v>120000</v>
      </c>
      <c r="C474" s="2">
        <f t="shared" si="98"/>
        <v>1500</v>
      </c>
      <c r="D474" s="44">
        <v>45400</v>
      </c>
      <c r="E474" s="3" t="s">
        <v>11</v>
      </c>
      <c r="F474" s="3" t="s">
        <v>12</v>
      </c>
      <c r="G474" s="3"/>
    </row>
    <row r="475" spans="1:9">
      <c r="A475" s="16" t="s">
        <v>248</v>
      </c>
      <c r="B475" s="2">
        <v>50000</v>
      </c>
      <c r="C475" s="2">
        <f t="shared" si="98"/>
        <v>625</v>
      </c>
      <c r="D475" s="44">
        <v>45400</v>
      </c>
      <c r="E475" s="3" t="s">
        <v>15</v>
      </c>
      <c r="F475" s="3" t="s">
        <v>12</v>
      </c>
      <c r="G475" s="3"/>
      <c r="H475" s="16" t="s">
        <v>51</v>
      </c>
    </row>
    <row r="476" spans="1:9">
      <c r="A476" s="16" t="s">
        <v>2566</v>
      </c>
      <c r="B476" s="2">
        <v>5000</v>
      </c>
      <c r="C476" s="2">
        <f>0.0175*B476</f>
        <v>87.500000000000014</v>
      </c>
      <c r="D476" s="44">
        <v>45400</v>
      </c>
      <c r="E476" s="3" t="s">
        <v>15</v>
      </c>
      <c r="F476" s="3" t="s">
        <v>28</v>
      </c>
      <c r="G476" s="3"/>
      <c r="H476" s="16" t="s">
        <v>2116</v>
      </c>
    </row>
    <row r="477" spans="1:9">
      <c r="A477" s="16" t="s">
        <v>2567</v>
      </c>
      <c r="B477" s="2">
        <v>25000</v>
      </c>
      <c r="C477" s="2">
        <f t="shared" ref="C477:C478" si="99">0.0125*B477</f>
        <v>312.5</v>
      </c>
      <c r="D477" s="44">
        <v>45400</v>
      </c>
      <c r="E477" s="3" t="s">
        <v>11</v>
      </c>
      <c r="F477" s="3" t="s">
        <v>12</v>
      </c>
      <c r="G477" s="3"/>
    </row>
    <row r="478" spans="1:9">
      <c r="A478" s="16" t="s">
        <v>2568</v>
      </c>
      <c r="B478" s="2">
        <v>50000</v>
      </c>
      <c r="C478" s="2">
        <f t="shared" si="99"/>
        <v>625</v>
      </c>
      <c r="D478" s="44">
        <v>45401</v>
      </c>
      <c r="E478" s="3" t="s">
        <v>11</v>
      </c>
      <c r="F478" s="3" t="s">
        <v>12</v>
      </c>
      <c r="G478" s="3"/>
    </row>
    <row r="479" spans="1:9">
      <c r="A479" s="16" t="s">
        <v>2569</v>
      </c>
      <c r="B479" s="2">
        <v>75000</v>
      </c>
      <c r="C479" s="2">
        <f>0.0175*65000</f>
        <v>1137.5</v>
      </c>
      <c r="D479" s="44">
        <v>45401</v>
      </c>
      <c r="E479" s="3" t="s">
        <v>24</v>
      </c>
      <c r="F479" s="3" t="s">
        <v>28</v>
      </c>
      <c r="G479" s="3"/>
      <c r="H479" s="16" t="s">
        <v>2550</v>
      </c>
      <c r="I479" s="21" t="s">
        <v>30</v>
      </c>
    </row>
    <row r="480" spans="1:9">
      <c r="A480" s="16" t="s">
        <v>2570</v>
      </c>
      <c r="B480" s="2">
        <v>30000</v>
      </c>
      <c r="C480" s="2">
        <f t="shared" ref="C480:C485" si="100">0.0175*B480</f>
        <v>525</v>
      </c>
      <c r="D480" s="44">
        <v>45401</v>
      </c>
      <c r="E480" s="3" t="s">
        <v>15</v>
      </c>
      <c r="F480" s="3" t="s">
        <v>28</v>
      </c>
      <c r="G480" s="3"/>
      <c r="H480" s="16" t="s">
        <v>2126</v>
      </c>
      <c r="I480" s="21" t="s">
        <v>30</v>
      </c>
    </row>
    <row r="481" spans="1:9">
      <c r="A481" s="16" t="s">
        <v>2571</v>
      </c>
      <c r="B481" s="2">
        <v>35000</v>
      </c>
      <c r="C481" s="2">
        <f t="shared" si="100"/>
        <v>612.50000000000011</v>
      </c>
      <c r="D481" s="44">
        <v>45401</v>
      </c>
      <c r="E481" s="3" t="s">
        <v>2157</v>
      </c>
      <c r="F481" s="3" t="s">
        <v>28</v>
      </c>
      <c r="G481" s="3"/>
      <c r="H481" s="16" t="s">
        <v>13</v>
      </c>
      <c r="I481" s="21" t="s">
        <v>30</v>
      </c>
    </row>
    <row r="482" spans="1:9">
      <c r="A482" s="16" t="s">
        <v>2572</v>
      </c>
      <c r="B482" s="2">
        <v>30000</v>
      </c>
      <c r="C482" s="2">
        <f t="shared" si="100"/>
        <v>525</v>
      </c>
      <c r="D482" s="44">
        <v>45401</v>
      </c>
      <c r="E482" s="3" t="s">
        <v>11</v>
      </c>
      <c r="F482" s="3" t="s">
        <v>28</v>
      </c>
      <c r="G482" s="3"/>
      <c r="I482" s="21" t="s">
        <v>30</v>
      </c>
    </row>
    <row r="483" spans="1:9">
      <c r="A483" s="16" t="s">
        <v>2573</v>
      </c>
      <c r="B483" s="2">
        <v>175000</v>
      </c>
      <c r="C483" s="2">
        <f t="shared" si="100"/>
        <v>3062.5000000000005</v>
      </c>
      <c r="D483" s="44">
        <v>45404</v>
      </c>
      <c r="E483" s="32" t="s">
        <v>60</v>
      </c>
      <c r="F483" s="3" t="s">
        <v>28</v>
      </c>
      <c r="G483" s="3"/>
      <c r="I483" s="21" t="s">
        <v>30</v>
      </c>
    </row>
    <row r="484" spans="1:9">
      <c r="A484" s="16" t="s">
        <v>2574</v>
      </c>
      <c r="B484" s="2">
        <v>50000</v>
      </c>
      <c r="C484" s="2">
        <f t="shared" si="100"/>
        <v>875.00000000000011</v>
      </c>
      <c r="D484" s="44">
        <v>45404</v>
      </c>
      <c r="E484" s="3" t="s">
        <v>15</v>
      </c>
      <c r="F484" s="3" t="s">
        <v>28</v>
      </c>
      <c r="G484" s="3"/>
      <c r="H484" s="16" t="s">
        <v>2179</v>
      </c>
      <c r="I484" s="21" t="s">
        <v>30</v>
      </c>
    </row>
    <row r="485" spans="1:9">
      <c r="A485" s="16" t="s">
        <v>2575</v>
      </c>
      <c r="B485" s="2">
        <v>65000</v>
      </c>
      <c r="C485" s="2">
        <f t="shared" si="100"/>
        <v>1137.5</v>
      </c>
      <c r="D485" s="44">
        <v>45404</v>
      </c>
      <c r="E485" s="3" t="s">
        <v>11</v>
      </c>
      <c r="F485" s="3" t="s">
        <v>28</v>
      </c>
      <c r="G485" s="3"/>
      <c r="I485" s="21" t="s">
        <v>30</v>
      </c>
    </row>
    <row r="486" spans="1:9">
      <c r="A486" s="16" t="s">
        <v>2576</v>
      </c>
      <c r="B486" s="17">
        <v>150000</v>
      </c>
      <c r="C486" s="2">
        <f t="shared" ref="C486:C487" si="101">0.0125*B486</f>
        <v>1875</v>
      </c>
      <c r="D486" s="44">
        <v>45404</v>
      </c>
      <c r="E486" s="3" t="s">
        <v>21</v>
      </c>
      <c r="F486" s="3" t="s">
        <v>12</v>
      </c>
      <c r="G486" s="3"/>
    </row>
    <row r="487" spans="1:9">
      <c r="A487" s="16" t="s">
        <v>2577</v>
      </c>
      <c r="B487" s="17">
        <v>125000</v>
      </c>
      <c r="C487" s="2">
        <f t="shared" si="101"/>
        <v>1562.5</v>
      </c>
      <c r="D487" s="44">
        <v>45404</v>
      </c>
      <c r="E487" s="3" t="s">
        <v>21</v>
      </c>
      <c r="F487" s="3" t="s">
        <v>12</v>
      </c>
      <c r="G487" s="3"/>
    </row>
    <row r="488" spans="1:9">
      <c r="A488" s="16" t="s">
        <v>2578</v>
      </c>
      <c r="B488" s="2">
        <v>250000</v>
      </c>
      <c r="C488" s="2">
        <f>0.0175*B488</f>
        <v>4375</v>
      </c>
      <c r="D488" s="44">
        <v>45404</v>
      </c>
      <c r="E488" s="3" t="s">
        <v>11</v>
      </c>
      <c r="F488" s="3" t="s">
        <v>28</v>
      </c>
      <c r="G488" s="3"/>
      <c r="I488" s="21" t="s">
        <v>30</v>
      </c>
    </row>
    <row r="489" spans="1:9">
      <c r="A489" s="16" t="s">
        <v>610</v>
      </c>
      <c r="B489" s="2">
        <v>95000</v>
      </c>
      <c r="C489" s="2">
        <f>0.0125*B489</f>
        <v>1187.5</v>
      </c>
      <c r="D489" s="44">
        <v>45405</v>
      </c>
      <c r="E489" s="3" t="s">
        <v>73</v>
      </c>
      <c r="F489" s="3" t="s">
        <v>12</v>
      </c>
      <c r="G489" s="3"/>
    </row>
    <row r="490" spans="1:9">
      <c r="A490" s="16" t="s">
        <v>2579</v>
      </c>
      <c r="B490" s="2">
        <v>170000</v>
      </c>
      <c r="C490" s="2">
        <f>0.0175*160000</f>
        <v>2800.0000000000005</v>
      </c>
      <c r="D490" s="44">
        <v>45405</v>
      </c>
      <c r="E490" s="3" t="s">
        <v>24</v>
      </c>
      <c r="F490" s="3" t="s">
        <v>28</v>
      </c>
      <c r="G490" s="3"/>
      <c r="H490" s="16" t="s">
        <v>2550</v>
      </c>
      <c r="I490" s="21" t="s">
        <v>30</v>
      </c>
    </row>
    <row r="491" spans="1:9">
      <c r="A491" s="16" t="s">
        <v>2285</v>
      </c>
      <c r="B491" s="2">
        <v>45000</v>
      </c>
      <c r="C491" s="2">
        <f>0.0175*35000</f>
        <v>612.50000000000011</v>
      </c>
      <c r="D491" s="44">
        <v>45405</v>
      </c>
      <c r="E491" s="3" t="s">
        <v>24</v>
      </c>
      <c r="F491" s="3" t="s">
        <v>67</v>
      </c>
      <c r="G491" s="3"/>
      <c r="H491" s="16" t="s">
        <v>2433</v>
      </c>
      <c r="I491" s="21" t="s">
        <v>30</v>
      </c>
    </row>
    <row r="492" spans="1:9">
      <c r="A492" s="16" t="s">
        <v>2580</v>
      </c>
      <c r="B492" s="2">
        <v>505000</v>
      </c>
      <c r="C492" s="2">
        <f>0.0175*B492</f>
        <v>8837.5</v>
      </c>
      <c r="D492" s="44">
        <v>45405</v>
      </c>
      <c r="E492" s="32" t="s">
        <v>60</v>
      </c>
      <c r="F492" s="3" t="s">
        <v>28</v>
      </c>
      <c r="G492" s="3"/>
      <c r="I492" s="21" t="s">
        <v>30</v>
      </c>
    </row>
    <row r="493" spans="1:9">
      <c r="A493" s="16" t="s">
        <v>2581</v>
      </c>
      <c r="B493" s="2">
        <v>200000</v>
      </c>
      <c r="C493" s="2">
        <f>0.0125*B493</f>
        <v>2500</v>
      </c>
      <c r="D493" s="47">
        <v>45405</v>
      </c>
      <c r="E493" s="3" t="s">
        <v>11</v>
      </c>
      <c r="F493" s="3" t="s">
        <v>12</v>
      </c>
      <c r="G493" s="3"/>
    </row>
    <row r="494" spans="1:9">
      <c r="A494" s="16" t="s">
        <v>2582</v>
      </c>
      <c r="B494" s="2">
        <v>157000</v>
      </c>
      <c r="C494" s="2">
        <f t="shared" ref="C494:C500" si="102">0.0175*B494</f>
        <v>2747.5000000000005</v>
      </c>
      <c r="D494" s="47">
        <v>45405</v>
      </c>
      <c r="E494" s="32" t="s">
        <v>60</v>
      </c>
      <c r="F494" s="3" t="s">
        <v>28</v>
      </c>
      <c r="G494" s="3"/>
    </row>
    <row r="495" spans="1:9">
      <c r="A495" s="16" t="s">
        <v>2583</v>
      </c>
      <c r="B495" s="2">
        <v>130000</v>
      </c>
      <c r="C495" s="2">
        <f t="shared" si="102"/>
        <v>2275</v>
      </c>
      <c r="D495" s="44">
        <v>45406</v>
      </c>
      <c r="E495" s="3" t="s">
        <v>69</v>
      </c>
      <c r="F495" s="3" t="s">
        <v>28</v>
      </c>
      <c r="G495" s="3"/>
      <c r="H495" s="16" t="s">
        <v>13</v>
      </c>
      <c r="I495" s="21" t="s">
        <v>30</v>
      </c>
    </row>
    <row r="496" spans="1:9">
      <c r="A496" s="16" t="s">
        <v>2584</v>
      </c>
      <c r="B496" s="2">
        <v>400000</v>
      </c>
      <c r="C496" s="2">
        <f t="shared" si="102"/>
        <v>7000.0000000000009</v>
      </c>
      <c r="D496" s="44">
        <v>45406</v>
      </c>
      <c r="E496" s="3" t="s">
        <v>345</v>
      </c>
      <c r="F496" s="3" t="s">
        <v>28</v>
      </c>
      <c r="G496" s="3"/>
      <c r="H496" s="16" t="s">
        <v>13</v>
      </c>
      <c r="I496" s="21" t="s">
        <v>30</v>
      </c>
    </row>
    <row r="497" spans="1:9">
      <c r="A497" s="16" t="s">
        <v>2585</v>
      </c>
      <c r="B497" s="2">
        <v>50000</v>
      </c>
      <c r="C497" s="2">
        <f t="shared" si="102"/>
        <v>875.00000000000011</v>
      </c>
      <c r="D497" s="44">
        <v>45406</v>
      </c>
      <c r="E497" s="3" t="s">
        <v>11</v>
      </c>
      <c r="F497" s="3" t="s">
        <v>28</v>
      </c>
      <c r="G497" s="3"/>
      <c r="I497" s="21" t="s">
        <v>30</v>
      </c>
    </row>
    <row r="498" spans="1:9">
      <c r="A498" s="16" t="s">
        <v>2202</v>
      </c>
      <c r="B498" s="2">
        <v>70000</v>
      </c>
      <c r="C498" s="2">
        <f t="shared" si="102"/>
        <v>1225.0000000000002</v>
      </c>
      <c r="D498" s="44">
        <v>45406</v>
      </c>
      <c r="E498" s="3" t="s">
        <v>345</v>
      </c>
      <c r="F498" s="3" t="s">
        <v>67</v>
      </c>
      <c r="G498" s="3"/>
      <c r="H498" s="16" t="s">
        <v>22</v>
      </c>
    </row>
    <row r="499" spans="1:9">
      <c r="A499" s="16" t="s">
        <v>2586</v>
      </c>
      <c r="B499" s="2">
        <v>45000</v>
      </c>
      <c r="C499" s="2">
        <f t="shared" si="102"/>
        <v>787.50000000000011</v>
      </c>
      <c r="D499" s="44">
        <v>45407</v>
      </c>
      <c r="E499" s="3" t="s">
        <v>11</v>
      </c>
      <c r="F499" s="3" t="s">
        <v>28</v>
      </c>
      <c r="G499" s="3"/>
    </row>
    <row r="500" spans="1:9">
      <c r="A500" s="16" t="s">
        <v>2587</v>
      </c>
      <c r="B500" s="2">
        <v>175000</v>
      </c>
      <c r="C500" s="2">
        <f t="shared" si="102"/>
        <v>3062.5000000000005</v>
      </c>
      <c r="D500" s="44">
        <v>45407</v>
      </c>
      <c r="E500" s="3" t="s">
        <v>15</v>
      </c>
      <c r="F500" s="3" t="s">
        <v>28</v>
      </c>
      <c r="G500" s="3"/>
      <c r="H500" s="16" t="s">
        <v>2126</v>
      </c>
      <c r="I500" s="21" t="s">
        <v>30</v>
      </c>
    </row>
    <row r="501" spans="1:9">
      <c r="A501" s="16" t="s">
        <v>32</v>
      </c>
      <c r="B501" s="2">
        <v>25000</v>
      </c>
      <c r="C501" s="2">
        <f>0.0125*B501</f>
        <v>312.5</v>
      </c>
      <c r="D501" s="44">
        <v>45407</v>
      </c>
      <c r="E501" s="3" t="s">
        <v>15</v>
      </c>
      <c r="F501" s="3" t="s">
        <v>12</v>
      </c>
      <c r="G501" s="3"/>
      <c r="H501" s="16" t="s">
        <v>16</v>
      </c>
    </row>
    <row r="502" spans="1:9">
      <c r="A502" s="16" t="s">
        <v>1431</v>
      </c>
      <c r="B502" s="2">
        <v>30000</v>
      </c>
      <c r="C502" s="2">
        <f>0.0175*B502</f>
        <v>525</v>
      </c>
      <c r="D502" s="44">
        <v>45407</v>
      </c>
      <c r="E502" s="32" t="s">
        <v>60</v>
      </c>
      <c r="F502" s="3" t="s">
        <v>28</v>
      </c>
      <c r="G502" s="3"/>
      <c r="I502" s="21" t="s">
        <v>30</v>
      </c>
    </row>
    <row r="503" spans="1:9">
      <c r="A503" s="16" t="s">
        <v>2301</v>
      </c>
      <c r="B503" s="17">
        <v>200000</v>
      </c>
      <c r="C503" s="2">
        <f t="shared" ref="C503:C504" si="103">0.0125*B503</f>
        <v>2500</v>
      </c>
      <c r="D503" s="44">
        <v>45407</v>
      </c>
      <c r="E503" s="3" t="s">
        <v>11</v>
      </c>
      <c r="F503" s="3" t="s">
        <v>12</v>
      </c>
      <c r="G503" s="3"/>
    </row>
    <row r="504" spans="1:9">
      <c r="A504" s="16" t="s">
        <v>2588</v>
      </c>
      <c r="B504" s="17">
        <v>25000</v>
      </c>
      <c r="C504" s="2">
        <f t="shared" si="103"/>
        <v>312.5</v>
      </c>
      <c r="D504" s="44">
        <v>45407</v>
      </c>
      <c r="E504" s="3" t="s">
        <v>11</v>
      </c>
      <c r="F504" s="3" t="s">
        <v>12</v>
      </c>
      <c r="G504" s="3"/>
    </row>
    <row r="505" spans="1:9">
      <c r="A505" s="16" t="s">
        <v>2589</v>
      </c>
      <c r="B505" s="17">
        <v>70000</v>
      </c>
      <c r="C505" s="2">
        <f t="shared" ref="C505:C508" si="104">0.0175*B505</f>
        <v>1225.0000000000002</v>
      </c>
      <c r="D505" s="44">
        <v>45407</v>
      </c>
      <c r="E505" s="3" t="s">
        <v>11</v>
      </c>
      <c r="F505" s="3" t="s">
        <v>28</v>
      </c>
      <c r="G505" s="3"/>
    </row>
    <row r="506" spans="1:9">
      <c r="A506" s="16" t="s">
        <v>2204</v>
      </c>
      <c r="B506" s="2">
        <v>100000</v>
      </c>
      <c r="C506" s="2">
        <f t="shared" si="104"/>
        <v>1750.0000000000002</v>
      </c>
      <c r="D506" s="44">
        <v>45407</v>
      </c>
      <c r="E506" s="3" t="s">
        <v>15</v>
      </c>
      <c r="F506" s="3" t="s">
        <v>2590</v>
      </c>
      <c r="G506" s="3"/>
      <c r="H506" s="16" t="s">
        <v>98</v>
      </c>
    </row>
    <row r="507" spans="1:9">
      <c r="A507" s="16" t="s">
        <v>2591</v>
      </c>
      <c r="B507" s="2">
        <v>130000</v>
      </c>
      <c r="C507" s="2">
        <f t="shared" si="104"/>
        <v>2275</v>
      </c>
      <c r="D507" s="44">
        <v>45407</v>
      </c>
      <c r="E507" s="32" t="s">
        <v>60</v>
      </c>
      <c r="F507" s="3" t="s">
        <v>28</v>
      </c>
      <c r="G507" s="3"/>
      <c r="I507" s="21" t="s">
        <v>30</v>
      </c>
    </row>
    <row r="508" spans="1:9">
      <c r="A508" s="16" t="s">
        <v>2592</v>
      </c>
      <c r="B508" s="2">
        <v>120000</v>
      </c>
      <c r="C508" s="2">
        <f t="shared" si="104"/>
        <v>2100</v>
      </c>
      <c r="D508" s="44">
        <v>45408</v>
      </c>
      <c r="E508" s="3" t="s">
        <v>2157</v>
      </c>
      <c r="F508" s="3" t="s">
        <v>28</v>
      </c>
      <c r="G508" s="3"/>
      <c r="H508" s="16" t="s">
        <v>13</v>
      </c>
      <c r="I508" s="21" t="s">
        <v>30</v>
      </c>
    </row>
    <row r="509" spans="1:9">
      <c r="A509" s="16" t="s">
        <v>259</v>
      </c>
      <c r="B509" s="2">
        <v>200000</v>
      </c>
      <c r="C509" s="2">
        <f>0.0125*B509</f>
        <v>2500</v>
      </c>
      <c r="D509" s="44">
        <v>45408</v>
      </c>
      <c r="E509" s="3" t="s">
        <v>11</v>
      </c>
      <c r="F509" s="3" t="s">
        <v>12</v>
      </c>
      <c r="G509" s="3"/>
    </row>
    <row r="510" spans="1:9">
      <c r="A510" s="16" t="s">
        <v>2593</v>
      </c>
      <c r="B510" s="2">
        <v>40000</v>
      </c>
      <c r="C510" s="2">
        <f t="shared" ref="C510:C516" si="105">0.0175*B510</f>
        <v>700.00000000000011</v>
      </c>
      <c r="D510" s="44">
        <v>45408</v>
      </c>
      <c r="E510" s="3" t="s">
        <v>92</v>
      </c>
      <c r="F510" s="3" t="s">
        <v>28</v>
      </c>
      <c r="G510" s="3"/>
    </row>
    <row r="511" spans="1:9">
      <c r="A511" s="16" t="s">
        <v>2594</v>
      </c>
      <c r="B511" s="2">
        <v>75000</v>
      </c>
      <c r="C511" s="2">
        <f t="shared" si="105"/>
        <v>1312.5000000000002</v>
      </c>
      <c r="D511" s="44">
        <v>45411</v>
      </c>
      <c r="E511" s="3" t="s">
        <v>15</v>
      </c>
      <c r="F511" s="3" t="s">
        <v>28</v>
      </c>
      <c r="G511" s="3"/>
      <c r="H511" s="16" t="s">
        <v>2253</v>
      </c>
    </row>
    <row r="512" spans="1:9">
      <c r="A512" s="16" t="s">
        <v>2595</v>
      </c>
      <c r="B512" s="2">
        <v>250000</v>
      </c>
      <c r="C512" s="2">
        <f t="shared" si="105"/>
        <v>4375</v>
      </c>
      <c r="D512" s="44">
        <v>45412</v>
      </c>
      <c r="E512" s="3" t="s">
        <v>73</v>
      </c>
      <c r="F512" s="3" t="s">
        <v>41</v>
      </c>
      <c r="G512" s="3"/>
    </row>
    <row r="513" spans="1:12">
      <c r="A513" s="16" t="s">
        <v>2528</v>
      </c>
      <c r="B513" s="2">
        <v>50000</v>
      </c>
      <c r="C513" s="2">
        <f t="shared" si="105"/>
        <v>875.00000000000011</v>
      </c>
      <c r="D513" s="44">
        <v>45412</v>
      </c>
      <c r="E513" s="3" t="s">
        <v>15</v>
      </c>
      <c r="F513" s="3" t="s">
        <v>2438</v>
      </c>
      <c r="G513" s="3"/>
      <c r="H513" s="16" t="s">
        <v>2143</v>
      </c>
    </row>
    <row r="514" spans="1:12">
      <c r="A514" s="16" t="s">
        <v>2596</v>
      </c>
      <c r="B514" s="2">
        <v>200000</v>
      </c>
      <c r="C514" s="2">
        <f t="shared" si="105"/>
        <v>3500.0000000000005</v>
      </c>
      <c r="D514" s="44">
        <v>45412</v>
      </c>
      <c r="E514" s="3" t="s">
        <v>15</v>
      </c>
      <c r="F514" s="3" t="s">
        <v>28</v>
      </c>
      <c r="G514" s="3"/>
      <c r="H514" s="16" t="s">
        <v>2205</v>
      </c>
      <c r="I514" s="21" t="s">
        <v>30</v>
      </c>
    </row>
    <row r="515" spans="1:12">
      <c r="A515" s="16" t="s">
        <v>2597</v>
      </c>
      <c r="B515" s="2">
        <v>50000</v>
      </c>
      <c r="C515" s="2">
        <f t="shared" si="105"/>
        <v>875.00000000000011</v>
      </c>
      <c r="D515" s="44">
        <v>45412</v>
      </c>
      <c r="E515" s="3" t="s">
        <v>11</v>
      </c>
      <c r="F515" s="3" t="s">
        <v>28</v>
      </c>
      <c r="G515" s="3"/>
      <c r="I515" s="21" t="s">
        <v>30</v>
      </c>
    </row>
    <row r="516" spans="1:12">
      <c r="A516" s="16" t="s">
        <v>2598</v>
      </c>
      <c r="B516" s="2">
        <v>50000</v>
      </c>
      <c r="C516" s="2">
        <f t="shared" si="105"/>
        <v>875.00000000000011</v>
      </c>
      <c r="D516" s="44">
        <v>45412</v>
      </c>
      <c r="E516" s="3" t="s">
        <v>15</v>
      </c>
      <c r="F516" s="3" t="s">
        <v>28</v>
      </c>
      <c r="G516" s="3"/>
      <c r="H516" s="16" t="s">
        <v>2179</v>
      </c>
      <c r="I516" s="21" t="s">
        <v>30</v>
      </c>
    </row>
    <row r="517" spans="1:12">
      <c r="A517" s="16" t="s">
        <v>780</v>
      </c>
      <c r="B517" s="2">
        <v>165000</v>
      </c>
      <c r="C517" s="2">
        <f>0.0125*155000</f>
        <v>1937.5</v>
      </c>
      <c r="D517" s="44">
        <v>45412</v>
      </c>
      <c r="E517" s="3" t="s">
        <v>24</v>
      </c>
      <c r="F517" s="3" t="s">
        <v>12</v>
      </c>
      <c r="G517" s="3"/>
      <c r="H517" s="16" t="s">
        <v>2433</v>
      </c>
    </row>
    <row r="518" spans="1:12">
      <c r="A518" s="16" t="s">
        <v>2599</v>
      </c>
      <c r="B518" s="2">
        <v>250000</v>
      </c>
      <c r="C518" s="2">
        <f>0.0175*B518</f>
        <v>4375</v>
      </c>
      <c r="D518" s="44">
        <v>45412</v>
      </c>
      <c r="E518" s="3" t="s">
        <v>11</v>
      </c>
      <c r="F518" s="3" t="s">
        <v>28</v>
      </c>
      <c r="G518" s="3"/>
    </row>
    <row r="519" spans="1:12">
      <c r="A519" s="16" t="s">
        <v>1437</v>
      </c>
      <c r="B519" s="2">
        <v>515000</v>
      </c>
      <c r="C519" s="2">
        <f t="shared" ref="C519:C520" si="106">0.0125*B519</f>
        <v>6437.5</v>
      </c>
      <c r="D519" s="44">
        <v>45412</v>
      </c>
      <c r="E519" s="3" t="s">
        <v>11</v>
      </c>
      <c r="F519" s="3" t="s">
        <v>12</v>
      </c>
      <c r="G519" s="3"/>
    </row>
    <row r="520" spans="1:12">
      <c r="A520" s="16" t="s">
        <v>42</v>
      </c>
      <c r="B520" s="2">
        <v>240000</v>
      </c>
      <c r="C520" s="2">
        <f t="shared" si="106"/>
        <v>3000</v>
      </c>
      <c r="D520" s="44">
        <v>45412</v>
      </c>
      <c r="E520" s="3" t="s">
        <v>11</v>
      </c>
      <c r="F520" s="3" t="s">
        <v>12</v>
      </c>
      <c r="G520" s="3"/>
    </row>
    <row r="521" spans="1:12">
      <c r="A521" s="16" t="s">
        <v>2600</v>
      </c>
      <c r="B521" s="2">
        <v>100000</v>
      </c>
      <c r="C521" s="2">
        <f>0.0175*B521</f>
        <v>1750.0000000000002</v>
      </c>
      <c r="D521" s="44">
        <v>45412</v>
      </c>
      <c r="E521" s="32" t="s">
        <v>60</v>
      </c>
      <c r="F521" s="3" t="s">
        <v>28</v>
      </c>
      <c r="G521" s="3"/>
      <c r="I521" s="21" t="s">
        <v>30</v>
      </c>
    </row>
    <row r="522" spans="1:12">
      <c r="A522" s="16" t="s">
        <v>205</v>
      </c>
      <c r="B522" s="17">
        <v>50000</v>
      </c>
      <c r="C522" s="2">
        <f t="shared" ref="C522:C525" si="107">0.0125*B522</f>
        <v>625</v>
      </c>
      <c r="D522" s="44">
        <v>45412</v>
      </c>
      <c r="E522" s="3" t="s">
        <v>11</v>
      </c>
      <c r="F522" s="3" t="s">
        <v>12</v>
      </c>
      <c r="G522" s="3"/>
    </row>
    <row r="523" spans="1:12">
      <c r="A523" s="16" t="s">
        <v>2601</v>
      </c>
      <c r="B523" s="17">
        <v>142500</v>
      </c>
      <c r="C523" s="2">
        <f t="shared" si="107"/>
        <v>1781.25</v>
      </c>
      <c r="D523" s="44">
        <v>45412</v>
      </c>
      <c r="E523" s="3" t="s">
        <v>11</v>
      </c>
      <c r="F523" s="3" t="s">
        <v>12</v>
      </c>
      <c r="G523" s="3"/>
    </row>
    <row r="524" spans="1:12">
      <c r="A524" s="16" t="s">
        <v>655</v>
      </c>
      <c r="B524" s="17">
        <v>6000</v>
      </c>
      <c r="C524" s="2">
        <f t="shared" si="107"/>
        <v>75</v>
      </c>
      <c r="D524" s="44">
        <v>45412</v>
      </c>
      <c r="E524" s="3" t="s">
        <v>11</v>
      </c>
      <c r="F524" s="3" t="s">
        <v>12</v>
      </c>
      <c r="G524" s="3"/>
    </row>
    <row r="525" spans="1:12">
      <c r="A525" s="16" t="s">
        <v>791</v>
      </c>
      <c r="B525" s="17">
        <v>67500</v>
      </c>
      <c r="C525" s="2">
        <f t="shared" si="107"/>
        <v>843.75</v>
      </c>
      <c r="D525" s="44">
        <v>45412</v>
      </c>
      <c r="E525" s="3" t="s">
        <v>11</v>
      </c>
      <c r="F525" s="3" t="s">
        <v>12</v>
      </c>
      <c r="G525" s="3"/>
    </row>
    <row r="526" spans="1:12">
      <c r="A526" s="11">
        <v>45413</v>
      </c>
      <c r="B526" s="12">
        <f t="shared" ref="B526:C526" si="108">SUM(B527:B672)</f>
        <v>26711000</v>
      </c>
      <c r="C526" s="12">
        <f t="shared" si="108"/>
        <v>417485</v>
      </c>
      <c r="D526" s="14"/>
      <c r="E526" s="14"/>
      <c r="F526" s="14"/>
      <c r="G526" s="14"/>
      <c r="H526" s="15"/>
      <c r="I526" s="15"/>
      <c r="J526" s="15"/>
      <c r="K526" s="15"/>
      <c r="L526" s="15"/>
    </row>
    <row r="527" spans="1:12">
      <c r="A527" s="16" t="s">
        <v>2602</v>
      </c>
      <c r="B527" s="2">
        <v>695000</v>
      </c>
      <c r="C527" s="2">
        <f>0.0125*B527</f>
        <v>8687.5</v>
      </c>
      <c r="D527" s="44">
        <v>45413</v>
      </c>
      <c r="E527" s="3" t="s">
        <v>11</v>
      </c>
      <c r="F527" s="3" t="s">
        <v>12</v>
      </c>
      <c r="G527" s="3"/>
    </row>
    <row r="528" spans="1:12">
      <c r="A528" s="16" t="s">
        <v>2603</v>
      </c>
      <c r="B528" s="2">
        <v>90000</v>
      </c>
      <c r="C528" s="2">
        <f t="shared" ref="C528:C530" si="109">0.0175*B528</f>
        <v>1575.0000000000002</v>
      </c>
      <c r="D528" s="44">
        <v>45413</v>
      </c>
      <c r="E528" s="3" t="s">
        <v>15</v>
      </c>
      <c r="F528" s="3" t="s">
        <v>28</v>
      </c>
      <c r="G528" s="3"/>
      <c r="H528" s="16" t="s">
        <v>2135</v>
      </c>
      <c r="I528" s="21" t="s">
        <v>30</v>
      </c>
      <c r="J528" s="16">
        <v>540</v>
      </c>
    </row>
    <row r="529" spans="1:21">
      <c r="A529" s="16" t="s">
        <v>2604</v>
      </c>
      <c r="B529" s="2">
        <v>225000</v>
      </c>
      <c r="C529" s="2">
        <f t="shared" si="109"/>
        <v>3937.5000000000005</v>
      </c>
      <c r="D529" s="44">
        <v>45414</v>
      </c>
      <c r="E529" s="3" t="s">
        <v>11</v>
      </c>
      <c r="F529" s="3" t="s">
        <v>12</v>
      </c>
      <c r="G529" s="3"/>
      <c r="O529" s="16" t="s">
        <v>17</v>
      </c>
      <c r="P529" s="16">
        <v>14423.08</v>
      </c>
    </row>
    <row r="530" spans="1:21">
      <c r="A530" s="16" t="s">
        <v>2605</v>
      </c>
      <c r="B530" s="2">
        <v>75000</v>
      </c>
      <c r="C530" s="2">
        <f t="shared" si="109"/>
        <v>1312.5000000000002</v>
      </c>
      <c r="D530" s="44">
        <v>45414</v>
      </c>
      <c r="E530" s="3" t="s">
        <v>15</v>
      </c>
      <c r="F530" s="3" t="s">
        <v>12</v>
      </c>
      <c r="G530" s="3"/>
      <c r="H530" s="16" t="s">
        <v>16</v>
      </c>
      <c r="J530" s="16">
        <v>300</v>
      </c>
      <c r="O530" s="16" t="s">
        <v>738</v>
      </c>
      <c r="P530" s="16">
        <v>4900</v>
      </c>
      <c r="Q530" s="31">
        <v>980000</v>
      </c>
    </row>
    <row r="531" spans="1:21">
      <c r="A531" s="16" t="s">
        <v>2606</v>
      </c>
      <c r="B531" s="2">
        <v>22500</v>
      </c>
      <c r="C531" s="2">
        <f>0.0125*B531</f>
        <v>281.25</v>
      </c>
      <c r="D531" s="44">
        <v>45414</v>
      </c>
      <c r="E531" s="3" t="s">
        <v>73</v>
      </c>
      <c r="F531" s="3" t="s">
        <v>12</v>
      </c>
      <c r="G531" s="3"/>
      <c r="O531" s="16" t="s">
        <v>740</v>
      </c>
      <c r="P531" s="16">
        <v>2350</v>
      </c>
      <c r="Q531" s="16">
        <v>940000</v>
      </c>
      <c r="U531" s="16" t="s">
        <v>2607</v>
      </c>
    </row>
    <row r="532" spans="1:21">
      <c r="A532" s="16" t="s">
        <v>2608</v>
      </c>
      <c r="B532" s="2">
        <v>140000</v>
      </c>
      <c r="C532" s="2">
        <f>0.0175*B532</f>
        <v>2450.0000000000005</v>
      </c>
      <c r="D532" s="44">
        <v>45414</v>
      </c>
      <c r="E532" s="3" t="s">
        <v>11</v>
      </c>
      <c r="F532" s="3" t="s">
        <v>28</v>
      </c>
      <c r="G532" s="3"/>
      <c r="I532" s="21" t="s">
        <v>30</v>
      </c>
      <c r="O532" s="16" t="s">
        <v>2609</v>
      </c>
      <c r="P532" s="16">
        <v>16647</v>
      </c>
      <c r="Q532" s="16">
        <v>5549000</v>
      </c>
    </row>
    <row r="533" spans="1:21">
      <c r="A533" s="16" t="s">
        <v>2610</v>
      </c>
      <c r="B533" s="2">
        <v>150000</v>
      </c>
      <c r="C533" s="2">
        <f t="shared" ref="C533:C534" si="110">0.0125*B533</f>
        <v>1875</v>
      </c>
      <c r="D533" s="44">
        <v>45414</v>
      </c>
      <c r="E533" s="3" t="s">
        <v>2346</v>
      </c>
      <c r="F533" s="3" t="s">
        <v>12</v>
      </c>
      <c r="G533" s="3"/>
      <c r="O533" s="16" t="s">
        <v>2611</v>
      </c>
      <c r="P533" s="16">
        <v>2955</v>
      </c>
      <c r="Q533" s="16">
        <v>1970000</v>
      </c>
    </row>
    <row r="534" spans="1:21">
      <c r="A534" s="16" t="s">
        <v>584</v>
      </c>
      <c r="B534" s="2">
        <v>140000</v>
      </c>
      <c r="C534" s="2">
        <f t="shared" si="110"/>
        <v>1750</v>
      </c>
      <c r="D534" s="44">
        <v>45415</v>
      </c>
      <c r="E534" s="32" t="s">
        <v>60</v>
      </c>
      <c r="F534" s="3" t="s">
        <v>12</v>
      </c>
      <c r="G534" s="3"/>
      <c r="O534" s="16" t="s">
        <v>2612</v>
      </c>
      <c r="P534" s="16">
        <v>15225</v>
      </c>
    </row>
    <row r="535" spans="1:21">
      <c r="A535" s="16" t="s">
        <v>2613</v>
      </c>
      <c r="B535" s="2">
        <v>85000</v>
      </c>
      <c r="C535" s="2">
        <f t="shared" ref="C535:C536" si="111">0.0175*B535</f>
        <v>1487.5000000000002</v>
      </c>
      <c r="D535" s="44">
        <v>45415</v>
      </c>
      <c r="E535" s="3" t="s">
        <v>11</v>
      </c>
      <c r="F535" s="3" t="s">
        <v>28</v>
      </c>
      <c r="G535" s="3"/>
      <c r="I535" s="21" t="s">
        <v>30</v>
      </c>
      <c r="O535" s="16" t="s">
        <v>2614</v>
      </c>
      <c r="P535" s="16">
        <v>248.75</v>
      </c>
    </row>
    <row r="536" spans="1:21">
      <c r="A536" s="16" t="s">
        <v>2218</v>
      </c>
      <c r="B536" s="2">
        <v>500000</v>
      </c>
      <c r="C536" s="2">
        <f t="shared" si="111"/>
        <v>8750</v>
      </c>
      <c r="D536" s="44">
        <v>45415</v>
      </c>
      <c r="E536" s="3" t="s">
        <v>11</v>
      </c>
      <c r="F536" s="3" t="s">
        <v>67</v>
      </c>
      <c r="G536" s="3"/>
      <c r="O536" s="16" t="s">
        <v>2615</v>
      </c>
      <c r="P536" s="16">
        <v>3500</v>
      </c>
      <c r="Q536" s="16" t="s">
        <v>2616</v>
      </c>
    </row>
    <row r="537" spans="1:21">
      <c r="A537" s="16" t="s">
        <v>2313</v>
      </c>
      <c r="B537" s="2">
        <v>225000</v>
      </c>
      <c r="C537" s="2">
        <f>0.0125*B537</f>
        <v>2812.5</v>
      </c>
      <c r="D537" s="44">
        <v>45415</v>
      </c>
      <c r="E537" s="3" t="s">
        <v>11</v>
      </c>
      <c r="F537" s="3" t="s">
        <v>12</v>
      </c>
      <c r="G537" s="3"/>
    </row>
    <row r="538" spans="1:21">
      <c r="A538" s="16" t="s">
        <v>2617</v>
      </c>
      <c r="B538" s="2">
        <v>45000</v>
      </c>
      <c r="C538" s="2">
        <f>0.0175*B538</f>
        <v>787.50000000000011</v>
      </c>
      <c r="D538" s="44">
        <v>45415</v>
      </c>
      <c r="E538" s="3" t="s">
        <v>11</v>
      </c>
      <c r="F538" s="3" t="s">
        <v>28</v>
      </c>
      <c r="G538" s="3"/>
      <c r="I538" s="21" t="s">
        <v>30</v>
      </c>
      <c r="O538" s="16" t="s">
        <v>2618</v>
      </c>
      <c r="P538" s="31">
        <v>2175</v>
      </c>
    </row>
    <row r="539" spans="1:21">
      <c r="A539" s="16" t="s">
        <v>2619</v>
      </c>
      <c r="B539" s="2">
        <v>50000</v>
      </c>
      <c r="C539" s="2">
        <f>0.0175*40000</f>
        <v>700.00000000000011</v>
      </c>
      <c r="D539" s="44">
        <v>45415</v>
      </c>
      <c r="E539" s="3" t="s">
        <v>24</v>
      </c>
      <c r="F539" s="3" t="s">
        <v>2620</v>
      </c>
      <c r="G539" s="3"/>
      <c r="H539" s="16" t="s">
        <v>2433</v>
      </c>
      <c r="I539" s="21" t="s">
        <v>30</v>
      </c>
    </row>
    <row r="540" spans="1:21">
      <c r="A540" s="16" t="s">
        <v>2621</v>
      </c>
      <c r="B540" s="2">
        <v>875000</v>
      </c>
      <c r="C540" s="2">
        <f t="shared" ref="C540:C541" si="112">0.0175*B540</f>
        <v>15312.500000000002</v>
      </c>
      <c r="D540" s="44">
        <v>45415</v>
      </c>
      <c r="E540" s="3" t="s">
        <v>2622</v>
      </c>
      <c r="F540" s="3" t="s">
        <v>28</v>
      </c>
      <c r="G540" s="3"/>
    </row>
    <row r="541" spans="1:21">
      <c r="A541" s="16" t="s">
        <v>2623</v>
      </c>
      <c r="B541" s="2">
        <v>10000</v>
      </c>
      <c r="C541" s="2">
        <f t="shared" si="112"/>
        <v>175.00000000000003</v>
      </c>
      <c r="D541" s="44">
        <v>45415</v>
      </c>
      <c r="E541" s="3" t="s">
        <v>11</v>
      </c>
      <c r="F541" s="3" t="s">
        <v>28</v>
      </c>
      <c r="G541" s="3"/>
      <c r="I541" s="21" t="s">
        <v>30</v>
      </c>
    </row>
    <row r="542" spans="1:21">
      <c r="A542" s="16" t="s">
        <v>2624</v>
      </c>
      <c r="B542" s="2">
        <v>450000</v>
      </c>
      <c r="C542" s="2">
        <f>0.0175*440000</f>
        <v>7700.0000000000009</v>
      </c>
      <c r="D542" s="44">
        <v>45415</v>
      </c>
      <c r="E542" s="3" t="s">
        <v>24</v>
      </c>
      <c r="F542" s="3" t="s">
        <v>28</v>
      </c>
      <c r="G542" s="3"/>
      <c r="H542" s="16" t="s">
        <v>2550</v>
      </c>
      <c r="I542" s="21" t="s">
        <v>30</v>
      </c>
    </row>
    <row r="543" spans="1:21">
      <c r="A543" s="16" t="s">
        <v>836</v>
      </c>
      <c r="B543" s="2">
        <v>40000</v>
      </c>
      <c r="C543" s="2">
        <f>0.0175*B543</f>
        <v>700.00000000000011</v>
      </c>
      <c r="D543" s="44">
        <v>45418</v>
      </c>
      <c r="E543" s="3" t="s">
        <v>11</v>
      </c>
      <c r="F543" s="3" t="s">
        <v>28</v>
      </c>
      <c r="G543" s="3"/>
      <c r="I543" s="21" t="s">
        <v>30</v>
      </c>
    </row>
    <row r="544" spans="1:21">
      <c r="A544" s="16" t="s">
        <v>2625</v>
      </c>
      <c r="B544" s="2">
        <v>225000</v>
      </c>
      <c r="C544" s="2">
        <f>0.0125*B544</f>
        <v>2812.5</v>
      </c>
      <c r="D544" s="44">
        <v>45418</v>
      </c>
      <c r="E544" s="3" t="s">
        <v>15</v>
      </c>
      <c r="F544" s="3" t="s">
        <v>12</v>
      </c>
      <c r="G544" s="3"/>
      <c r="H544" s="16" t="s">
        <v>51</v>
      </c>
      <c r="J544" s="16">
        <v>1125</v>
      </c>
    </row>
    <row r="545" spans="1:20">
      <c r="A545" s="16" t="s">
        <v>2626</v>
      </c>
      <c r="B545" s="2">
        <v>15000</v>
      </c>
      <c r="C545" s="2">
        <f>0.0175*B545</f>
        <v>262.5</v>
      </c>
      <c r="D545" s="44">
        <v>45418</v>
      </c>
      <c r="E545" s="3" t="s">
        <v>11</v>
      </c>
      <c r="F545" s="3" t="s">
        <v>28</v>
      </c>
      <c r="G545" s="3"/>
      <c r="I545" s="21" t="s">
        <v>30</v>
      </c>
    </row>
    <row r="546" spans="1:20">
      <c r="A546" s="16" t="s">
        <v>2627</v>
      </c>
      <c r="B546" s="2">
        <v>100000</v>
      </c>
      <c r="C546" s="2">
        <f>0.0175*90000</f>
        <v>1575.0000000000002</v>
      </c>
      <c r="D546" s="44">
        <v>45418</v>
      </c>
      <c r="E546" s="3" t="s">
        <v>24</v>
      </c>
      <c r="F546" s="3" t="s">
        <v>28</v>
      </c>
      <c r="G546" s="3"/>
      <c r="H546" s="16" t="s">
        <v>2433</v>
      </c>
      <c r="I546" s="21" t="s">
        <v>30</v>
      </c>
    </row>
    <row r="547" spans="1:20">
      <c r="A547" s="16" t="s">
        <v>2628</v>
      </c>
      <c r="B547" s="2">
        <v>50000</v>
      </c>
      <c r="C547" s="2">
        <f t="shared" ref="C547:C552" si="113">0.0175*B547</f>
        <v>875.00000000000011</v>
      </c>
      <c r="D547" s="44">
        <v>45418</v>
      </c>
      <c r="E547" s="3" t="s">
        <v>2157</v>
      </c>
      <c r="F547" s="3" t="s">
        <v>28</v>
      </c>
      <c r="G547" s="3"/>
      <c r="H547" s="16" t="s">
        <v>13</v>
      </c>
    </row>
    <row r="548" spans="1:20">
      <c r="A548" s="16" t="s">
        <v>2629</v>
      </c>
      <c r="B548" s="2">
        <v>15000</v>
      </c>
      <c r="C548" s="2">
        <f t="shared" si="113"/>
        <v>262.5</v>
      </c>
      <c r="D548" s="44">
        <v>45419</v>
      </c>
      <c r="E548" s="3" t="s">
        <v>15</v>
      </c>
      <c r="F548" s="3" t="s">
        <v>28</v>
      </c>
      <c r="G548" s="3"/>
      <c r="H548" s="16" t="s">
        <v>2143</v>
      </c>
      <c r="I548" s="21" t="s">
        <v>30</v>
      </c>
      <c r="J548" s="16">
        <v>150</v>
      </c>
    </row>
    <row r="549" spans="1:20">
      <c r="A549" s="16" t="s">
        <v>2630</v>
      </c>
      <c r="B549" s="2">
        <v>15000</v>
      </c>
      <c r="C549" s="2">
        <f t="shared" si="113"/>
        <v>262.5</v>
      </c>
      <c r="D549" s="44">
        <v>45419</v>
      </c>
      <c r="E549" s="3" t="s">
        <v>11</v>
      </c>
      <c r="F549" s="3" t="s">
        <v>28</v>
      </c>
      <c r="G549" s="3"/>
    </row>
    <row r="550" spans="1:20">
      <c r="A550" s="16" t="s">
        <v>539</v>
      </c>
      <c r="B550" s="2">
        <v>125000</v>
      </c>
      <c r="C550" s="2">
        <f t="shared" si="113"/>
        <v>2187.5</v>
      </c>
      <c r="D550" s="44">
        <v>45419</v>
      </c>
      <c r="E550" s="32" t="s">
        <v>60</v>
      </c>
      <c r="F550" s="3" t="s">
        <v>2631</v>
      </c>
      <c r="G550" s="3"/>
      <c r="H550" s="16" t="s">
        <v>2092</v>
      </c>
    </row>
    <row r="551" spans="1:20">
      <c r="A551" s="16" t="s">
        <v>2632</v>
      </c>
      <c r="B551" s="2">
        <v>125000</v>
      </c>
      <c r="C551" s="2">
        <f t="shared" si="113"/>
        <v>2187.5</v>
      </c>
      <c r="D551" s="44">
        <v>45419</v>
      </c>
      <c r="E551" s="32" t="s">
        <v>60</v>
      </c>
      <c r="F551" s="3" t="s">
        <v>2631</v>
      </c>
      <c r="G551" s="3"/>
      <c r="I551" s="21" t="s">
        <v>30</v>
      </c>
      <c r="T551" s="16" t="s">
        <v>2633</v>
      </c>
    </row>
    <row r="552" spans="1:20">
      <c r="A552" s="16" t="s">
        <v>2634</v>
      </c>
      <c r="B552" s="2">
        <v>75000</v>
      </c>
      <c r="C552" s="2">
        <f t="shared" si="113"/>
        <v>1312.5000000000002</v>
      </c>
      <c r="D552" s="44">
        <v>45419</v>
      </c>
      <c r="E552" s="32" t="s">
        <v>60</v>
      </c>
      <c r="F552" s="3" t="s">
        <v>2631</v>
      </c>
      <c r="G552" s="3"/>
      <c r="I552" s="21" t="s">
        <v>30</v>
      </c>
    </row>
    <row r="553" spans="1:20">
      <c r="A553" s="16" t="s">
        <v>465</v>
      </c>
      <c r="B553" s="2">
        <v>20000</v>
      </c>
      <c r="C553" s="2">
        <f t="shared" ref="C553:C554" si="114">0.0125*B553</f>
        <v>250</v>
      </c>
      <c r="D553" s="44">
        <v>45420</v>
      </c>
      <c r="E553" s="3" t="s">
        <v>2635</v>
      </c>
      <c r="F553" s="3" t="s">
        <v>12</v>
      </c>
      <c r="G553" s="3"/>
      <c r="H553" s="16" t="s">
        <v>54</v>
      </c>
    </row>
    <row r="554" spans="1:20">
      <c r="A554" s="16" t="s">
        <v>2636</v>
      </c>
      <c r="B554" s="2">
        <v>110000</v>
      </c>
      <c r="C554" s="2">
        <f t="shared" si="114"/>
        <v>1375</v>
      </c>
      <c r="D554" s="44">
        <v>45420</v>
      </c>
      <c r="E554" s="3" t="s">
        <v>2157</v>
      </c>
      <c r="F554" s="3" t="s">
        <v>12</v>
      </c>
      <c r="G554" s="3"/>
      <c r="H554" s="16" t="s">
        <v>22</v>
      </c>
    </row>
    <row r="555" spans="1:20">
      <c r="A555" s="16" t="s">
        <v>2637</v>
      </c>
      <c r="B555" s="2">
        <v>70000</v>
      </c>
      <c r="C555" s="2">
        <f>0.0175*B555</f>
        <v>1225.0000000000002</v>
      </c>
      <c r="D555" s="44">
        <v>45420</v>
      </c>
      <c r="E555" s="3" t="s">
        <v>11</v>
      </c>
      <c r="F555" s="3" t="s">
        <v>2631</v>
      </c>
      <c r="G555" s="3"/>
      <c r="I555" s="21" t="s">
        <v>30</v>
      </c>
    </row>
    <row r="556" spans="1:20">
      <c r="A556" s="16" t="s">
        <v>2638</v>
      </c>
      <c r="B556" s="2">
        <v>35000</v>
      </c>
      <c r="C556" s="2">
        <f t="shared" ref="C556:C557" si="115">0.0125*B556</f>
        <v>437.5</v>
      </c>
      <c r="D556" s="44">
        <v>45420</v>
      </c>
      <c r="E556" s="3" t="s">
        <v>15</v>
      </c>
      <c r="F556" s="3" t="s">
        <v>12</v>
      </c>
      <c r="G556" s="3"/>
      <c r="H556" s="16" t="s">
        <v>54</v>
      </c>
      <c r="J556" s="16">
        <v>210</v>
      </c>
      <c r="O556" s="16">
        <f>SUM(P530:P536)</f>
        <v>45825.75</v>
      </c>
    </row>
    <row r="557" spans="1:20">
      <c r="A557" s="16" t="s">
        <v>2136</v>
      </c>
      <c r="B557" s="2">
        <v>600000</v>
      </c>
      <c r="C557" s="2">
        <f t="shared" si="115"/>
        <v>7500</v>
      </c>
      <c r="D557" s="44">
        <v>45420</v>
      </c>
      <c r="E557" s="3" t="s">
        <v>11</v>
      </c>
      <c r="F557" s="3" t="s">
        <v>12</v>
      </c>
      <c r="G557" s="3"/>
      <c r="O557" s="31">
        <f>O556-P538</f>
        <v>43650.75</v>
      </c>
    </row>
    <row r="558" spans="1:20">
      <c r="A558" s="16" t="s">
        <v>2639</v>
      </c>
      <c r="B558" s="2">
        <v>100000</v>
      </c>
      <c r="C558" s="2">
        <f t="shared" ref="C558:C563" si="116">0.0175*B558</f>
        <v>1750.0000000000002</v>
      </c>
      <c r="D558" s="44">
        <v>45420</v>
      </c>
      <c r="E558" s="3" t="s">
        <v>11</v>
      </c>
      <c r="F558" s="3" t="s">
        <v>28</v>
      </c>
      <c r="G558" s="3"/>
      <c r="I558" s="21" t="s">
        <v>30</v>
      </c>
    </row>
    <row r="559" spans="1:20">
      <c r="A559" s="16" t="s">
        <v>2640</v>
      </c>
      <c r="B559" s="2">
        <v>400000</v>
      </c>
      <c r="C559" s="2">
        <f t="shared" si="116"/>
        <v>7000.0000000000009</v>
      </c>
      <c r="D559" s="44">
        <v>45420</v>
      </c>
      <c r="E559" s="3" t="s">
        <v>69</v>
      </c>
      <c r="F559" s="3" t="s">
        <v>28</v>
      </c>
      <c r="G559" s="3"/>
      <c r="H559" s="16" t="s">
        <v>13</v>
      </c>
      <c r="I559" s="21" t="s">
        <v>30</v>
      </c>
    </row>
    <row r="560" spans="1:20">
      <c r="A560" s="16" t="s">
        <v>2641</v>
      </c>
      <c r="B560" s="2">
        <v>50000</v>
      </c>
      <c r="C560" s="2">
        <f t="shared" si="116"/>
        <v>875.00000000000011</v>
      </c>
      <c r="D560" s="44">
        <v>45420</v>
      </c>
      <c r="E560" s="3" t="s">
        <v>69</v>
      </c>
      <c r="F560" s="3" t="s">
        <v>28</v>
      </c>
      <c r="G560" s="3"/>
      <c r="H560" s="16" t="s">
        <v>13</v>
      </c>
      <c r="I560" s="21" t="s">
        <v>30</v>
      </c>
    </row>
    <row r="561" spans="1:10">
      <c r="A561" s="16" t="s">
        <v>2642</v>
      </c>
      <c r="B561" s="2">
        <v>350000</v>
      </c>
      <c r="C561" s="2">
        <f t="shared" si="116"/>
        <v>6125.0000000000009</v>
      </c>
      <c r="D561" s="44">
        <v>45420</v>
      </c>
      <c r="E561" s="3" t="s">
        <v>73</v>
      </c>
      <c r="F561" s="3" t="s">
        <v>28</v>
      </c>
      <c r="G561" s="3"/>
      <c r="H561" s="16" t="s">
        <v>2643</v>
      </c>
    </row>
    <row r="562" spans="1:10">
      <c r="A562" s="16" t="s">
        <v>2644</v>
      </c>
      <c r="B562" s="2">
        <v>25000</v>
      </c>
      <c r="C562" s="2">
        <f t="shared" si="116"/>
        <v>437.50000000000006</v>
      </c>
      <c r="D562" s="44">
        <v>45420</v>
      </c>
      <c r="E562" s="3" t="s">
        <v>15</v>
      </c>
      <c r="F562" s="3" t="s">
        <v>28</v>
      </c>
      <c r="G562" s="3"/>
      <c r="H562" s="16" t="s">
        <v>98</v>
      </c>
      <c r="J562" s="16">
        <v>75</v>
      </c>
    </row>
    <row r="563" spans="1:10">
      <c r="A563" s="16" t="s">
        <v>2645</v>
      </c>
      <c r="B563" s="2">
        <v>15000</v>
      </c>
      <c r="C563" s="2">
        <f t="shared" si="116"/>
        <v>262.5</v>
      </c>
      <c r="D563" s="44">
        <v>45420</v>
      </c>
      <c r="E563" s="32" t="s">
        <v>60</v>
      </c>
      <c r="F563" s="3" t="s">
        <v>67</v>
      </c>
      <c r="G563" s="3"/>
    </row>
    <row r="564" spans="1:10">
      <c r="A564" s="16" t="s">
        <v>2646</v>
      </c>
      <c r="B564" s="2">
        <v>500000</v>
      </c>
      <c r="C564" s="2">
        <f>0.0175*490000</f>
        <v>8575</v>
      </c>
      <c r="D564" s="44">
        <v>45420</v>
      </c>
      <c r="E564" s="3" t="s">
        <v>24</v>
      </c>
      <c r="F564" s="3" t="s">
        <v>28</v>
      </c>
      <c r="G564" s="3"/>
      <c r="H564" s="16" t="s">
        <v>2647</v>
      </c>
      <c r="I564" s="21" t="s">
        <v>30</v>
      </c>
    </row>
    <row r="565" spans="1:10">
      <c r="A565" s="16" t="s">
        <v>2648</v>
      </c>
      <c r="B565" s="2">
        <v>215000</v>
      </c>
      <c r="C565" s="2">
        <f>0.0175*205000</f>
        <v>3587.5000000000005</v>
      </c>
      <c r="D565" s="44">
        <v>45421</v>
      </c>
      <c r="E565" s="3" t="s">
        <v>24</v>
      </c>
      <c r="F565" s="3" t="s">
        <v>28</v>
      </c>
      <c r="G565" s="3"/>
      <c r="H565" s="16" t="s">
        <v>2647</v>
      </c>
      <c r="I565" s="21" t="s">
        <v>30</v>
      </c>
    </row>
    <row r="566" spans="1:10">
      <c r="A566" s="16" t="s">
        <v>2649</v>
      </c>
      <c r="B566" s="2">
        <v>40000</v>
      </c>
      <c r="C566" s="2">
        <f>0.0125*B566</f>
        <v>500</v>
      </c>
      <c r="D566" s="44">
        <v>45421</v>
      </c>
      <c r="E566" s="3" t="s">
        <v>15</v>
      </c>
      <c r="F566" s="3" t="s">
        <v>12</v>
      </c>
      <c r="G566" s="3"/>
      <c r="H566" s="16" t="s">
        <v>54</v>
      </c>
      <c r="J566" s="16">
        <v>240</v>
      </c>
    </row>
    <row r="567" spans="1:10">
      <c r="A567" s="16" t="s">
        <v>2650</v>
      </c>
      <c r="B567" s="17">
        <v>10000</v>
      </c>
      <c r="C567" s="2">
        <f>0.0175*B567</f>
        <v>175.00000000000003</v>
      </c>
      <c r="D567" s="44">
        <v>45421</v>
      </c>
      <c r="E567" s="3" t="s">
        <v>24</v>
      </c>
      <c r="F567" s="3" t="s">
        <v>67</v>
      </c>
      <c r="G567" s="3"/>
      <c r="H567" s="16" t="s">
        <v>924</v>
      </c>
      <c r="I567" s="21" t="s">
        <v>30</v>
      </c>
    </row>
    <row r="568" spans="1:10">
      <c r="A568" s="16" t="s">
        <v>411</v>
      </c>
      <c r="B568" s="17">
        <v>110000</v>
      </c>
      <c r="C568" s="2">
        <f t="shared" ref="C568:C570" si="117">0.0125*B568</f>
        <v>1375</v>
      </c>
      <c r="D568" s="44">
        <v>45421</v>
      </c>
      <c r="E568" s="3" t="s">
        <v>11</v>
      </c>
      <c r="F568" s="3" t="s">
        <v>12</v>
      </c>
      <c r="G568" s="3"/>
    </row>
    <row r="569" spans="1:10">
      <c r="A569" s="16" t="s">
        <v>2651</v>
      </c>
      <c r="B569" s="17">
        <v>50000</v>
      </c>
      <c r="C569" s="2">
        <f t="shared" si="117"/>
        <v>625</v>
      </c>
      <c r="D569" s="44">
        <v>45421</v>
      </c>
      <c r="E569" s="3" t="s">
        <v>11</v>
      </c>
      <c r="F569" s="3" t="s">
        <v>12</v>
      </c>
      <c r="G569" s="3"/>
    </row>
    <row r="570" spans="1:10">
      <c r="A570" s="16" t="s">
        <v>2300</v>
      </c>
      <c r="B570" s="17">
        <v>20000</v>
      </c>
      <c r="C570" s="2">
        <f t="shared" si="117"/>
        <v>250</v>
      </c>
      <c r="D570" s="44">
        <v>45421</v>
      </c>
      <c r="E570" s="3" t="s">
        <v>69</v>
      </c>
      <c r="F570" s="3" t="s">
        <v>12</v>
      </c>
      <c r="G570" s="3"/>
      <c r="H570" s="16" t="s">
        <v>22</v>
      </c>
    </row>
    <row r="571" spans="1:10">
      <c r="A571" s="16" t="s">
        <v>2652</v>
      </c>
      <c r="B571" s="17">
        <v>30000</v>
      </c>
      <c r="C571" s="2">
        <f t="shared" ref="C571:C572" si="118">0.0175*B571</f>
        <v>525</v>
      </c>
      <c r="D571" s="44">
        <v>45421</v>
      </c>
      <c r="E571" s="3" t="s">
        <v>11</v>
      </c>
      <c r="F571" s="3" t="s">
        <v>67</v>
      </c>
      <c r="G571" s="3"/>
    </row>
    <row r="572" spans="1:10">
      <c r="A572" s="16" t="s">
        <v>2653</v>
      </c>
      <c r="B572" s="2">
        <v>30000</v>
      </c>
      <c r="C572" s="2">
        <f t="shared" si="118"/>
        <v>525</v>
      </c>
      <c r="D572" s="44">
        <v>45421</v>
      </c>
      <c r="E572" s="3" t="s">
        <v>15</v>
      </c>
      <c r="F572" s="3" t="s">
        <v>28</v>
      </c>
      <c r="G572" s="3"/>
      <c r="H572" s="16" t="s">
        <v>2179</v>
      </c>
      <c r="I572" s="21" t="s">
        <v>30</v>
      </c>
    </row>
    <row r="573" spans="1:10">
      <c r="A573" s="16" t="s">
        <v>109</v>
      </c>
      <c r="B573" s="2">
        <v>875000</v>
      </c>
      <c r="C573" s="2">
        <f>0.0125*B573</f>
        <v>10937.5</v>
      </c>
      <c r="D573" s="44">
        <v>45422</v>
      </c>
      <c r="E573" s="3" t="s">
        <v>11</v>
      </c>
      <c r="F573" s="3" t="s">
        <v>12</v>
      </c>
      <c r="G573" s="3"/>
    </row>
    <row r="574" spans="1:10">
      <c r="A574" s="16" t="s">
        <v>2654</v>
      </c>
      <c r="B574" s="2">
        <v>150000</v>
      </c>
      <c r="C574" s="2">
        <f t="shared" ref="C574:C578" si="119">0.0175*B574</f>
        <v>2625.0000000000005</v>
      </c>
      <c r="D574" s="44">
        <v>45422</v>
      </c>
      <c r="E574" s="32" t="s">
        <v>60</v>
      </c>
      <c r="F574" s="3" t="s">
        <v>28</v>
      </c>
      <c r="G574" s="3"/>
      <c r="I574" s="21" t="s">
        <v>30</v>
      </c>
    </row>
    <row r="575" spans="1:10">
      <c r="A575" s="16" t="s">
        <v>627</v>
      </c>
      <c r="B575" s="2">
        <v>225000</v>
      </c>
      <c r="C575" s="2">
        <f t="shared" si="119"/>
        <v>3937.5000000000005</v>
      </c>
      <c r="D575" s="44">
        <v>45422</v>
      </c>
      <c r="E575" s="3" t="s">
        <v>11</v>
      </c>
      <c r="F575" s="3" t="s">
        <v>12</v>
      </c>
      <c r="G575" s="3"/>
    </row>
    <row r="576" spans="1:10">
      <c r="A576" s="16" t="s">
        <v>2655</v>
      </c>
      <c r="B576" s="2">
        <v>129000</v>
      </c>
      <c r="C576" s="2">
        <f t="shared" si="119"/>
        <v>2257.5</v>
      </c>
      <c r="D576" s="44">
        <v>45422</v>
      </c>
      <c r="E576" s="3" t="s">
        <v>24</v>
      </c>
      <c r="F576" s="3" t="s">
        <v>28</v>
      </c>
      <c r="G576" s="3"/>
      <c r="H576" s="16" t="s">
        <v>2647</v>
      </c>
      <c r="I576" s="21" t="s">
        <v>30</v>
      </c>
    </row>
    <row r="577" spans="1:10">
      <c r="A577" s="16" t="s">
        <v>1264</v>
      </c>
      <c r="B577" s="2">
        <v>40000</v>
      </c>
      <c r="C577" s="2">
        <f t="shared" si="119"/>
        <v>700.00000000000011</v>
      </c>
      <c r="D577" s="44">
        <v>45422</v>
      </c>
      <c r="E577" s="3" t="s">
        <v>11</v>
      </c>
      <c r="F577" s="3" t="s">
        <v>28</v>
      </c>
      <c r="G577" s="3"/>
      <c r="I577" s="21" t="s">
        <v>30</v>
      </c>
    </row>
    <row r="578" spans="1:10">
      <c r="A578" s="16" t="s">
        <v>2656</v>
      </c>
      <c r="B578" s="2">
        <v>85000</v>
      </c>
      <c r="C578" s="2">
        <f t="shared" si="119"/>
        <v>1487.5000000000002</v>
      </c>
      <c r="D578" s="44">
        <v>45422</v>
      </c>
      <c r="E578" s="32" t="s">
        <v>60</v>
      </c>
      <c r="F578" s="3" t="s">
        <v>28</v>
      </c>
      <c r="G578" s="3"/>
      <c r="I578" s="21" t="s">
        <v>30</v>
      </c>
    </row>
    <row r="579" spans="1:10">
      <c r="A579" s="16" t="s">
        <v>2657</v>
      </c>
      <c r="B579" s="2">
        <v>215000</v>
      </c>
      <c r="C579" s="2">
        <f>0.0125*B579</f>
        <v>2687.5</v>
      </c>
      <c r="D579" s="44">
        <v>45422</v>
      </c>
      <c r="E579" s="3" t="s">
        <v>11</v>
      </c>
      <c r="F579" s="3" t="s">
        <v>12</v>
      </c>
      <c r="G579" s="3"/>
    </row>
    <row r="580" spans="1:10">
      <c r="A580" s="16" t="s">
        <v>2658</v>
      </c>
      <c r="B580" s="2">
        <v>25000</v>
      </c>
      <c r="C580" s="2">
        <f t="shared" ref="C580:C583" si="120">0.0175*B580</f>
        <v>437.50000000000006</v>
      </c>
      <c r="D580" s="44">
        <v>45422</v>
      </c>
      <c r="E580" s="3" t="s">
        <v>11</v>
      </c>
      <c r="F580" s="3" t="s">
        <v>28</v>
      </c>
      <c r="G580" s="3"/>
      <c r="I580" s="21" t="s">
        <v>30</v>
      </c>
    </row>
    <row r="581" spans="1:10">
      <c r="A581" s="16" t="s">
        <v>2659</v>
      </c>
      <c r="B581" s="2">
        <v>65000</v>
      </c>
      <c r="C581" s="2">
        <f t="shared" si="120"/>
        <v>1137.5</v>
      </c>
      <c r="D581" s="44">
        <v>45422</v>
      </c>
      <c r="E581" s="3" t="s">
        <v>11</v>
      </c>
      <c r="F581" s="3" t="s">
        <v>28</v>
      </c>
      <c r="G581" s="3"/>
      <c r="I581" s="21" t="s">
        <v>30</v>
      </c>
    </row>
    <row r="582" spans="1:10">
      <c r="A582" s="16" t="s">
        <v>2660</v>
      </c>
      <c r="B582" s="2">
        <v>50000</v>
      </c>
      <c r="C582" s="2">
        <f t="shared" si="120"/>
        <v>875.00000000000011</v>
      </c>
      <c r="D582" s="44">
        <v>45422</v>
      </c>
      <c r="E582" s="3" t="s">
        <v>11</v>
      </c>
      <c r="F582" s="3" t="s">
        <v>28</v>
      </c>
      <c r="G582" s="3"/>
      <c r="I582" s="21" t="s">
        <v>30</v>
      </c>
    </row>
    <row r="583" spans="1:10">
      <c r="A583" s="16" t="s">
        <v>2661</v>
      </c>
      <c r="B583" s="2">
        <v>65000</v>
      </c>
      <c r="C583" s="2">
        <f t="shared" si="120"/>
        <v>1137.5</v>
      </c>
      <c r="D583" s="44">
        <v>45422</v>
      </c>
      <c r="E583" s="3" t="s">
        <v>92</v>
      </c>
      <c r="F583" s="3" t="s">
        <v>28</v>
      </c>
      <c r="G583" s="3"/>
      <c r="I583" s="21" t="s">
        <v>30</v>
      </c>
    </row>
    <row r="584" spans="1:10">
      <c r="A584" s="48" t="s">
        <v>2662</v>
      </c>
      <c r="B584" s="2">
        <v>100000</v>
      </c>
      <c r="C584" s="2">
        <f>0.0175*90000</f>
        <v>1575.0000000000002</v>
      </c>
      <c r="D584" s="44">
        <v>45422</v>
      </c>
      <c r="E584" s="3" t="s">
        <v>24</v>
      </c>
      <c r="F584" s="3" t="s">
        <v>28</v>
      </c>
      <c r="G584" s="3"/>
      <c r="H584" s="16" t="s">
        <v>2647</v>
      </c>
      <c r="I584" s="21" t="s">
        <v>30</v>
      </c>
    </row>
    <row r="585" spans="1:10">
      <c r="A585" s="16" t="s">
        <v>2663</v>
      </c>
      <c r="B585" s="2">
        <v>35000</v>
      </c>
      <c r="C585" s="2">
        <f t="shared" ref="C585:C587" si="121">0.0125*B585</f>
        <v>437.5</v>
      </c>
      <c r="D585" s="44">
        <v>45425</v>
      </c>
      <c r="E585" s="3" t="s">
        <v>73</v>
      </c>
      <c r="F585" s="3" t="s">
        <v>12</v>
      </c>
      <c r="G585" s="3"/>
    </row>
    <row r="586" spans="1:10">
      <c r="A586" s="16" t="s">
        <v>2664</v>
      </c>
      <c r="B586" s="2">
        <v>230000</v>
      </c>
      <c r="C586" s="2">
        <f t="shared" si="121"/>
        <v>2875</v>
      </c>
      <c r="D586" s="44">
        <v>45425</v>
      </c>
      <c r="E586" s="3" t="s">
        <v>11</v>
      </c>
      <c r="F586" s="3" t="s">
        <v>12</v>
      </c>
      <c r="G586" s="3"/>
    </row>
    <row r="587" spans="1:10">
      <c r="A587" s="16" t="s">
        <v>2568</v>
      </c>
      <c r="B587" s="2">
        <v>140000</v>
      </c>
      <c r="C587" s="2">
        <f t="shared" si="121"/>
        <v>1750</v>
      </c>
      <c r="D587" s="44">
        <v>45425</v>
      </c>
      <c r="E587" s="3" t="s">
        <v>11</v>
      </c>
      <c r="F587" s="3" t="s">
        <v>12</v>
      </c>
      <c r="G587" s="3"/>
    </row>
    <row r="588" spans="1:10">
      <c r="A588" s="16" t="s">
        <v>2665</v>
      </c>
      <c r="B588" s="2">
        <v>60000</v>
      </c>
      <c r="C588" s="2">
        <f>0.0175*B588</f>
        <v>1050</v>
      </c>
      <c r="D588" s="44">
        <v>45425</v>
      </c>
      <c r="E588" s="3" t="s">
        <v>15</v>
      </c>
      <c r="F588" s="3" t="s">
        <v>28</v>
      </c>
      <c r="G588" s="3"/>
      <c r="H588" s="16" t="s">
        <v>2126</v>
      </c>
      <c r="I588" s="21" t="s">
        <v>30</v>
      </c>
      <c r="J588" s="16">
        <v>480</v>
      </c>
    </row>
    <row r="589" spans="1:10">
      <c r="A589" s="16" t="s">
        <v>2666</v>
      </c>
      <c r="B589" s="2">
        <v>300000</v>
      </c>
      <c r="C589" s="2">
        <f>0.0175*290000</f>
        <v>5075.0000000000009</v>
      </c>
      <c r="D589" s="44">
        <v>45426</v>
      </c>
      <c r="E589" s="3" t="s">
        <v>24</v>
      </c>
      <c r="F589" s="3" t="s">
        <v>28</v>
      </c>
      <c r="G589" s="3"/>
      <c r="H589" s="16" t="s">
        <v>2647</v>
      </c>
      <c r="I589" s="21" t="s">
        <v>30</v>
      </c>
    </row>
    <row r="590" spans="1:10">
      <c r="A590" s="16" t="s">
        <v>2667</v>
      </c>
      <c r="B590" s="2">
        <v>115000</v>
      </c>
      <c r="C590" s="2">
        <f t="shared" ref="C590:C591" si="122">0.0125*B590</f>
        <v>1437.5</v>
      </c>
      <c r="D590" s="44">
        <v>45426</v>
      </c>
      <c r="E590" s="3" t="s">
        <v>15</v>
      </c>
      <c r="F590" s="3" t="s">
        <v>12</v>
      </c>
      <c r="G590" s="3"/>
      <c r="H590" s="16" t="s">
        <v>51</v>
      </c>
      <c r="J590" s="16">
        <v>575</v>
      </c>
    </row>
    <row r="591" spans="1:10">
      <c r="A591" s="16" t="s">
        <v>2111</v>
      </c>
      <c r="B591" s="2">
        <v>375000</v>
      </c>
      <c r="C591" s="2">
        <f t="shared" si="122"/>
        <v>4687.5</v>
      </c>
      <c r="D591" s="44">
        <v>45426</v>
      </c>
      <c r="E591" s="3" t="s">
        <v>11</v>
      </c>
      <c r="F591" s="3" t="s">
        <v>12</v>
      </c>
      <c r="G591" s="3"/>
    </row>
    <row r="592" spans="1:10">
      <c r="A592" s="16" t="s">
        <v>2668</v>
      </c>
      <c r="B592" s="2">
        <v>175000</v>
      </c>
      <c r="C592" s="2">
        <f>0.0175*B592</f>
        <v>3062.5000000000005</v>
      </c>
      <c r="D592" s="44">
        <v>45426</v>
      </c>
      <c r="E592" s="3" t="s">
        <v>15</v>
      </c>
      <c r="F592" s="3" t="s">
        <v>28</v>
      </c>
      <c r="G592" s="3"/>
      <c r="H592" s="16" t="s">
        <v>2135</v>
      </c>
      <c r="I592" s="21" t="s">
        <v>30</v>
      </c>
      <c r="J592" s="16">
        <v>1050</v>
      </c>
    </row>
    <row r="593" spans="1:9">
      <c r="A593" s="16" t="s">
        <v>2669</v>
      </c>
      <c r="B593" s="2">
        <v>150000</v>
      </c>
      <c r="C593" s="2">
        <f>0.01*140000</f>
        <v>1400</v>
      </c>
      <c r="D593" s="44">
        <v>45426</v>
      </c>
      <c r="E593" s="3" t="s">
        <v>24</v>
      </c>
      <c r="F593" s="3" t="s">
        <v>28</v>
      </c>
      <c r="G593" s="3"/>
      <c r="H593" s="16" t="s">
        <v>2647</v>
      </c>
      <c r="I593" s="21" t="s">
        <v>30</v>
      </c>
    </row>
    <row r="594" spans="1:9">
      <c r="A594" s="16" t="s">
        <v>2670</v>
      </c>
      <c r="B594" s="2">
        <v>425000</v>
      </c>
      <c r="C594" s="2">
        <f>0.0125*B594</f>
        <v>5312.5</v>
      </c>
      <c r="D594" s="44">
        <v>45426</v>
      </c>
      <c r="E594" s="3" t="s">
        <v>2130</v>
      </c>
      <c r="F594" s="3" t="s">
        <v>12</v>
      </c>
      <c r="G594" s="3"/>
    </row>
    <row r="595" spans="1:9">
      <c r="A595" s="16" t="s">
        <v>2671</v>
      </c>
      <c r="B595" s="2">
        <v>53000</v>
      </c>
      <c r="C595" s="2">
        <f>0.0175*B595</f>
        <v>927.50000000000011</v>
      </c>
      <c r="D595" s="44">
        <v>45426</v>
      </c>
      <c r="E595" s="32" t="s">
        <v>60</v>
      </c>
      <c r="F595" s="3" t="s">
        <v>28</v>
      </c>
      <c r="G595" s="3"/>
      <c r="I595" s="21" t="s">
        <v>30</v>
      </c>
    </row>
    <row r="596" spans="1:9">
      <c r="A596" s="16" t="s">
        <v>2672</v>
      </c>
      <c r="B596" s="2">
        <v>100000</v>
      </c>
      <c r="C596" s="2">
        <f>0.0175*90000</f>
        <v>1575.0000000000002</v>
      </c>
      <c r="D596" s="44">
        <v>45426</v>
      </c>
      <c r="E596" s="3" t="s">
        <v>24</v>
      </c>
      <c r="F596" s="3" t="s">
        <v>28</v>
      </c>
      <c r="G596" s="3"/>
      <c r="H596" s="16" t="s">
        <v>2647</v>
      </c>
      <c r="I596" s="21" t="s">
        <v>30</v>
      </c>
    </row>
    <row r="597" spans="1:9">
      <c r="A597" s="16" t="s">
        <v>2673</v>
      </c>
      <c r="B597" s="2">
        <v>150000</v>
      </c>
      <c r="C597" s="2">
        <f>0.0175*140000</f>
        <v>2450.0000000000005</v>
      </c>
      <c r="D597" s="44">
        <v>45427</v>
      </c>
      <c r="E597" s="3" t="s">
        <v>24</v>
      </c>
      <c r="F597" s="3" t="s">
        <v>28</v>
      </c>
      <c r="G597" s="3"/>
      <c r="H597" s="16" t="s">
        <v>2647</v>
      </c>
      <c r="I597" s="21" t="s">
        <v>30</v>
      </c>
    </row>
    <row r="598" spans="1:9">
      <c r="A598" s="16" t="s">
        <v>2674</v>
      </c>
      <c r="B598" s="2">
        <v>500000</v>
      </c>
      <c r="C598" s="2">
        <f>0.0175*490000</f>
        <v>8575</v>
      </c>
      <c r="D598" s="44">
        <v>45427</v>
      </c>
      <c r="E598" s="3" t="s">
        <v>24</v>
      </c>
      <c r="F598" s="3" t="s">
        <v>28</v>
      </c>
      <c r="G598" s="3"/>
      <c r="H598" s="16" t="s">
        <v>2647</v>
      </c>
      <c r="I598" s="21" t="s">
        <v>30</v>
      </c>
    </row>
    <row r="599" spans="1:9">
      <c r="A599" s="16" t="s">
        <v>2675</v>
      </c>
      <c r="B599" s="2">
        <v>70000</v>
      </c>
      <c r="C599" s="2">
        <f>0.0125*B599</f>
        <v>875</v>
      </c>
      <c r="D599" s="44">
        <v>45427</v>
      </c>
      <c r="E599" s="3" t="s">
        <v>11</v>
      </c>
      <c r="F599" s="3" t="s">
        <v>12</v>
      </c>
      <c r="G599" s="3"/>
    </row>
    <row r="600" spans="1:9">
      <c r="A600" s="16" t="s">
        <v>2676</v>
      </c>
      <c r="B600" s="2">
        <v>200000</v>
      </c>
      <c r="C600" s="2">
        <f t="shared" ref="C600:C604" si="123">0.0175*B600</f>
        <v>3500.0000000000005</v>
      </c>
      <c r="D600" s="44">
        <v>45428</v>
      </c>
      <c r="E600" s="3" t="s">
        <v>982</v>
      </c>
      <c r="F600" s="3" t="s">
        <v>28</v>
      </c>
      <c r="G600" s="3"/>
    </row>
    <row r="601" spans="1:9">
      <c r="A601" s="16" t="s">
        <v>2677</v>
      </c>
      <c r="B601" s="2">
        <v>40000</v>
      </c>
      <c r="C601" s="2">
        <f t="shared" si="123"/>
        <v>700.00000000000011</v>
      </c>
      <c r="D601" s="44">
        <v>45428</v>
      </c>
      <c r="E601" s="3" t="s">
        <v>11</v>
      </c>
      <c r="F601" s="3" t="s">
        <v>28</v>
      </c>
      <c r="G601" s="3"/>
      <c r="I601" s="21" t="s">
        <v>30</v>
      </c>
    </row>
    <row r="602" spans="1:9">
      <c r="A602" s="16" t="s">
        <v>2678</v>
      </c>
      <c r="B602" s="2">
        <v>160000</v>
      </c>
      <c r="C602" s="2">
        <f t="shared" si="123"/>
        <v>2800.0000000000005</v>
      </c>
      <c r="D602" s="44">
        <v>45428</v>
      </c>
      <c r="E602" s="3" t="s">
        <v>11</v>
      </c>
      <c r="F602" s="3" t="s">
        <v>28</v>
      </c>
      <c r="G602" s="3"/>
    </row>
    <row r="603" spans="1:9">
      <c r="A603" s="16" t="s">
        <v>2679</v>
      </c>
      <c r="B603" s="2">
        <v>75000</v>
      </c>
      <c r="C603" s="2">
        <f t="shared" si="123"/>
        <v>1312.5000000000002</v>
      </c>
      <c r="D603" s="44">
        <v>45428</v>
      </c>
      <c r="E603" s="3" t="s">
        <v>11</v>
      </c>
      <c r="F603" s="3" t="s">
        <v>28</v>
      </c>
      <c r="G603" s="3"/>
    </row>
    <row r="604" spans="1:9">
      <c r="A604" s="16" t="s">
        <v>2680</v>
      </c>
      <c r="B604" s="2">
        <v>50000</v>
      </c>
      <c r="C604" s="2">
        <f t="shared" si="123"/>
        <v>875.00000000000011</v>
      </c>
      <c r="D604" s="44">
        <v>45428</v>
      </c>
      <c r="E604" s="32" t="s">
        <v>60</v>
      </c>
      <c r="F604" s="3" t="s">
        <v>28</v>
      </c>
      <c r="G604" s="3"/>
    </row>
    <row r="605" spans="1:9">
      <c r="A605" s="16" t="s">
        <v>2681</v>
      </c>
      <c r="B605" s="2">
        <v>150000</v>
      </c>
      <c r="C605" s="2">
        <f>0.0175*140000</f>
        <v>2450.0000000000005</v>
      </c>
      <c r="D605" s="44">
        <v>45428</v>
      </c>
      <c r="E605" s="3" t="s">
        <v>24</v>
      </c>
      <c r="F605" s="3" t="s">
        <v>28</v>
      </c>
      <c r="G605" s="3"/>
      <c r="H605" s="16" t="s">
        <v>2647</v>
      </c>
      <c r="I605" s="21" t="s">
        <v>30</v>
      </c>
    </row>
    <row r="606" spans="1:9">
      <c r="A606" s="16" t="s">
        <v>2682</v>
      </c>
      <c r="B606" s="2">
        <v>85000</v>
      </c>
      <c r="C606" s="2">
        <f>0.0125*B606</f>
        <v>1062.5</v>
      </c>
      <c r="D606" s="44">
        <v>45428</v>
      </c>
      <c r="E606" s="3" t="s">
        <v>11</v>
      </c>
      <c r="F606" s="3" t="s">
        <v>12</v>
      </c>
      <c r="G606" s="3"/>
    </row>
    <row r="607" spans="1:9">
      <c r="A607" s="16" t="s">
        <v>2683</v>
      </c>
      <c r="B607" s="2">
        <v>70000</v>
      </c>
      <c r="C607" s="2">
        <f t="shared" ref="C607:C610" si="124">0.0175*B607</f>
        <v>1225.0000000000002</v>
      </c>
      <c r="D607" s="44">
        <v>45428</v>
      </c>
      <c r="E607" s="3" t="s">
        <v>11</v>
      </c>
      <c r="F607" s="3" t="s">
        <v>28</v>
      </c>
      <c r="G607" s="3"/>
      <c r="I607" s="21" t="s">
        <v>30</v>
      </c>
    </row>
    <row r="608" spans="1:9">
      <c r="A608" s="16" t="s">
        <v>2578</v>
      </c>
      <c r="B608" s="2">
        <v>250000</v>
      </c>
      <c r="C608" s="2">
        <f t="shared" si="124"/>
        <v>4375</v>
      </c>
      <c r="D608" s="44">
        <v>45428</v>
      </c>
      <c r="E608" s="3" t="s">
        <v>11</v>
      </c>
      <c r="F608" s="3" t="s">
        <v>28</v>
      </c>
      <c r="G608" s="3"/>
      <c r="I608" s="21" t="s">
        <v>30</v>
      </c>
    </row>
    <row r="609" spans="1:10">
      <c r="A609" s="16" t="s">
        <v>2414</v>
      </c>
      <c r="B609" s="2">
        <v>250000</v>
      </c>
      <c r="C609" s="2">
        <f t="shared" si="124"/>
        <v>4375</v>
      </c>
      <c r="D609" s="44">
        <v>45428</v>
      </c>
      <c r="E609" s="32" t="s">
        <v>60</v>
      </c>
      <c r="F609" s="3" t="s">
        <v>67</v>
      </c>
      <c r="G609" s="3"/>
      <c r="H609" s="16" t="s">
        <v>2092</v>
      </c>
      <c r="I609" s="21" t="s">
        <v>30</v>
      </c>
    </row>
    <row r="610" spans="1:10">
      <c r="A610" s="16" t="s">
        <v>2684</v>
      </c>
      <c r="B610" s="2">
        <v>35000</v>
      </c>
      <c r="C610" s="2">
        <f t="shared" si="124"/>
        <v>612.50000000000011</v>
      </c>
      <c r="D610" s="44">
        <v>45429</v>
      </c>
      <c r="E610" s="3" t="s">
        <v>15</v>
      </c>
      <c r="F610" s="3" t="s">
        <v>28</v>
      </c>
      <c r="G610" s="3"/>
      <c r="H610" s="16" t="s">
        <v>2116</v>
      </c>
      <c r="I610" s="21" t="s">
        <v>30</v>
      </c>
      <c r="J610" s="16">
        <v>420</v>
      </c>
    </row>
    <row r="611" spans="1:10">
      <c r="A611" s="16" t="s">
        <v>2685</v>
      </c>
      <c r="B611" s="2">
        <v>400000</v>
      </c>
      <c r="C611" s="2">
        <f>0.0175*390000</f>
        <v>6825.0000000000009</v>
      </c>
      <c r="D611" s="44">
        <v>45429</v>
      </c>
      <c r="E611" s="3" t="s">
        <v>24</v>
      </c>
      <c r="F611" s="3" t="s">
        <v>28</v>
      </c>
      <c r="G611" s="3"/>
      <c r="H611" s="16" t="s">
        <v>2647</v>
      </c>
      <c r="I611" s="21" t="s">
        <v>30</v>
      </c>
    </row>
    <row r="612" spans="1:10">
      <c r="A612" s="16" t="s">
        <v>2686</v>
      </c>
      <c r="B612" s="2">
        <v>30000</v>
      </c>
      <c r="C612" s="2">
        <f t="shared" ref="C612:C613" si="125">0.0175*B612</f>
        <v>525</v>
      </c>
      <c r="D612" s="44">
        <v>45429</v>
      </c>
      <c r="E612" s="3" t="s">
        <v>11</v>
      </c>
      <c r="F612" s="3" t="s">
        <v>28</v>
      </c>
      <c r="G612" s="3"/>
    </row>
    <row r="613" spans="1:10">
      <c r="A613" s="16" t="s">
        <v>2687</v>
      </c>
      <c r="B613" s="2">
        <v>250000</v>
      </c>
      <c r="C613" s="2">
        <f t="shared" si="125"/>
        <v>4375</v>
      </c>
      <c r="D613" s="44">
        <v>45432</v>
      </c>
      <c r="E613" s="3" t="s">
        <v>15</v>
      </c>
      <c r="F613" s="3" t="s">
        <v>28</v>
      </c>
      <c r="G613" s="3"/>
      <c r="H613" s="16" t="s">
        <v>2126</v>
      </c>
      <c r="I613" s="21" t="s">
        <v>30</v>
      </c>
      <c r="J613" s="16">
        <v>2000</v>
      </c>
    </row>
    <row r="614" spans="1:10">
      <c r="A614" s="16" t="s">
        <v>1445</v>
      </c>
      <c r="B614" s="2">
        <v>500000</v>
      </c>
      <c r="C614" s="2">
        <f>0.0175*490000</f>
        <v>8575</v>
      </c>
      <c r="D614" s="44">
        <v>45432</v>
      </c>
      <c r="E614" s="3" t="s">
        <v>24</v>
      </c>
      <c r="F614" s="3" t="s">
        <v>28</v>
      </c>
      <c r="G614" s="3"/>
      <c r="H614" s="16" t="s">
        <v>2647</v>
      </c>
      <c r="I614" s="21" t="s">
        <v>30</v>
      </c>
    </row>
    <row r="615" spans="1:10">
      <c r="A615" s="16" t="s">
        <v>2688</v>
      </c>
      <c r="B615" s="2">
        <v>250000</v>
      </c>
      <c r="C615" s="2">
        <f>0.0125*240000</f>
        <v>3000</v>
      </c>
      <c r="D615" s="44">
        <v>45432</v>
      </c>
      <c r="E615" s="3" t="s">
        <v>24</v>
      </c>
      <c r="F615" s="3" t="s">
        <v>12</v>
      </c>
      <c r="G615" s="3"/>
      <c r="H615" s="16" t="s">
        <v>2689</v>
      </c>
    </row>
    <row r="616" spans="1:10">
      <c r="A616" s="16" t="s">
        <v>2575</v>
      </c>
      <c r="B616" s="2">
        <v>75000</v>
      </c>
      <c r="C616" s="2">
        <f t="shared" ref="C616:C620" si="126">0.0175*B616</f>
        <v>1312.5000000000002</v>
      </c>
      <c r="D616" s="44">
        <v>45433</v>
      </c>
      <c r="E616" s="3" t="s">
        <v>11</v>
      </c>
      <c r="F616" s="3" t="s">
        <v>67</v>
      </c>
      <c r="G616" s="3"/>
      <c r="I616" s="21" t="s">
        <v>30</v>
      </c>
    </row>
    <row r="617" spans="1:10">
      <c r="A617" s="16" t="s">
        <v>2690</v>
      </c>
      <c r="B617" s="2">
        <v>350000</v>
      </c>
      <c r="C617" s="2">
        <f t="shared" si="126"/>
        <v>6125.0000000000009</v>
      </c>
      <c r="D617" s="44">
        <v>45433</v>
      </c>
      <c r="E617" s="3" t="s">
        <v>345</v>
      </c>
      <c r="F617" s="3" t="s">
        <v>28</v>
      </c>
      <c r="G617" s="3"/>
      <c r="H617" s="16" t="s">
        <v>13</v>
      </c>
      <c r="I617" s="21" t="s">
        <v>30</v>
      </c>
    </row>
    <row r="618" spans="1:10">
      <c r="A618" s="16" t="s">
        <v>2691</v>
      </c>
      <c r="B618" s="2">
        <v>50000</v>
      </c>
      <c r="C618" s="2">
        <f t="shared" si="126"/>
        <v>875.00000000000011</v>
      </c>
      <c r="D618" s="44">
        <v>45433</v>
      </c>
      <c r="E618" s="3" t="s">
        <v>15</v>
      </c>
      <c r="F618" s="3" t="s">
        <v>28</v>
      </c>
      <c r="G618" s="3"/>
      <c r="H618" s="16" t="s">
        <v>2126</v>
      </c>
      <c r="I618" s="21" t="s">
        <v>30</v>
      </c>
      <c r="J618" s="16">
        <v>400</v>
      </c>
    </row>
    <row r="619" spans="1:10">
      <c r="A619" s="16" t="s">
        <v>2692</v>
      </c>
      <c r="B619" s="2">
        <v>70000</v>
      </c>
      <c r="C619" s="2">
        <f t="shared" si="126"/>
        <v>1225.0000000000002</v>
      </c>
      <c r="D619" s="44">
        <v>45433</v>
      </c>
      <c r="E619" s="3" t="s">
        <v>15</v>
      </c>
      <c r="F619" s="3" t="s">
        <v>67</v>
      </c>
      <c r="G619" s="3"/>
      <c r="H619" s="16" t="s">
        <v>16</v>
      </c>
      <c r="I619" s="21" t="s">
        <v>30</v>
      </c>
      <c r="J619" s="16">
        <v>280</v>
      </c>
    </row>
    <row r="620" spans="1:10">
      <c r="A620" s="16" t="s">
        <v>2693</v>
      </c>
      <c r="B620" s="2">
        <v>2000000</v>
      </c>
      <c r="C620" s="2">
        <f t="shared" si="126"/>
        <v>35000</v>
      </c>
      <c r="D620" s="44">
        <v>45433</v>
      </c>
      <c r="E620" s="3" t="s">
        <v>11</v>
      </c>
      <c r="F620" s="3" t="s">
        <v>28</v>
      </c>
      <c r="G620" s="3"/>
    </row>
    <row r="621" spans="1:10">
      <c r="A621" s="16" t="s">
        <v>2694</v>
      </c>
      <c r="B621" s="2">
        <v>1500000</v>
      </c>
      <c r="C621" s="2">
        <f>0.0125*1485000</f>
        <v>18562.5</v>
      </c>
      <c r="D621" s="44">
        <v>45433</v>
      </c>
      <c r="E621" s="3" t="s">
        <v>24</v>
      </c>
      <c r="F621" s="3" t="s">
        <v>12</v>
      </c>
      <c r="G621" s="3"/>
      <c r="H621" s="16" t="s">
        <v>2695</v>
      </c>
    </row>
    <row r="622" spans="1:10">
      <c r="A622" s="16" t="s">
        <v>2696</v>
      </c>
      <c r="B622" s="2">
        <v>550000</v>
      </c>
      <c r="C622" s="2">
        <f t="shared" ref="C622:C624" si="127">0.0175*B622</f>
        <v>9625.0000000000018</v>
      </c>
      <c r="D622" s="44">
        <v>45434</v>
      </c>
      <c r="E622" s="3" t="s">
        <v>15</v>
      </c>
      <c r="F622" s="3" t="s">
        <v>28</v>
      </c>
      <c r="G622" s="3"/>
      <c r="H622" s="16" t="s">
        <v>2135</v>
      </c>
      <c r="I622" s="21" t="s">
        <v>30</v>
      </c>
      <c r="J622" s="16">
        <v>3300</v>
      </c>
    </row>
    <row r="623" spans="1:10">
      <c r="A623" s="16" t="s">
        <v>2697</v>
      </c>
      <c r="B623" s="2">
        <v>40000</v>
      </c>
      <c r="C623" s="2">
        <f t="shared" si="127"/>
        <v>700.00000000000011</v>
      </c>
      <c r="D623" s="44">
        <v>45434</v>
      </c>
      <c r="E623" s="3" t="s">
        <v>11</v>
      </c>
      <c r="F623" s="3" t="s">
        <v>28</v>
      </c>
      <c r="G623" s="3"/>
      <c r="I623" s="21" t="s">
        <v>30</v>
      </c>
    </row>
    <row r="624" spans="1:10">
      <c r="A624" s="16" t="s">
        <v>2698</v>
      </c>
      <c r="B624" s="2">
        <v>75000</v>
      </c>
      <c r="C624" s="2">
        <f t="shared" si="127"/>
        <v>1312.5000000000002</v>
      </c>
      <c r="D624" s="44">
        <v>45434</v>
      </c>
      <c r="E624" s="3" t="s">
        <v>2157</v>
      </c>
      <c r="F624" s="3" t="s">
        <v>28</v>
      </c>
      <c r="G624" s="3"/>
      <c r="H624" s="16" t="s">
        <v>13</v>
      </c>
    </row>
    <row r="625" spans="1:10">
      <c r="A625" s="16" t="s">
        <v>2699</v>
      </c>
      <c r="B625" s="2">
        <v>145000</v>
      </c>
      <c r="C625" s="2">
        <f t="shared" ref="C625:C627" si="128">0.0125*B625</f>
        <v>1812.5</v>
      </c>
      <c r="D625" s="44">
        <v>45434</v>
      </c>
      <c r="E625" s="3" t="s">
        <v>2700</v>
      </c>
      <c r="F625" s="3" t="s">
        <v>12</v>
      </c>
      <c r="G625" s="3"/>
      <c r="H625" s="16" t="s">
        <v>22</v>
      </c>
    </row>
    <row r="626" spans="1:10">
      <c r="A626" s="16" t="s">
        <v>2701</v>
      </c>
      <c r="B626" s="2">
        <v>47500</v>
      </c>
      <c r="C626" s="2">
        <f t="shared" si="128"/>
        <v>593.75</v>
      </c>
      <c r="D626" s="44">
        <v>45434</v>
      </c>
      <c r="E626" s="3" t="s">
        <v>11</v>
      </c>
      <c r="F626" s="3" t="s">
        <v>12</v>
      </c>
      <c r="G626" s="3"/>
    </row>
    <row r="627" spans="1:10">
      <c r="A627" s="16" t="s">
        <v>2702</v>
      </c>
      <c r="B627" s="2">
        <v>110000</v>
      </c>
      <c r="C627" s="2">
        <f t="shared" si="128"/>
        <v>1375</v>
      </c>
      <c r="D627" s="44">
        <v>45434</v>
      </c>
      <c r="E627" s="3" t="s">
        <v>11</v>
      </c>
      <c r="F627" s="3" t="s">
        <v>12</v>
      </c>
      <c r="G627" s="3"/>
    </row>
    <row r="628" spans="1:10">
      <c r="A628" s="16" t="s">
        <v>2703</v>
      </c>
      <c r="B628" s="2">
        <v>30000</v>
      </c>
      <c r="C628" s="2">
        <f t="shared" ref="C628:C630" si="129">0.0175*B628</f>
        <v>525</v>
      </c>
      <c r="D628" s="44">
        <v>45434</v>
      </c>
      <c r="E628" s="3" t="s">
        <v>11</v>
      </c>
      <c r="F628" s="3" t="s">
        <v>28</v>
      </c>
      <c r="G628" s="3"/>
    </row>
    <row r="629" spans="1:10">
      <c r="A629" s="16" t="s">
        <v>2704</v>
      </c>
      <c r="B629" s="2">
        <v>30000</v>
      </c>
      <c r="C629" s="2">
        <f t="shared" si="129"/>
        <v>525</v>
      </c>
      <c r="D629" s="44">
        <v>45434</v>
      </c>
      <c r="E629" s="3" t="s">
        <v>11</v>
      </c>
      <c r="F629" s="3" t="s">
        <v>28</v>
      </c>
      <c r="G629" s="3"/>
    </row>
    <row r="630" spans="1:10">
      <c r="A630" s="16" t="s">
        <v>2705</v>
      </c>
      <c r="B630" s="2">
        <v>20000</v>
      </c>
      <c r="C630" s="2">
        <f t="shared" si="129"/>
        <v>350.00000000000006</v>
      </c>
      <c r="D630" s="44">
        <v>45434</v>
      </c>
      <c r="E630" s="3" t="s">
        <v>15</v>
      </c>
      <c r="F630" s="3" t="s">
        <v>28</v>
      </c>
      <c r="G630" s="3"/>
      <c r="H630" s="16" t="s">
        <v>2126</v>
      </c>
      <c r="J630" s="16">
        <v>160</v>
      </c>
    </row>
    <row r="631" spans="1:10">
      <c r="A631" s="16" t="s">
        <v>2706</v>
      </c>
      <c r="B631" s="2">
        <v>50000</v>
      </c>
      <c r="C631" s="2">
        <f>0.0175*40000</f>
        <v>700.00000000000011</v>
      </c>
      <c r="D631" s="44">
        <v>45434</v>
      </c>
      <c r="E631" s="3" t="s">
        <v>24</v>
      </c>
      <c r="F631" s="3" t="s">
        <v>28</v>
      </c>
      <c r="G631" s="3"/>
      <c r="H631" s="16" t="s">
        <v>2647</v>
      </c>
      <c r="I631" s="21" t="s">
        <v>30</v>
      </c>
    </row>
    <row r="632" spans="1:10">
      <c r="A632" s="16" t="s">
        <v>2105</v>
      </c>
      <c r="B632" s="17">
        <v>300000</v>
      </c>
      <c r="C632" s="2">
        <f t="shared" ref="C632:C636" si="130">0.0175*B632</f>
        <v>5250.0000000000009</v>
      </c>
      <c r="D632" s="44">
        <v>45435</v>
      </c>
      <c r="E632" s="3" t="s">
        <v>40</v>
      </c>
      <c r="F632" s="3" t="s">
        <v>28</v>
      </c>
      <c r="G632" s="3"/>
      <c r="H632" s="16" t="s">
        <v>22</v>
      </c>
    </row>
    <row r="633" spans="1:10">
      <c r="A633" s="16" t="s">
        <v>2707</v>
      </c>
      <c r="B633" s="17">
        <v>25000</v>
      </c>
      <c r="C633" s="2">
        <f t="shared" si="130"/>
        <v>437.50000000000006</v>
      </c>
      <c r="D633" s="44">
        <v>45435</v>
      </c>
      <c r="E633" s="3" t="s">
        <v>15</v>
      </c>
      <c r="F633" s="3" t="s">
        <v>28</v>
      </c>
      <c r="G633" s="3"/>
      <c r="H633" s="16" t="s">
        <v>2126</v>
      </c>
      <c r="I633" s="21" t="s">
        <v>30</v>
      </c>
      <c r="J633" s="16">
        <v>200</v>
      </c>
    </row>
    <row r="634" spans="1:10">
      <c r="A634" s="16" t="s">
        <v>1133</v>
      </c>
      <c r="B634" s="17">
        <v>30000</v>
      </c>
      <c r="C634" s="2">
        <f t="shared" si="130"/>
        <v>525</v>
      </c>
      <c r="D634" s="44">
        <v>45435</v>
      </c>
      <c r="E634" s="3" t="s">
        <v>11</v>
      </c>
      <c r="F634" s="3" t="s">
        <v>28</v>
      </c>
      <c r="G634" s="3"/>
      <c r="I634" s="21" t="s">
        <v>30</v>
      </c>
    </row>
    <row r="635" spans="1:10">
      <c r="A635" s="16" t="s">
        <v>2708</v>
      </c>
      <c r="B635" s="17">
        <v>300000</v>
      </c>
      <c r="C635" s="2">
        <f t="shared" si="130"/>
        <v>5250.0000000000009</v>
      </c>
      <c r="D635" s="44">
        <v>45435</v>
      </c>
      <c r="E635" s="32" t="s">
        <v>60</v>
      </c>
      <c r="F635" s="3" t="s">
        <v>28</v>
      </c>
      <c r="G635" s="3"/>
      <c r="I635" s="21" t="s">
        <v>30</v>
      </c>
    </row>
    <row r="636" spans="1:10">
      <c r="A636" s="16" t="s">
        <v>2709</v>
      </c>
      <c r="B636" s="17">
        <v>30000</v>
      </c>
      <c r="C636" s="2">
        <f t="shared" si="130"/>
        <v>525</v>
      </c>
      <c r="D636" s="44">
        <v>45435</v>
      </c>
      <c r="E636" s="3" t="s">
        <v>2157</v>
      </c>
      <c r="F636" s="3" t="s">
        <v>28</v>
      </c>
      <c r="G636" s="3"/>
      <c r="H636" s="16" t="s">
        <v>13</v>
      </c>
      <c r="I636" s="21" t="s">
        <v>30</v>
      </c>
    </row>
    <row r="637" spans="1:10">
      <c r="A637" s="16" t="s">
        <v>2710</v>
      </c>
      <c r="B637" s="17">
        <v>150000</v>
      </c>
      <c r="C637" s="2">
        <f>0.0175*140000</f>
        <v>2450.0000000000005</v>
      </c>
      <c r="D637" s="44">
        <v>45435</v>
      </c>
      <c r="E637" s="3" t="s">
        <v>24</v>
      </c>
      <c r="F637" s="3" t="s">
        <v>28</v>
      </c>
      <c r="G637" s="3"/>
      <c r="H637" s="16" t="s">
        <v>2647</v>
      </c>
      <c r="I637" s="21" t="s">
        <v>30</v>
      </c>
    </row>
    <row r="638" spans="1:10">
      <c r="A638" s="16" t="s">
        <v>2711</v>
      </c>
      <c r="B638" s="2">
        <v>290000</v>
      </c>
      <c r="C638" s="2">
        <f>0.0125*B638</f>
        <v>3625</v>
      </c>
      <c r="D638" s="44">
        <v>45436</v>
      </c>
      <c r="E638" s="3" t="s">
        <v>11</v>
      </c>
      <c r="F638" s="3" t="s">
        <v>12</v>
      </c>
      <c r="G638" s="3"/>
    </row>
    <row r="639" spans="1:10">
      <c r="A639" s="16" t="s">
        <v>2712</v>
      </c>
      <c r="B639" s="2">
        <v>300000</v>
      </c>
      <c r="C639" s="2">
        <f t="shared" ref="C639:C641" si="131">0.0175*B639</f>
        <v>5250.0000000000009</v>
      </c>
      <c r="D639" s="44">
        <v>45436</v>
      </c>
      <c r="E639" s="3" t="s">
        <v>461</v>
      </c>
      <c r="F639" s="3" t="s">
        <v>28</v>
      </c>
      <c r="G639" s="3"/>
      <c r="I639" s="21" t="s">
        <v>30</v>
      </c>
    </row>
    <row r="640" spans="1:10">
      <c r="A640" s="16" t="s">
        <v>2713</v>
      </c>
      <c r="B640" s="2">
        <v>150000</v>
      </c>
      <c r="C640" s="2">
        <f t="shared" si="131"/>
        <v>2625.0000000000005</v>
      </c>
      <c r="D640" s="44">
        <v>45436</v>
      </c>
      <c r="E640" s="3" t="s">
        <v>11</v>
      </c>
      <c r="F640" s="3" t="s">
        <v>28</v>
      </c>
      <c r="G640" s="3"/>
    </row>
    <row r="641" spans="1:10">
      <c r="A641" s="16" t="s">
        <v>2714</v>
      </c>
      <c r="B641" s="2">
        <v>30000</v>
      </c>
      <c r="C641" s="2">
        <f t="shared" si="131"/>
        <v>525</v>
      </c>
      <c r="D641" s="44">
        <v>45436</v>
      </c>
      <c r="E641" s="3" t="s">
        <v>15</v>
      </c>
      <c r="F641" s="3" t="s">
        <v>28</v>
      </c>
      <c r="G641" s="3"/>
      <c r="H641" s="16" t="s">
        <v>2116</v>
      </c>
      <c r="J641" s="16">
        <v>360</v>
      </c>
    </row>
    <row r="642" spans="1:10">
      <c r="A642" s="16" t="s">
        <v>2715</v>
      </c>
      <c r="B642" s="2">
        <v>290000</v>
      </c>
      <c r="C642" s="2">
        <f>0.0125*B642</f>
        <v>3625</v>
      </c>
      <c r="D642" s="44">
        <v>45440</v>
      </c>
      <c r="E642" s="3" t="s">
        <v>15</v>
      </c>
      <c r="F642" s="3" t="s">
        <v>12</v>
      </c>
      <c r="G642" s="3"/>
      <c r="H642" s="16" t="s">
        <v>98</v>
      </c>
      <c r="J642" s="16">
        <v>870</v>
      </c>
    </row>
    <row r="643" spans="1:10">
      <c r="A643" s="16" t="s">
        <v>2716</v>
      </c>
      <c r="B643" s="2">
        <v>100000</v>
      </c>
      <c r="C643" s="2">
        <f>0.0175*B643</f>
        <v>1750.0000000000002</v>
      </c>
      <c r="D643" s="44">
        <v>45440</v>
      </c>
      <c r="E643" s="3" t="s">
        <v>11</v>
      </c>
      <c r="F643" s="3" t="s">
        <v>28</v>
      </c>
      <c r="G643" s="3"/>
    </row>
    <row r="644" spans="1:10">
      <c r="A644" s="16" t="s">
        <v>802</v>
      </c>
      <c r="B644" s="2">
        <v>85000</v>
      </c>
      <c r="C644" s="2">
        <f>0.0125*B644</f>
        <v>1062.5</v>
      </c>
      <c r="D644" s="44">
        <v>45440</v>
      </c>
      <c r="E644" s="3" t="s">
        <v>21</v>
      </c>
      <c r="F644" s="3" t="s">
        <v>12</v>
      </c>
      <c r="G644" s="3"/>
      <c r="H644" s="16" t="s">
        <v>22</v>
      </c>
    </row>
    <row r="645" spans="1:10">
      <c r="A645" s="16" t="s">
        <v>2717</v>
      </c>
      <c r="B645" s="2">
        <v>200000</v>
      </c>
      <c r="C645" s="2">
        <f>0.0175*B645</f>
        <v>3500.0000000000005</v>
      </c>
      <c r="D645" s="44">
        <v>45440</v>
      </c>
      <c r="E645" s="3" t="s">
        <v>15</v>
      </c>
      <c r="F645" s="3" t="s">
        <v>28</v>
      </c>
      <c r="G645" s="3"/>
      <c r="H645" s="16" t="s">
        <v>2179</v>
      </c>
      <c r="I645" s="21" t="s">
        <v>30</v>
      </c>
      <c r="J645" s="16">
        <v>800</v>
      </c>
    </row>
    <row r="646" spans="1:10">
      <c r="A646" s="16" t="s">
        <v>2718</v>
      </c>
      <c r="B646" s="2">
        <v>200000</v>
      </c>
      <c r="C646" s="2">
        <f>0.0125*B646</f>
        <v>2500</v>
      </c>
      <c r="D646" s="44">
        <v>45440</v>
      </c>
      <c r="E646" s="3" t="s">
        <v>2157</v>
      </c>
      <c r="F646" s="3" t="s">
        <v>12</v>
      </c>
      <c r="G646" s="3"/>
      <c r="H646" s="16" t="s">
        <v>22</v>
      </c>
    </row>
    <row r="647" spans="1:10">
      <c r="A647" s="16" t="s">
        <v>2719</v>
      </c>
      <c r="B647" s="2">
        <v>60000</v>
      </c>
      <c r="C647" s="2">
        <f t="shared" ref="C647:C653" si="132">0.0175*B647</f>
        <v>1050</v>
      </c>
      <c r="D647" s="44">
        <v>45441</v>
      </c>
      <c r="E647" s="3" t="s">
        <v>11</v>
      </c>
      <c r="F647" s="3" t="s">
        <v>28</v>
      </c>
      <c r="G647" s="3"/>
      <c r="I647" s="21" t="s">
        <v>30</v>
      </c>
    </row>
    <row r="648" spans="1:10">
      <c r="A648" s="16" t="s">
        <v>2720</v>
      </c>
      <c r="B648" s="2">
        <v>350000</v>
      </c>
      <c r="C648" s="2">
        <f t="shared" si="132"/>
        <v>6125.0000000000009</v>
      </c>
      <c r="D648" s="44">
        <v>45441</v>
      </c>
      <c r="E648" s="3" t="s">
        <v>2721</v>
      </c>
      <c r="F648" s="3" t="s">
        <v>28</v>
      </c>
      <c r="G648" s="3"/>
      <c r="I648" s="21" t="s">
        <v>30</v>
      </c>
    </row>
    <row r="649" spans="1:10">
      <c r="A649" s="16" t="s">
        <v>2594</v>
      </c>
      <c r="B649" s="2">
        <v>50000</v>
      </c>
      <c r="C649" s="2">
        <f t="shared" si="132"/>
        <v>875.00000000000011</v>
      </c>
      <c r="D649" s="44">
        <v>45441</v>
      </c>
      <c r="E649" s="3" t="s">
        <v>15</v>
      </c>
      <c r="F649" s="3" t="s">
        <v>28</v>
      </c>
      <c r="G649" s="3"/>
      <c r="H649" s="16" t="s">
        <v>2253</v>
      </c>
      <c r="J649" s="16">
        <v>250</v>
      </c>
    </row>
    <row r="650" spans="1:10">
      <c r="A650" s="16" t="s">
        <v>2722</v>
      </c>
      <c r="B650" s="2">
        <v>100000</v>
      </c>
      <c r="C650" s="2">
        <f t="shared" si="132"/>
        <v>1750.0000000000002</v>
      </c>
      <c r="D650" s="44">
        <v>45441</v>
      </c>
      <c r="E650" s="32" t="s">
        <v>60</v>
      </c>
      <c r="F650" s="3" t="s">
        <v>28</v>
      </c>
      <c r="G650" s="3"/>
      <c r="I650" s="21" t="s">
        <v>30</v>
      </c>
    </row>
    <row r="651" spans="1:10">
      <c r="A651" s="16" t="s">
        <v>2723</v>
      </c>
      <c r="B651" s="2">
        <v>100000</v>
      </c>
      <c r="C651" s="2">
        <f t="shared" si="132"/>
        <v>1750.0000000000002</v>
      </c>
      <c r="D651" s="44">
        <v>45441</v>
      </c>
      <c r="E651" s="3" t="s">
        <v>15</v>
      </c>
      <c r="F651" s="3" t="s">
        <v>28</v>
      </c>
      <c r="G651" s="3"/>
      <c r="H651" s="16" t="s">
        <v>2126</v>
      </c>
      <c r="J651" s="16">
        <v>800</v>
      </c>
    </row>
    <row r="652" spans="1:10">
      <c r="A652" s="16" t="s">
        <v>2724</v>
      </c>
      <c r="B652" s="2">
        <v>20000</v>
      </c>
      <c r="C652" s="2">
        <f t="shared" si="132"/>
        <v>350.00000000000006</v>
      </c>
      <c r="D652" s="44">
        <v>45442</v>
      </c>
      <c r="E652" s="3" t="s">
        <v>11</v>
      </c>
      <c r="F652" s="3" t="s">
        <v>28</v>
      </c>
      <c r="G652" s="3"/>
      <c r="I652" s="21" t="s">
        <v>30</v>
      </c>
    </row>
    <row r="653" spans="1:10">
      <c r="A653" s="16" t="s">
        <v>2725</v>
      </c>
      <c r="B653" s="2">
        <v>60000</v>
      </c>
      <c r="C653" s="2">
        <f t="shared" si="132"/>
        <v>1050</v>
      </c>
      <c r="D653" s="44">
        <v>45442</v>
      </c>
      <c r="E653" s="3" t="s">
        <v>15</v>
      </c>
      <c r="F653" s="3" t="s">
        <v>28</v>
      </c>
      <c r="G653" s="3"/>
      <c r="H653" s="16" t="s">
        <v>2116</v>
      </c>
      <c r="I653" s="21" t="s">
        <v>30</v>
      </c>
      <c r="J653" s="16">
        <v>720</v>
      </c>
    </row>
    <row r="654" spans="1:10">
      <c r="A654" s="16" t="s">
        <v>2726</v>
      </c>
      <c r="B654" s="2">
        <v>500000</v>
      </c>
      <c r="C654" s="2">
        <f>0.0175*490000</f>
        <v>8575</v>
      </c>
      <c r="D654" s="44">
        <v>45442</v>
      </c>
      <c r="E654" s="3" t="s">
        <v>24</v>
      </c>
      <c r="F654" s="3" t="s">
        <v>28</v>
      </c>
      <c r="G654" s="3"/>
      <c r="H654" s="16" t="s">
        <v>2647</v>
      </c>
      <c r="I654" s="21" t="s">
        <v>30</v>
      </c>
    </row>
    <row r="655" spans="1:10">
      <c r="A655" s="16" t="s">
        <v>2727</v>
      </c>
      <c r="B655" s="2">
        <v>105000</v>
      </c>
      <c r="C655" s="2">
        <f>0.0175*95000</f>
        <v>1662.5000000000002</v>
      </c>
      <c r="D655" s="44">
        <v>45442</v>
      </c>
      <c r="E655" s="3" t="s">
        <v>24</v>
      </c>
      <c r="F655" s="3" t="s">
        <v>28</v>
      </c>
      <c r="G655" s="3"/>
      <c r="H655" s="16" t="s">
        <v>2647</v>
      </c>
      <c r="I655" s="21" t="s">
        <v>30</v>
      </c>
    </row>
    <row r="656" spans="1:10">
      <c r="A656" s="16" t="s">
        <v>2728</v>
      </c>
      <c r="B656" s="2">
        <v>500000</v>
      </c>
      <c r="C656" s="2">
        <f>0.0175*490000</f>
        <v>8575</v>
      </c>
      <c r="D656" s="44">
        <v>45442</v>
      </c>
      <c r="E656" s="3" t="s">
        <v>24</v>
      </c>
      <c r="F656" s="3" t="s">
        <v>28</v>
      </c>
      <c r="G656" s="3"/>
      <c r="H656" s="16" t="s">
        <v>2647</v>
      </c>
      <c r="I656" s="21" t="s">
        <v>30</v>
      </c>
    </row>
    <row r="657" spans="1:9">
      <c r="A657" s="16" t="s">
        <v>728</v>
      </c>
      <c r="B657" s="17">
        <v>100000</v>
      </c>
      <c r="C657" s="2">
        <f>0.0125*B657</f>
        <v>1250</v>
      </c>
      <c r="D657" s="44">
        <v>45442</v>
      </c>
      <c r="E657" s="3" t="s">
        <v>11</v>
      </c>
      <c r="F657" s="3" t="s">
        <v>12</v>
      </c>
      <c r="G657" s="3"/>
    </row>
    <row r="658" spans="1:9">
      <c r="A658" s="16" t="s">
        <v>2729</v>
      </c>
      <c r="B658" s="17">
        <v>25000</v>
      </c>
      <c r="C658" s="2">
        <f>0.0175*B658</f>
        <v>437.50000000000006</v>
      </c>
      <c r="D658" s="44">
        <v>45442</v>
      </c>
      <c r="E658" s="3" t="s">
        <v>2157</v>
      </c>
      <c r="F658" s="3" t="s">
        <v>28</v>
      </c>
      <c r="G658" s="3"/>
      <c r="H658" s="16" t="s">
        <v>13</v>
      </c>
    </row>
    <row r="659" spans="1:9">
      <c r="A659" s="16" t="s">
        <v>2448</v>
      </c>
      <c r="B659" s="17">
        <v>32500</v>
      </c>
      <c r="C659" s="2">
        <f t="shared" ref="C659:C662" si="133">0.0125*B659</f>
        <v>406.25</v>
      </c>
      <c r="D659" s="44">
        <v>45442</v>
      </c>
      <c r="E659" s="3" t="s">
        <v>11</v>
      </c>
      <c r="F659" s="3" t="s">
        <v>12</v>
      </c>
      <c r="G659" s="3"/>
    </row>
    <row r="660" spans="1:9">
      <c r="A660" s="16" t="s">
        <v>254</v>
      </c>
      <c r="B660" s="17">
        <v>36500</v>
      </c>
      <c r="C660" s="2">
        <f t="shared" si="133"/>
        <v>456.25</v>
      </c>
      <c r="D660" s="44">
        <v>45442</v>
      </c>
      <c r="E660" s="3" t="s">
        <v>75</v>
      </c>
      <c r="F660" s="3" t="s">
        <v>12</v>
      </c>
      <c r="G660" s="3"/>
    </row>
    <row r="661" spans="1:9">
      <c r="A661" s="16" t="s">
        <v>81</v>
      </c>
      <c r="B661" s="17">
        <v>20000</v>
      </c>
      <c r="C661" s="2">
        <f t="shared" si="133"/>
        <v>250</v>
      </c>
      <c r="D661" s="44">
        <v>45442</v>
      </c>
      <c r="E661" s="3" t="s">
        <v>11</v>
      </c>
      <c r="F661" s="3" t="s">
        <v>12</v>
      </c>
      <c r="G661" s="3"/>
    </row>
    <row r="662" spans="1:9">
      <c r="A662" s="16" t="s">
        <v>2730</v>
      </c>
      <c r="B662" s="17">
        <v>85000</v>
      </c>
      <c r="C662" s="2">
        <f t="shared" si="133"/>
        <v>1062.5</v>
      </c>
      <c r="D662" s="44">
        <v>45442</v>
      </c>
      <c r="E662" s="3" t="s">
        <v>11</v>
      </c>
      <c r="F662" s="3" t="s">
        <v>12</v>
      </c>
      <c r="G662" s="3"/>
    </row>
    <row r="663" spans="1:9">
      <c r="A663" s="16" t="s">
        <v>2731</v>
      </c>
      <c r="B663" s="2">
        <v>200000</v>
      </c>
      <c r="C663" s="2">
        <f>0.0175*190000</f>
        <v>3325.0000000000005</v>
      </c>
      <c r="D663" s="44">
        <v>45443</v>
      </c>
      <c r="E663" s="3" t="s">
        <v>24</v>
      </c>
      <c r="F663" s="3" t="s">
        <v>28</v>
      </c>
      <c r="G663" s="3"/>
      <c r="H663" s="16" t="s">
        <v>2647</v>
      </c>
      <c r="I663" s="21" t="s">
        <v>30</v>
      </c>
    </row>
    <row r="664" spans="1:9">
      <c r="A664" s="16" t="s">
        <v>2732</v>
      </c>
      <c r="B664" s="2">
        <v>150000</v>
      </c>
      <c r="C664" s="2">
        <f>0.0175*140000</f>
        <v>2450.0000000000005</v>
      </c>
      <c r="D664" s="44">
        <v>45443</v>
      </c>
      <c r="E664" s="34" t="s">
        <v>24</v>
      </c>
      <c r="F664" s="3" t="s">
        <v>28</v>
      </c>
      <c r="G664" s="3"/>
      <c r="H664" s="16" t="s">
        <v>2647</v>
      </c>
      <c r="I664" s="21" t="s">
        <v>30</v>
      </c>
    </row>
    <row r="665" spans="1:9">
      <c r="A665" s="16" t="s">
        <v>2733</v>
      </c>
      <c r="B665" s="2">
        <v>80000</v>
      </c>
      <c r="C665" s="2">
        <f>0.0125*B665</f>
        <v>1000</v>
      </c>
      <c r="D665" s="44">
        <v>45443</v>
      </c>
      <c r="E665" s="3" t="s">
        <v>2157</v>
      </c>
      <c r="F665" s="3" t="s">
        <v>12</v>
      </c>
      <c r="G665" s="3"/>
      <c r="H665" s="16" t="s">
        <v>22</v>
      </c>
    </row>
    <row r="666" spans="1:9">
      <c r="A666" s="16" t="s">
        <v>2734</v>
      </c>
      <c r="B666" s="2">
        <v>375000</v>
      </c>
      <c r="C666" s="2">
        <f>0.0175*B666</f>
        <v>6562.5000000000009</v>
      </c>
      <c r="D666" s="44">
        <v>45443</v>
      </c>
      <c r="E666" s="3" t="s">
        <v>11</v>
      </c>
      <c r="F666" s="3" t="s">
        <v>28</v>
      </c>
      <c r="G666" s="3"/>
      <c r="I666" s="23"/>
    </row>
    <row r="667" spans="1:9">
      <c r="A667" s="16" t="s">
        <v>2735</v>
      </c>
      <c r="B667" s="2">
        <v>35000</v>
      </c>
      <c r="C667" s="2">
        <f t="shared" ref="C667:C668" si="134">0.0125*B667</f>
        <v>437.5</v>
      </c>
      <c r="D667" s="44">
        <v>45443</v>
      </c>
      <c r="E667" s="3" t="s">
        <v>11</v>
      </c>
      <c r="F667" s="3" t="s">
        <v>12</v>
      </c>
      <c r="G667" s="3"/>
    </row>
    <row r="668" spans="1:9">
      <c r="A668" s="16" t="s">
        <v>2736</v>
      </c>
      <c r="B668" s="2">
        <v>615000</v>
      </c>
      <c r="C668" s="2">
        <f t="shared" si="134"/>
        <v>7687.5</v>
      </c>
      <c r="D668" s="44">
        <v>45443</v>
      </c>
      <c r="E668" s="3" t="s">
        <v>2405</v>
      </c>
      <c r="F668" s="3" t="s">
        <v>12</v>
      </c>
      <c r="G668" s="3"/>
    </row>
    <row r="669" spans="1:9">
      <c r="A669" s="16" t="s">
        <v>2737</v>
      </c>
      <c r="B669" s="2">
        <v>150000</v>
      </c>
      <c r="C669" s="2">
        <f>0.0175*B669</f>
        <v>2625.0000000000005</v>
      </c>
      <c r="D669" s="44">
        <v>45443</v>
      </c>
      <c r="E669" s="3" t="s">
        <v>24</v>
      </c>
      <c r="F669" s="3" t="s">
        <v>28</v>
      </c>
      <c r="G669" s="3"/>
      <c r="H669" s="16" t="s">
        <v>2647</v>
      </c>
      <c r="I669" s="21" t="s">
        <v>30</v>
      </c>
    </row>
    <row r="670" spans="1:9">
      <c r="A670" s="16" t="s">
        <v>2738</v>
      </c>
      <c r="B670" s="2">
        <v>160000</v>
      </c>
      <c r="C670" s="2">
        <f>0.0175*150000</f>
        <v>2625.0000000000005</v>
      </c>
      <c r="D670" s="44">
        <v>45443</v>
      </c>
      <c r="E670" s="3" t="s">
        <v>24</v>
      </c>
      <c r="F670" s="3" t="s">
        <v>67</v>
      </c>
      <c r="G670" s="3"/>
      <c r="H670" s="16" t="s">
        <v>2689</v>
      </c>
    </row>
    <row r="671" spans="1:9">
      <c r="A671" s="16" t="s">
        <v>2739</v>
      </c>
      <c r="B671" s="2">
        <v>120000</v>
      </c>
      <c r="C671" s="2">
        <f>0.0175*B671</f>
        <v>2100</v>
      </c>
      <c r="D671" s="44">
        <v>45443</v>
      </c>
      <c r="E671" s="3" t="s">
        <v>772</v>
      </c>
      <c r="F671" s="3" t="s">
        <v>28</v>
      </c>
      <c r="G671" s="3"/>
      <c r="I671" s="21" t="s">
        <v>30</v>
      </c>
    </row>
    <row r="672" spans="1:9">
      <c r="A672" s="16" t="s">
        <v>201</v>
      </c>
      <c r="B672" s="2">
        <v>20000</v>
      </c>
      <c r="C672" s="2">
        <f>0.0125*B672</f>
        <v>250</v>
      </c>
      <c r="D672" s="44">
        <v>45443</v>
      </c>
      <c r="E672" s="3" t="s">
        <v>11</v>
      </c>
      <c r="F672" s="3" t="s">
        <v>12</v>
      </c>
      <c r="G672" s="3"/>
    </row>
    <row r="673" spans="1:12">
      <c r="A673" s="11">
        <v>45446</v>
      </c>
      <c r="B673" s="12">
        <f t="shared" ref="B673:C673" si="135">SUM(B674:B813)</f>
        <v>23451000</v>
      </c>
      <c r="C673" s="12">
        <f t="shared" si="135"/>
        <v>350592.5</v>
      </c>
      <c r="D673" s="14"/>
      <c r="E673" s="14"/>
      <c r="F673" s="14"/>
      <c r="G673" s="14"/>
      <c r="H673" s="15"/>
      <c r="I673" s="15"/>
      <c r="J673" s="15"/>
      <c r="K673" s="15"/>
      <c r="L673" s="15"/>
    </row>
    <row r="674" spans="1:12">
      <c r="A674" s="16" t="s">
        <v>2740</v>
      </c>
      <c r="B674" s="2">
        <v>10000</v>
      </c>
      <c r="C674" s="2">
        <f t="shared" ref="C674:C679" si="136">0.0175*B674</f>
        <v>175.00000000000003</v>
      </c>
      <c r="D674" s="44">
        <v>45446</v>
      </c>
      <c r="E674" s="3" t="s">
        <v>15</v>
      </c>
      <c r="F674" s="3" t="s">
        <v>28</v>
      </c>
      <c r="G674" s="3"/>
      <c r="H674" s="16" t="s">
        <v>2116</v>
      </c>
      <c r="J674" s="16">
        <v>120</v>
      </c>
    </row>
    <row r="675" spans="1:12">
      <c r="A675" s="16" t="s">
        <v>2741</v>
      </c>
      <c r="B675" s="2">
        <v>20000</v>
      </c>
      <c r="C675" s="2">
        <f t="shared" si="136"/>
        <v>350.00000000000006</v>
      </c>
      <c r="D675" s="44">
        <v>45446</v>
      </c>
      <c r="E675" s="3" t="s">
        <v>11</v>
      </c>
      <c r="F675" s="3" t="s">
        <v>28</v>
      </c>
      <c r="G675" s="3"/>
      <c r="I675" s="21" t="s">
        <v>30</v>
      </c>
    </row>
    <row r="676" spans="1:12">
      <c r="A676" s="16" t="s">
        <v>2742</v>
      </c>
      <c r="B676" s="2">
        <v>250000</v>
      </c>
      <c r="C676" s="2">
        <f t="shared" si="136"/>
        <v>4375</v>
      </c>
      <c r="D676" s="44">
        <v>45446</v>
      </c>
      <c r="E676" s="3" t="s">
        <v>11</v>
      </c>
      <c r="F676" s="3" t="s">
        <v>28</v>
      </c>
      <c r="G676" s="3"/>
      <c r="I676" s="21" t="s">
        <v>30</v>
      </c>
    </row>
    <row r="677" spans="1:12">
      <c r="A677" s="16" t="s">
        <v>2743</v>
      </c>
      <c r="B677" s="2">
        <v>10000</v>
      </c>
      <c r="C677" s="2">
        <f t="shared" si="136"/>
        <v>175.00000000000003</v>
      </c>
      <c r="D677" s="44">
        <v>45446</v>
      </c>
      <c r="E677" s="3" t="s">
        <v>24</v>
      </c>
      <c r="F677" s="3" t="s">
        <v>28</v>
      </c>
      <c r="G677" s="3"/>
      <c r="H677" s="16" t="s">
        <v>924</v>
      </c>
    </row>
    <row r="678" spans="1:12">
      <c r="A678" s="16" t="s">
        <v>2744</v>
      </c>
      <c r="B678" s="2">
        <v>80000</v>
      </c>
      <c r="C678" s="2">
        <f t="shared" si="136"/>
        <v>1400.0000000000002</v>
      </c>
      <c r="D678" s="44">
        <v>45447</v>
      </c>
      <c r="E678" s="32" t="s">
        <v>60</v>
      </c>
      <c r="F678" s="3" t="s">
        <v>67</v>
      </c>
      <c r="G678" s="3"/>
      <c r="H678" s="16" t="s">
        <v>2092</v>
      </c>
      <c r="I678" s="21" t="s">
        <v>30</v>
      </c>
    </row>
    <row r="679" spans="1:12">
      <c r="A679" s="16" t="s">
        <v>2745</v>
      </c>
      <c r="B679" s="2">
        <v>50000</v>
      </c>
      <c r="C679" s="2">
        <f t="shared" si="136"/>
        <v>875.00000000000011</v>
      </c>
      <c r="D679" s="44">
        <v>45447</v>
      </c>
      <c r="E679" s="3" t="s">
        <v>15</v>
      </c>
      <c r="F679" s="3" t="s">
        <v>28</v>
      </c>
      <c r="G679" s="3"/>
      <c r="H679" s="16" t="s">
        <v>2265</v>
      </c>
      <c r="I679" s="21" t="s">
        <v>30</v>
      </c>
      <c r="J679" s="16">
        <v>350</v>
      </c>
    </row>
    <row r="680" spans="1:12">
      <c r="A680" s="16" t="s">
        <v>2746</v>
      </c>
      <c r="B680" s="2">
        <v>50000</v>
      </c>
      <c r="C680" s="2">
        <f>0.0175*40000</f>
        <v>700.00000000000011</v>
      </c>
      <c r="D680" s="44">
        <v>45447</v>
      </c>
      <c r="E680" s="3" t="s">
        <v>24</v>
      </c>
      <c r="F680" s="3" t="s">
        <v>28</v>
      </c>
      <c r="G680" s="3"/>
      <c r="H680" s="16" t="s">
        <v>2647</v>
      </c>
      <c r="I680" s="21" t="s">
        <v>30</v>
      </c>
    </row>
    <row r="681" spans="1:12">
      <c r="A681" s="16" t="s">
        <v>2747</v>
      </c>
      <c r="B681" s="2">
        <v>250000</v>
      </c>
      <c r="C681" s="2">
        <f t="shared" ref="C681:C690" si="137">0.0175*B681</f>
        <v>4375</v>
      </c>
      <c r="D681" s="44">
        <v>45447</v>
      </c>
      <c r="E681" s="32" t="s">
        <v>60</v>
      </c>
      <c r="F681" s="3" t="s">
        <v>28</v>
      </c>
      <c r="G681" s="3"/>
      <c r="I681" s="21" t="s">
        <v>30</v>
      </c>
    </row>
    <row r="682" spans="1:12">
      <c r="A682" s="16" t="s">
        <v>2748</v>
      </c>
      <c r="B682" s="2">
        <v>50000</v>
      </c>
      <c r="C682" s="2">
        <f t="shared" si="137"/>
        <v>875.00000000000011</v>
      </c>
      <c r="D682" s="44">
        <v>45447</v>
      </c>
      <c r="E682" s="32" t="s">
        <v>60</v>
      </c>
      <c r="F682" s="3" t="s">
        <v>28</v>
      </c>
      <c r="G682" s="3"/>
    </row>
    <row r="683" spans="1:12">
      <c r="A683" s="16" t="s">
        <v>2749</v>
      </c>
      <c r="B683" s="2">
        <v>50000</v>
      </c>
      <c r="C683" s="2">
        <f t="shared" si="137"/>
        <v>875.00000000000011</v>
      </c>
      <c r="D683" s="44">
        <v>45447</v>
      </c>
      <c r="E683" s="3" t="s">
        <v>15</v>
      </c>
      <c r="F683" s="3" t="s">
        <v>28</v>
      </c>
      <c r="G683" s="3"/>
      <c r="H683" s="16" t="s">
        <v>2135</v>
      </c>
      <c r="I683" s="21" t="s">
        <v>30</v>
      </c>
      <c r="J683" s="16">
        <v>300</v>
      </c>
    </row>
    <row r="684" spans="1:12">
      <c r="A684" s="16" t="s">
        <v>2428</v>
      </c>
      <c r="B684" s="2">
        <v>150000</v>
      </c>
      <c r="C684" s="2">
        <f t="shared" si="137"/>
        <v>2625.0000000000005</v>
      </c>
      <c r="D684" s="44">
        <v>45447</v>
      </c>
      <c r="E684" s="32" t="s">
        <v>60</v>
      </c>
      <c r="F684" s="3" t="s">
        <v>67</v>
      </c>
      <c r="G684" s="3"/>
      <c r="H684" s="16" t="s">
        <v>2092</v>
      </c>
      <c r="I684" s="21" t="s">
        <v>30</v>
      </c>
    </row>
    <row r="685" spans="1:12">
      <c r="A685" s="16" t="s">
        <v>2669</v>
      </c>
      <c r="B685" s="2">
        <v>100000</v>
      </c>
      <c r="C685" s="2">
        <f t="shared" si="137"/>
        <v>1750.0000000000002</v>
      </c>
      <c r="D685" s="44">
        <v>45447</v>
      </c>
      <c r="E685" s="3" t="s">
        <v>24</v>
      </c>
      <c r="F685" s="3" t="s">
        <v>28</v>
      </c>
      <c r="G685" s="3"/>
      <c r="H685" s="16" t="s">
        <v>924</v>
      </c>
      <c r="I685" s="21" t="s">
        <v>30</v>
      </c>
    </row>
    <row r="686" spans="1:12">
      <c r="A686" s="16" t="s">
        <v>2750</v>
      </c>
      <c r="B686" s="2">
        <v>250000</v>
      </c>
      <c r="C686" s="2">
        <f t="shared" si="137"/>
        <v>4375</v>
      </c>
      <c r="D686" s="44">
        <v>45447</v>
      </c>
      <c r="E686" s="32" t="s">
        <v>60</v>
      </c>
      <c r="F686" s="3" t="s">
        <v>28</v>
      </c>
      <c r="G686" s="3"/>
      <c r="I686" s="21" t="s">
        <v>30</v>
      </c>
    </row>
    <row r="687" spans="1:12">
      <c r="A687" s="16" t="s">
        <v>2751</v>
      </c>
      <c r="B687" s="2">
        <v>15000</v>
      </c>
      <c r="C687" s="2">
        <f t="shared" si="137"/>
        <v>262.5</v>
      </c>
      <c r="D687" s="44">
        <v>45447</v>
      </c>
      <c r="E687" s="3" t="s">
        <v>11</v>
      </c>
      <c r="F687" s="3" t="s">
        <v>28</v>
      </c>
      <c r="G687" s="3"/>
      <c r="I687" s="21" t="s">
        <v>30</v>
      </c>
    </row>
    <row r="688" spans="1:12">
      <c r="A688" s="16" t="s">
        <v>2752</v>
      </c>
      <c r="B688" s="2">
        <v>100000</v>
      </c>
      <c r="C688" s="2">
        <f t="shared" si="137"/>
        <v>1750.0000000000002</v>
      </c>
      <c r="D688" s="44">
        <v>45448</v>
      </c>
      <c r="E688" s="3" t="s">
        <v>11</v>
      </c>
      <c r="F688" s="3" t="s">
        <v>28</v>
      </c>
      <c r="G688" s="3"/>
      <c r="I688" s="21" t="s">
        <v>30</v>
      </c>
    </row>
    <row r="689" spans="1:19">
      <c r="A689" s="16" t="s">
        <v>2753</v>
      </c>
      <c r="B689" s="2">
        <v>155000</v>
      </c>
      <c r="C689" s="2">
        <f t="shared" si="137"/>
        <v>2712.5000000000005</v>
      </c>
      <c r="D689" s="44">
        <v>45448</v>
      </c>
      <c r="E689" s="32" t="s">
        <v>60</v>
      </c>
      <c r="F689" s="3" t="s">
        <v>28</v>
      </c>
      <c r="G689" s="3"/>
      <c r="I689" s="21" t="s">
        <v>30</v>
      </c>
    </row>
    <row r="690" spans="1:19">
      <c r="A690" s="16" t="s">
        <v>2705</v>
      </c>
      <c r="B690" s="2">
        <v>10000</v>
      </c>
      <c r="C690" s="2">
        <f t="shared" si="137"/>
        <v>175.00000000000003</v>
      </c>
      <c r="D690" s="44">
        <v>45448</v>
      </c>
      <c r="E690" s="3" t="s">
        <v>15</v>
      </c>
      <c r="F690" s="3" t="s">
        <v>28</v>
      </c>
      <c r="G690" s="3"/>
      <c r="H690" s="16" t="s">
        <v>2143</v>
      </c>
      <c r="I690" s="21" t="s">
        <v>30</v>
      </c>
      <c r="J690" s="16">
        <v>100</v>
      </c>
    </row>
    <row r="691" spans="1:19">
      <c r="A691" s="16" t="s">
        <v>2754</v>
      </c>
      <c r="B691" s="2">
        <v>850000</v>
      </c>
      <c r="C691" s="2">
        <f>0.0125*B691</f>
        <v>10625</v>
      </c>
      <c r="D691" s="44">
        <v>45448</v>
      </c>
      <c r="E691" s="3" t="s">
        <v>21</v>
      </c>
      <c r="F691" s="3" t="s">
        <v>12</v>
      </c>
      <c r="G691" s="3"/>
      <c r="H691" s="16" t="s">
        <v>22</v>
      </c>
    </row>
    <row r="692" spans="1:19">
      <c r="A692" s="16" t="s">
        <v>2755</v>
      </c>
      <c r="B692" s="2">
        <v>150000</v>
      </c>
      <c r="C692" s="2">
        <f>0.0175*B692</f>
        <v>2625.0000000000005</v>
      </c>
      <c r="D692" s="44">
        <v>45448</v>
      </c>
      <c r="E692" s="3" t="s">
        <v>11</v>
      </c>
      <c r="F692" s="3" t="s">
        <v>28</v>
      </c>
      <c r="G692" s="3"/>
      <c r="I692" s="21" t="s">
        <v>30</v>
      </c>
    </row>
    <row r="693" spans="1:19">
      <c r="A693" s="16" t="s">
        <v>2756</v>
      </c>
      <c r="B693" s="2">
        <v>25000</v>
      </c>
      <c r="C693" s="2">
        <f t="shared" ref="C693:C695" si="138">0.0125*B693</f>
        <v>312.5</v>
      </c>
      <c r="D693" s="44">
        <v>45448</v>
      </c>
      <c r="E693" s="3" t="s">
        <v>15</v>
      </c>
      <c r="F693" s="3" t="s">
        <v>12</v>
      </c>
      <c r="G693" s="3"/>
      <c r="H693" s="16" t="s">
        <v>54</v>
      </c>
      <c r="J693" s="16">
        <v>150</v>
      </c>
    </row>
    <row r="694" spans="1:19">
      <c r="A694" s="16" t="s">
        <v>2757</v>
      </c>
      <c r="B694" s="2">
        <v>600000</v>
      </c>
      <c r="C694" s="2">
        <f t="shared" si="138"/>
        <v>7500</v>
      </c>
      <c r="D694" s="44">
        <v>45448</v>
      </c>
      <c r="E694" s="3" t="s">
        <v>69</v>
      </c>
      <c r="F694" s="3" t="s">
        <v>12</v>
      </c>
      <c r="G694" s="3"/>
      <c r="H694" s="16" t="s">
        <v>22</v>
      </c>
    </row>
    <row r="695" spans="1:19">
      <c r="A695" s="16" t="s">
        <v>348</v>
      </c>
      <c r="B695" s="2">
        <v>150000</v>
      </c>
      <c r="C695" s="2">
        <f t="shared" si="138"/>
        <v>1875</v>
      </c>
      <c r="D695" s="44">
        <v>45448</v>
      </c>
      <c r="E695" s="32" t="s">
        <v>60</v>
      </c>
      <c r="F695" s="3" t="s">
        <v>12</v>
      </c>
      <c r="G695" s="3"/>
    </row>
    <row r="696" spans="1:19">
      <c r="A696" s="16" t="s">
        <v>1009</v>
      </c>
      <c r="B696" s="2">
        <v>40000</v>
      </c>
      <c r="C696" s="2">
        <f t="shared" ref="C696:C698" si="139">0.0175*B696</f>
        <v>700.00000000000011</v>
      </c>
      <c r="D696" s="44">
        <v>45448</v>
      </c>
      <c r="E696" s="3" t="s">
        <v>15</v>
      </c>
      <c r="F696" s="3" t="s">
        <v>28</v>
      </c>
      <c r="G696" s="3"/>
      <c r="H696" s="16" t="s">
        <v>2126</v>
      </c>
      <c r="I696" s="21" t="s">
        <v>30</v>
      </c>
      <c r="J696" s="16">
        <v>320</v>
      </c>
      <c r="Q696" s="16" t="s">
        <v>17</v>
      </c>
      <c r="R696" s="16">
        <v>11538.46</v>
      </c>
    </row>
    <row r="697" spans="1:19">
      <c r="A697" s="16" t="s">
        <v>2758</v>
      </c>
      <c r="B697" s="2">
        <v>105000</v>
      </c>
      <c r="C697" s="2">
        <f t="shared" si="139"/>
        <v>1837.5000000000002</v>
      </c>
      <c r="D697" s="44">
        <v>45448</v>
      </c>
      <c r="E697" s="32" t="s">
        <v>60</v>
      </c>
      <c r="F697" s="3" t="s">
        <v>28</v>
      </c>
      <c r="G697" s="3"/>
      <c r="I697" s="21" t="s">
        <v>30</v>
      </c>
      <c r="Q697" s="16" t="s">
        <v>15</v>
      </c>
      <c r="R697" s="16">
        <v>7045</v>
      </c>
    </row>
    <row r="698" spans="1:19">
      <c r="A698" s="16" t="s">
        <v>2759</v>
      </c>
      <c r="B698" s="2">
        <v>65000</v>
      </c>
      <c r="C698" s="2">
        <f t="shared" si="139"/>
        <v>1137.5</v>
      </c>
      <c r="D698" s="44">
        <v>45448</v>
      </c>
      <c r="E698" s="32" t="s">
        <v>60</v>
      </c>
      <c r="F698" s="3" t="s">
        <v>28</v>
      </c>
      <c r="G698" s="3"/>
      <c r="I698" s="21" t="s">
        <v>30</v>
      </c>
      <c r="Q698" s="16" t="s">
        <v>2614</v>
      </c>
      <c r="R698" s="16">
        <v>972</v>
      </c>
    </row>
    <row r="699" spans="1:19">
      <c r="A699" s="16" t="s">
        <v>690</v>
      </c>
      <c r="B699" s="2">
        <v>285000</v>
      </c>
      <c r="C699" s="2">
        <f>0.0125*275000</f>
        <v>3437.5</v>
      </c>
      <c r="D699" s="44">
        <v>45449</v>
      </c>
      <c r="E699" s="3" t="s">
        <v>24</v>
      </c>
      <c r="F699" s="3" t="s">
        <v>12</v>
      </c>
      <c r="G699" s="3"/>
      <c r="H699" s="16" t="s">
        <v>2689</v>
      </c>
      <c r="Q699" s="16" t="s">
        <v>2760</v>
      </c>
      <c r="R699" s="16">
        <v>23050</v>
      </c>
      <c r="S699" s="16">
        <v>2305000</v>
      </c>
    </row>
    <row r="700" spans="1:19">
      <c r="A700" s="16" t="s">
        <v>2761</v>
      </c>
      <c r="B700" s="2">
        <v>28000</v>
      </c>
      <c r="C700" s="2">
        <f>0.0175*B700</f>
        <v>490.00000000000006</v>
      </c>
      <c r="D700" s="44">
        <v>45449</v>
      </c>
      <c r="E700" s="3" t="s">
        <v>11</v>
      </c>
      <c r="F700" s="3" t="s">
        <v>28</v>
      </c>
      <c r="G700" s="3"/>
      <c r="I700" s="21" t="s">
        <v>30</v>
      </c>
      <c r="Q700" s="16" t="s">
        <v>2762</v>
      </c>
      <c r="R700" s="16">
        <v>7375</v>
      </c>
      <c r="S700" s="16">
        <v>2950000</v>
      </c>
    </row>
    <row r="701" spans="1:19">
      <c r="A701" s="16" t="s">
        <v>2763</v>
      </c>
      <c r="B701" s="2">
        <v>45000</v>
      </c>
      <c r="C701" s="2">
        <f>0.0125*B701</f>
        <v>562.5</v>
      </c>
      <c r="D701" s="44">
        <v>45449</v>
      </c>
      <c r="E701" s="3" t="s">
        <v>15</v>
      </c>
      <c r="F701" s="3" t="s">
        <v>12</v>
      </c>
      <c r="G701" s="3"/>
      <c r="H701" s="16" t="s">
        <v>16</v>
      </c>
      <c r="J701" s="16">
        <v>180</v>
      </c>
      <c r="Q701" s="16" t="s">
        <v>2764</v>
      </c>
      <c r="R701" s="16">
        <v>6060</v>
      </c>
      <c r="S701" s="16">
        <v>2020000</v>
      </c>
    </row>
    <row r="702" spans="1:19">
      <c r="A702" s="16" t="s">
        <v>2495</v>
      </c>
      <c r="B702" s="2">
        <v>200000</v>
      </c>
      <c r="C702" s="2">
        <f>0.0175*B702</f>
        <v>3500.0000000000005</v>
      </c>
      <c r="D702" s="44">
        <v>45449</v>
      </c>
      <c r="E702" s="3" t="s">
        <v>11</v>
      </c>
      <c r="F702" s="3" t="s">
        <v>28</v>
      </c>
      <c r="G702" s="3"/>
      <c r="I702" s="21" t="s">
        <v>30</v>
      </c>
      <c r="Q702" s="16" t="s">
        <v>2765</v>
      </c>
      <c r="R702" s="16">
        <v>1612.5</v>
      </c>
      <c r="S702" s="16">
        <v>1075000</v>
      </c>
    </row>
    <row r="703" spans="1:19">
      <c r="A703" s="16" t="s">
        <v>2766</v>
      </c>
      <c r="B703" s="2">
        <v>500000</v>
      </c>
      <c r="C703" s="2">
        <f>0.0175*490000</f>
        <v>8575</v>
      </c>
      <c r="D703" s="44">
        <v>45449</v>
      </c>
      <c r="E703" s="3" t="s">
        <v>24</v>
      </c>
      <c r="F703" s="3" t="s">
        <v>28</v>
      </c>
      <c r="G703" s="3"/>
      <c r="H703" s="16" t="s">
        <v>2647</v>
      </c>
      <c r="I703" s="21" t="s">
        <v>30</v>
      </c>
      <c r="Q703" s="16" t="s">
        <v>2767</v>
      </c>
      <c r="R703" s="16">
        <v>270</v>
      </c>
      <c r="S703" s="16">
        <v>45000</v>
      </c>
    </row>
    <row r="704" spans="1:19">
      <c r="A704" s="16" t="s">
        <v>2768</v>
      </c>
      <c r="B704" s="2">
        <v>50000</v>
      </c>
      <c r="C704" s="2">
        <f>0.0175*B704</f>
        <v>875.00000000000011</v>
      </c>
      <c r="D704" s="44">
        <v>45449</v>
      </c>
      <c r="E704" s="3" t="s">
        <v>15</v>
      </c>
      <c r="F704" s="3" t="s">
        <v>28</v>
      </c>
      <c r="G704" s="3"/>
      <c r="H704" s="16" t="s">
        <v>2769</v>
      </c>
      <c r="I704" s="21" t="s">
        <v>30</v>
      </c>
      <c r="J704" s="16">
        <v>200</v>
      </c>
    </row>
    <row r="705" spans="1:10">
      <c r="A705" s="16" t="s">
        <v>2770</v>
      </c>
      <c r="B705" s="17">
        <v>30000</v>
      </c>
      <c r="C705" s="2">
        <f>0.0125*B705</f>
        <v>375</v>
      </c>
      <c r="D705" s="44">
        <v>45449</v>
      </c>
      <c r="E705" s="3" t="s">
        <v>11</v>
      </c>
      <c r="F705" s="3" t="s">
        <v>12</v>
      </c>
      <c r="G705" s="3"/>
    </row>
    <row r="706" spans="1:10">
      <c r="A706" s="16" t="s">
        <v>2771</v>
      </c>
      <c r="B706" s="17">
        <v>30000</v>
      </c>
      <c r="C706" s="2">
        <f>0.0175*B706</f>
        <v>525</v>
      </c>
      <c r="D706" s="44">
        <v>45449</v>
      </c>
      <c r="E706" s="32" t="s">
        <v>60</v>
      </c>
      <c r="F706" s="3" t="s">
        <v>28</v>
      </c>
      <c r="G706" s="3"/>
      <c r="I706" s="21" t="s">
        <v>30</v>
      </c>
    </row>
    <row r="707" spans="1:10">
      <c r="A707" s="16" t="s">
        <v>2772</v>
      </c>
      <c r="B707" s="17">
        <v>20000</v>
      </c>
      <c r="C707" s="2">
        <f>0.0125*B707</f>
        <v>250</v>
      </c>
      <c r="D707" s="44">
        <v>45449</v>
      </c>
      <c r="E707" s="3" t="s">
        <v>11</v>
      </c>
      <c r="F707" s="3" t="s">
        <v>12</v>
      </c>
      <c r="G707" s="3"/>
    </row>
    <row r="708" spans="1:10">
      <c r="A708" s="16" t="s">
        <v>2773</v>
      </c>
      <c r="B708" s="2">
        <v>90000</v>
      </c>
      <c r="C708" s="2">
        <f>0.0175*80000</f>
        <v>1400.0000000000002</v>
      </c>
      <c r="D708" s="44">
        <v>45449</v>
      </c>
      <c r="E708" s="3" t="s">
        <v>24</v>
      </c>
      <c r="F708" s="3" t="s">
        <v>28</v>
      </c>
      <c r="G708" s="3"/>
      <c r="H708" s="16" t="s">
        <v>2647</v>
      </c>
      <c r="I708" s="21" t="s">
        <v>30</v>
      </c>
    </row>
    <row r="709" spans="1:10">
      <c r="A709" s="16" t="s">
        <v>2774</v>
      </c>
      <c r="B709" s="2">
        <v>200000</v>
      </c>
      <c r="C709" s="2">
        <f>0.0175*190000</f>
        <v>3325.0000000000005</v>
      </c>
      <c r="D709" s="44">
        <v>45449</v>
      </c>
      <c r="E709" s="3" t="s">
        <v>24</v>
      </c>
      <c r="F709" s="3" t="s">
        <v>28</v>
      </c>
      <c r="G709" s="3"/>
      <c r="H709" s="16" t="s">
        <v>2647</v>
      </c>
      <c r="I709" s="21" t="s">
        <v>30</v>
      </c>
    </row>
    <row r="710" spans="1:10">
      <c r="A710" s="16" t="s">
        <v>2775</v>
      </c>
      <c r="B710" s="2">
        <v>105000</v>
      </c>
      <c r="C710" s="2">
        <f>0.0175*95000</f>
        <v>1662.5000000000002</v>
      </c>
      <c r="D710" s="44">
        <v>45449</v>
      </c>
      <c r="E710" s="3" t="s">
        <v>24</v>
      </c>
      <c r="F710" s="3" t="s">
        <v>28</v>
      </c>
      <c r="G710" s="3"/>
      <c r="H710" s="16" t="s">
        <v>2647</v>
      </c>
      <c r="I710" s="21" t="s">
        <v>30</v>
      </c>
    </row>
    <row r="711" spans="1:10">
      <c r="A711" s="16" t="s">
        <v>2776</v>
      </c>
      <c r="B711" s="2">
        <v>50000</v>
      </c>
      <c r="C711" s="2">
        <f>0.0175*B711</f>
        <v>875.00000000000011</v>
      </c>
      <c r="D711" s="44">
        <v>45450</v>
      </c>
      <c r="E711" s="3" t="s">
        <v>15</v>
      </c>
      <c r="F711" s="3" t="s">
        <v>28</v>
      </c>
      <c r="G711" s="3"/>
      <c r="H711" s="16" t="s">
        <v>2126</v>
      </c>
      <c r="I711" s="21" t="s">
        <v>30</v>
      </c>
      <c r="J711" s="16">
        <v>400</v>
      </c>
    </row>
    <row r="712" spans="1:10">
      <c r="A712" s="16" t="s">
        <v>2777</v>
      </c>
      <c r="B712" s="2">
        <v>180000</v>
      </c>
      <c r="C712" s="2">
        <v>0</v>
      </c>
      <c r="D712" s="44">
        <v>45450</v>
      </c>
      <c r="E712" s="3" t="s">
        <v>11</v>
      </c>
      <c r="F712" s="3" t="s">
        <v>28</v>
      </c>
      <c r="G712" s="3"/>
      <c r="H712" s="16" t="s">
        <v>2778</v>
      </c>
      <c r="I712" s="21" t="s">
        <v>30</v>
      </c>
    </row>
    <row r="713" spans="1:10">
      <c r="A713" s="16" t="s">
        <v>2627</v>
      </c>
      <c r="B713" s="2">
        <v>50000</v>
      </c>
      <c r="C713" s="2">
        <f>0.0175*B713</f>
        <v>875.00000000000011</v>
      </c>
      <c r="D713" s="44">
        <v>45450</v>
      </c>
      <c r="E713" s="3" t="s">
        <v>24</v>
      </c>
      <c r="F713" s="3" t="s">
        <v>28</v>
      </c>
      <c r="G713" s="3"/>
      <c r="H713" s="16" t="s">
        <v>924</v>
      </c>
      <c r="I713" s="21" t="s">
        <v>30</v>
      </c>
    </row>
    <row r="714" spans="1:10">
      <c r="A714" s="16" t="s">
        <v>2779</v>
      </c>
      <c r="B714" s="2">
        <v>175000</v>
      </c>
      <c r="C714" s="2">
        <f>0.0125*B714</f>
        <v>2187.5</v>
      </c>
      <c r="D714" s="44">
        <v>45450</v>
      </c>
      <c r="E714" s="3" t="s">
        <v>2157</v>
      </c>
      <c r="F714" s="3" t="s">
        <v>12</v>
      </c>
      <c r="G714" s="3"/>
      <c r="H714" s="16" t="s">
        <v>22</v>
      </c>
    </row>
    <row r="715" spans="1:10">
      <c r="A715" s="16" t="s">
        <v>2780</v>
      </c>
      <c r="B715" s="2">
        <v>10000</v>
      </c>
      <c r="C715" s="2">
        <f t="shared" ref="C715:C720" si="140">0.0175*B715</f>
        <v>175.00000000000003</v>
      </c>
      <c r="D715" s="44">
        <v>45450</v>
      </c>
      <c r="E715" s="3" t="s">
        <v>15</v>
      </c>
      <c r="F715" s="3" t="s">
        <v>28</v>
      </c>
      <c r="G715" s="3"/>
      <c r="H715" s="16" t="s">
        <v>2116</v>
      </c>
      <c r="J715" s="16">
        <v>120</v>
      </c>
    </row>
    <row r="716" spans="1:10">
      <c r="A716" s="16" t="s">
        <v>2781</v>
      </c>
      <c r="B716" s="2">
        <v>125000</v>
      </c>
      <c r="C716" s="2">
        <f t="shared" si="140"/>
        <v>2187.5</v>
      </c>
      <c r="D716" s="44">
        <v>45450</v>
      </c>
      <c r="E716" s="3" t="s">
        <v>15</v>
      </c>
      <c r="F716" s="3" t="s">
        <v>28</v>
      </c>
      <c r="G716" s="3"/>
      <c r="H716" s="16" t="s">
        <v>2265</v>
      </c>
      <c r="J716" s="16">
        <v>875</v>
      </c>
    </row>
    <row r="717" spans="1:10">
      <c r="A717" s="16" t="s">
        <v>2782</v>
      </c>
      <c r="B717" s="2">
        <v>90000</v>
      </c>
      <c r="C717" s="2">
        <f t="shared" si="140"/>
        <v>1575.0000000000002</v>
      </c>
      <c r="D717" s="44">
        <v>45453</v>
      </c>
      <c r="E717" s="32" t="s">
        <v>60</v>
      </c>
      <c r="F717" s="3" t="s">
        <v>28</v>
      </c>
      <c r="G717" s="3"/>
      <c r="I717" s="21" t="s">
        <v>30</v>
      </c>
    </row>
    <row r="718" spans="1:10">
      <c r="A718" s="16" t="s">
        <v>2783</v>
      </c>
      <c r="B718" s="2">
        <v>5000</v>
      </c>
      <c r="C718" s="2">
        <f t="shared" si="140"/>
        <v>87.500000000000014</v>
      </c>
      <c r="D718" s="44">
        <v>45453</v>
      </c>
      <c r="E718" s="3" t="s">
        <v>15</v>
      </c>
      <c r="F718" s="3" t="s">
        <v>28</v>
      </c>
      <c r="G718" s="3"/>
      <c r="H718" s="16" t="s">
        <v>2116</v>
      </c>
      <c r="I718" s="21" t="s">
        <v>30</v>
      </c>
      <c r="J718" s="16">
        <v>60</v>
      </c>
    </row>
    <row r="719" spans="1:10">
      <c r="A719" s="16" t="s">
        <v>2784</v>
      </c>
      <c r="B719" s="17">
        <v>50000</v>
      </c>
      <c r="C719" s="2">
        <f t="shared" si="140"/>
        <v>875.00000000000011</v>
      </c>
      <c r="D719" s="44">
        <v>45454</v>
      </c>
      <c r="E719" s="3" t="s">
        <v>11</v>
      </c>
      <c r="F719" s="3" t="s">
        <v>28</v>
      </c>
      <c r="G719" s="3"/>
      <c r="I719" s="21" t="s">
        <v>30</v>
      </c>
    </row>
    <row r="720" spans="1:10">
      <c r="A720" s="16" t="s">
        <v>2785</v>
      </c>
      <c r="B720" s="17">
        <v>100000</v>
      </c>
      <c r="C720" s="2">
        <f t="shared" si="140"/>
        <v>1750.0000000000002</v>
      </c>
      <c r="D720" s="44">
        <v>45454</v>
      </c>
      <c r="E720" s="3" t="s">
        <v>11</v>
      </c>
      <c r="F720" s="3" t="s">
        <v>28</v>
      </c>
      <c r="G720" s="3"/>
      <c r="I720" s="21" t="s">
        <v>30</v>
      </c>
    </row>
    <row r="721" spans="1:10">
      <c r="A721" s="16" t="s">
        <v>2786</v>
      </c>
      <c r="B721" s="2">
        <v>275000</v>
      </c>
      <c r="C721" s="2">
        <f>0.0125*265000</f>
        <v>3312.5</v>
      </c>
      <c r="D721" s="44">
        <v>45455</v>
      </c>
      <c r="E721" s="3" t="s">
        <v>24</v>
      </c>
      <c r="F721" s="3" t="s">
        <v>12</v>
      </c>
      <c r="G721" s="3" t="s">
        <v>2787</v>
      </c>
      <c r="H721" s="16" t="s">
        <v>2689</v>
      </c>
      <c r="I721" s="23"/>
    </row>
    <row r="722" spans="1:10">
      <c r="A722" s="16" t="s">
        <v>2788</v>
      </c>
      <c r="B722" s="17">
        <v>100000</v>
      </c>
      <c r="C722" s="2">
        <f t="shared" ref="C722:C727" si="141">0.0175*B722</f>
        <v>1750.0000000000002</v>
      </c>
      <c r="D722" s="44">
        <v>45455</v>
      </c>
      <c r="E722" s="3" t="s">
        <v>11</v>
      </c>
      <c r="F722" s="3" t="s">
        <v>28</v>
      </c>
      <c r="G722" s="3"/>
      <c r="I722" s="21" t="s">
        <v>30</v>
      </c>
    </row>
    <row r="723" spans="1:10">
      <c r="A723" s="16" t="s">
        <v>2789</v>
      </c>
      <c r="B723" s="2">
        <v>25000</v>
      </c>
      <c r="C723" s="2">
        <f t="shared" si="141"/>
        <v>437.50000000000006</v>
      </c>
      <c r="D723" s="44">
        <v>45455</v>
      </c>
      <c r="E723" s="3" t="s">
        <v>345</v>
      </c>
      <c r="F723" s="3" t="s">
        <v>28</v>
      </c>
      <c r="G723" s="3"/>
      <c r="H723" s="16" t="s">
        <v>13</v>
      </c>
      <c r="I723" s="21" t="s">
        <v>30</v>
      </c>
    </row>
    <row r="724" spans="1:10">
      <c r="A724" s="16" t="s">
        <v>2790</v>
      </c>
      <c r="B724" s="2">
        <v>750000</v>
      </c>
      <c r="C724" s="2">
        <f t="shared" si="141"/>
        <v>13125.000000000002</v>
      </c>
      <c r="D724" s="44">
        <v>45455</v>
      </c>
      <c r="E724" s="3" t="s">
        <v>11</v>
      </c>
      <c r="F724" s="3" t="s">
        <v>28</v>
      </c>
      <c r="G724" s="3"/>
      <c r="I724" s="21" t="s">
        <v>30</v>
      </c>
    </row>
    <row r="725" spans="1:10">
      <c r="A725" s="16" t="s">
        <v>2506</v>
      </c>
      <c r="B725" s="2">
        <v>12000</v>
      </c>
      <c r="C725" s="2">
        <f t="shared" si="141"/>
        <v>210.00000000000003</v>
      </c>
      <c r="D725" s="44">
        <v>45455</v>
      </c>
      <c r="E725" s="3" t="s">
        <v>11</v>
      </c>
      <c r="F725" s="3" t="s">
        <v>28</v>
      </c>
      <c r="G725" s="3"/>
      <c r="I725" s="21" t="s">
        <v>30</v>
      </c>
    </row>
    <row r="726" spans="1:10">
      <c r="A726" s="16" t="s">
        <v>2791</v>
      </c>
      <c r="B726" s="2">
        <v>475000</v>
      </c>
      <c r="C726" s="2">
        <f t="shared" si="141"/>
        <v>8312.5</v>
      </c>
      <c r="D726" s="44">
        <v>45456</v>
      </c>
      <c r="E726" s="3" t="s">
        <v>11</v>
      </c>
      <c r="F726" s="3" t="s">
        <v>28</v>
      </c>
      <c r="G726" s="3"/>
    </row>
    <row r="727" spans="1:10">
      <c r="A727" s="16" t="s">
        <v>2792</v>
      </c>
      <c r="B727" s="2">
        <v>100000</v>
      </c>
      <c r="C727" s="2">
        <f t="shared" si="141"/>
        <v>1750.0000000000002</v>
      </c>
      <c r="D727" s="44">
        <v>45456</v>
      </c>
      <c r="E727" s="3" t="s">
        <v>15</v>
      </c>
      <c r="F727" s="3" t="s">
        <v>28</v>
      </c>
      <c r="G727" s="3"/>
      <c r="H727" s="16" t="s">
        <v>2116</v>
      </c>
      <c r="J727" s="16">
        <v>1200</v>
      </c>
    </row>
    <row r="728" spans="1:10">
      <c r="A728" s="16" t="s">
        <v>2793</v>
      </c>
      <c r="B728" s="2">
        <v>175000</v>
      </c>
      <c r="C728" s="2">
        <f>0.0175*165000</f>
        <v>2887.5000000000005</v>
      </c>
      <c r="D728" s="44">
        <v>45456</v>
      </c>
      <c r="E728" s="3" t="s">
        <v>24</v>
      </c>
      <c r="F728" s="3" t="s">
        <v>28</v>
      </c>
      <c r="G728" s="3"/>
      <c r="H728" s="16" t="s">
        <v>2647</v>
      </c>
      <c r="I728" s="21" t="s">
        <v>30</v>
      </c>
    </row>
    <row r="729" spans="1:10">
      <c r="A729" s="16" t="s">
        <v>102</v>
      </c>
      <c r="B729" s="17">
        <v>100000</v>
      </c>
      <c r="C729" s="2">
        <f t="shared" ref="C729:C732" si="142">0.0125*B729</f>
        <v>1250</v>
      </c>
      <c r="D729" s="44">
        <v>45456</v>
      </c>
      <c r="E729" s="3" t="s">
        <v>11</v>
      </c>
      <c r="F729" s="3" t="s">
        <v>12</v>
      </c>
      <c r="G729" s="3"/>
    </row>
    <row r="730" spans="1:10">
      <c r="A730" s="16" t="s">
        <v>728</v>
      </c>
      <c r="B730" s="17">
        <v>50000</v>
      </c>
      <c r="C730" s="2">
        <f t="shared" si="142"/>
        <v>625</v>
      </c>
      <c r="D730" s="44">
        <v>45456</v>
      </c>
      <c r="E730" s="3" t="s">
        <v>11</v>
      </c>
      <c r="F730" s="3" t="s">
        <v>12</v>
      </c>
      <c r="G730" s="3"/>
    </row>
    <row r="731" spans="1:10">
      <c r="A731" s="16" t="s">
        <v>2794</v>
      </c>
      <c r="B731" s="17">
        <v>30000</v>
      </c>
      <c r="C731" s="2">
        <f t="shared" si="142"/>
        <v>375</v>
      </c>
      <c r="D731" s="44">
        <v>45456</v>
      </c>
      <c r="E731" s="3" t="s">
        <v>11</v>
      </c>
      <c r="F731" s="3" t="s">
        <v>12</v>
      </c>
      <c r="G731" s="3"/>
    </row>
    <row r="732" spans="1:10">
      <c r="A732" s="16" t="s">
        <v>2389</v>
      </c>
      <c r="B732" s="17">
        <v>100000</v>
      </c>
      <c r="C732" s="2">
        <f t="shared" si="142"/>
        <v>1250</v>
      </c>
      <c r="D732" s="44">
        <v>45456</v>
      </c>
      <c r="E732" s="3" t="s">
        <v>11</v>
      </c>
      <c r="F732" s="3" t="s">
        <v>12</v>
      </c>
      <c r="G732" s="3"/>
    </row>
    <row r="733" spans="1:10">
      <c r="A733" s="16" t="s">
        <v>2795</v>
      </c>
      <c r="B733" s="2">
        <v>85000</v>
      </c>
      <c r="C733" s="2">
        <f>0.0175*75000</f>
        <v>1312.5000000000002</v>
      </c>
      <c r="D733" s="44">
        <v>45456</v>
      </c>
      <c r="E733" s="3" t="s">
        <v>24</v>
      </c>
      <c r="F733" s="3" t="s">
        <v>28</v>
      </c>
      <c r="G733" s="3"/>
      <c r="H733" s="16" t="s">
        <v>2647</v>
      </c>
      <c r="I733" s="21" t="s">
        <v>30</v>
      </c>
    </row>
    <row r="734" spans="1:10">
      <c r="A734" s="16" t="s">
        <v>2796</v>
      </c>
      <c r="B734" s="2">
        <v>95000</v>
      </c>
      <c r="C734" s="2">
        <f t="shared" ref="C734:C735" si="143">0.0175*B734</f>
        <v>1662.5000000000002</v>
      </c>
      <c r="D734" s="44">
        <v>45456</v>
      </c>
      <c r="E734" s="32" t="s">
        <v>60</v>
      </c>
      <c r="F734" s="3" t="s">
        <v>28</v>
      </c>
      <c r="G734" s="3"/>
    </row>
    <row r="735" spans="1:10">
      <c r="A735" s="16" t="s">
        <v>2797</v>
      </c>
      <c r="B735" s="2">
        <v>80000</v>
      </c>
      <c r="C735" s="2">
        <f t="shared" si="143"/>
        <v>1400.0000000000002</v>
      </c>
      <c r="D735" s="44">
        <v>45456</v>
      </c>
      <c r="E735" s="3" t="s">
        <v>11</v>
      </c>
      <c r="F735" s="3" t="s">
        <v>28</v>
      </c>
      <c r="G735" s="3"/>
      <c r="I735" s="21" t="s">
        <v>30</v>
      </c>
    </row>
    <row r="736" spans="1:10">
      <c r="A736" s="16" t="s">
        <v>2798</v>
      </c>
      <c r="B736" s="2">
        <v>130000</v>
      </c>
      <c r="C736" s="2">
        <f>0.0125*120000</f>
        <v>1500</v>
      </c>
      <c r="D736" s="44">
        <v>45456</v>
      </c>
      <c r="E736" s="3" t="s">
        <v>24</v>
      </c>
      <c r="F736" s="3" t="s">
        <v>12</v>
      </c>
      <c r="G736" s="3"/>
      <c r="H736" s="16" t="s">
        <v>2689</v>
      </c>
    </row>
    <row r="737" spans="1:10">
      <c r="A737" s="16" t="s">
        <v>2799</v>
      </c>
      <c r="B737" s="2">
        <v>55000</v>
      </c>
      <c r="C737" s="2">
        <f t="shared" ref="C737:C741" si="144">0.0175*B737</f>
        <v>962.50000000000011</v>
      </c>
      <c r="D737" s="44">
        <v>45456</v>
      </c>
      <c r="E737" s="3" t="s">
        <v>11</v>
      </c>
      <c r="F737" s="49" t="s">
        <v>28</v>
      </c>
      <c r="G737" s="3"/>
    </row>
    <row r="738" spans="1:10">
      <c r="A738" s="16" t="s">
        <v>407</v>
      </c>
      <c r="B738" s="2">
        <v>100000</v>
      </c>
      <c r="C738" s="2">
        <f t="shared" si="144"/>
        <v>1750.0000000000002</v>
      </c>
      <c r="D738" s="44">
        <v>45456</v>
      </c>
      <c r="E738" s="3" t="s">
        <v>11</v>
      </c>
      <c r="F738" s="49" t="s">
        <v>28</v>
      </c>
      <c r="G738" s="3"/>
    </row>
    <row r="739" spans="1:10">
      <c r="A739" s="16" t="s">
        <v>2800</v>
      </c>
      <c r="B739" s="2">
        <v>70000</v>
      </c>
      <c r="C739" s="2">
        <f t="shared" si="144"/>
        <v>1225.0000000000002</v>
      </c>
      <c r="D739" s="44">
        <v>45456</v>
      </c>
      <c r="E739" s="3" t="s">
        <v>15</v>
      </c>
      <c r="F739" s="49" t="s">
        <v>28</v>
      </c>
      <c r="G739" s="3"/>
      <c r="H739" s="16" t="s">
        <v>2253</v>
      </c>
      <c r="I739" s="21" t="s">
        <v>30</v>
      </c>
      <c r="J739" s="16">
        <v>350</v>
      </c>
    </row>
    <row r="740" spans="1:10">
      <c r="A740" s="16" t="s">
        <v>2801</v>
      </c>
      <c r="B740" s="2">
        <v>75000</v>
      </c>
      <c r="C740" s="2">
        <f t="shared" si="144"/>
        <v>1312.5000000000002</v>
      </c>
      <c r="D740" s="44">
        <v>45457</v>
      </c>
      <c r="E740" s="3" t="s">
        <v>11</v>
      </c>
      <c r="F740" s="49" t="s">
        <v>28</v>
      </c>
      <c r="G740" s="3"/>
      <c r="I740" s="21" t="s">
        <v>30</v>
      </c>
    </row>
    <row r="741" spans="1:10">
      <c r="A741" s="16" t="s">
        <v>2802</v>
      </c>
      <c r="B741" s="2">
        <v>20000</v>
      </c>
      <c r="C741" s="2">
        <f t="shared" si="144"/>
        <v>350.00000000000006</v>
      </c>
      <c r="D741" s="44">
        <v>45457</v>
      </c>
      <c r="E741" s="3" t="s">
        <v>11</v>
      </c>
      <c r="F741" s="49" t="s">
        <v>67</v>
      </c>
      <c r="G741" s="3"/>
      <c r="I741" s="21" t="s">
        <v>30</v>
      </c>
    </row>
    <row r="742" spans="1:10">
      <c r="A742" s="16" t="s">
        <v>2803</v>
      </c>
      <c r="B742" s="2">
        <v>200000</v>
      </c>
      <c r="C742" s="2">
        <f>0.0175*190000</f>
        <v>3325.0000000000005</v>
      </c>
      <c r="D742" s="44">
        <v>45457</v>
      </c>
      <c r="E742" s="3" t="s">
        <v>24</v>
      </c>
      <c r="F742" s="49" t="s">
        <v>28</v>
      </c>
      <c r="G742" s="3"/>
      <c r="H742" s="16" t="s">
        <v>2647</v>
      </c>
      <c r="I742" s="21" t="s">
        <v>30</v>
      </c>
    </row>
    <row r="743" spans="1:10">
      <c r="A743" s="16" t="s">
        <v>2804</v>
      </c>
      <c r="B743" s="2">
        <v>30000</v>
      </c>
      <c r="C743" s="2">
        <f t="shared" ref="C743:C745" si="145">0.0175*B743</f>
        <v>525</v>
      </c>
      <c r="D743" s="44">
        <v>45457</v>
      </c>
      <c r="E743" s="3" t="s">
        <v>15</v>
      </c>
      <c r="F743" s="49" t="s">
        <v>67</v>
      </c>
      <c r="G743" s="3"/>
      <c r="H743" s="16" t="s">
        <v>2126</v>
      </c>
      <c r="I743" s="21" t="s">
        <v>30</v>
      </c>
      <c r="J743" s="16">
        <v>240</v>
      </c>
    </row>
    <row r="744" spans="1:10">
      <c r="A744" s="16" t="s">
        <v>2805</v>
      </c>
      <c r="B744" s="2">
        <v>500000</v>
      </c>
      <c r="C744" s="2">
        <f t="shared" si="145"/>
        <v>8750</v>
      </c>
      <c r="D744" s="44">
        <v>45457</v>
      </c>
      <c r="E744" s="3" t="s">
        <v>11</v>
      </c>
      <c r="F744" s="49" t="s">
        <v>28</v>
      </c>
      <c r="G744" s="3"/>
      <c r="I744" s="21" t="s">
        <v>30</v>
      </c>
    </row>
    <row r="745" spans="1:10">
      <c r="A745" s="16" t="s">
        <v>2806</v>
      </c>
      <c r="B745" s="2">
        <v>125000</v>
      </c>
      <c r="C745" s="2">
        <f t="shared" si="145"/>
        <v>2187.5</v>
      </c>
      <c r="D745" s="44">
        <v>45457</v>
      </c>
      <c r="E745" s="3" t="s">
        <v>11</v>
      </c>
      <c r="F745" s="49" t="s">
        <v>28</v>
      </c>
      <c r="G745" s="3"/>
      <c r="I745" s="21" t="s">
        <v>30</v>
      </c>
    </row>
    <row r="746" spans="1:10">
      <c r="A746" s="16" t="s">
        <v>2807</v>
      </c>
      <c r="B746" s="2">
        <v>2835000</v>
      </c>
      <c r="C746" s="2">
        <f>0.0125*B746</f>
        <v>35437.5</v>
      </c>
      <c r="D746" s="44">
        <v>45460</v>
      </c>
      <c r="E746" s="3" t="s">
        <v>92</v>
      </c>
      <c r="F746" s="3" t="s">
        <v>12</v>
      </c>
      <c r="G746" s="3"/>
    </row>
    <row r="747" spans="1:10">
      <c r="A747" s="16" t="s">
        <v>2808</v>
      </c>
      <c r="B747" s="2">
        <v>250000</v>
      </c>
      <c r="C747" s="2">
        <f t="shared" ref="C747:C756" si="146">0.0175*B747</f>
        <v>4375</v>
      </c>
      <c r="D747" s="44">
        <v>45460</v>
      </c>
      <c r="E747" s="3" t="s">
        <v>69</v>
      </c>
      <c r="F747" s="3" t="s">
        <v>28</v>
      </c>
      <c r="G747" s="3"/>
      <c r="H747" s="16" t="s">
        <v>13</v>
      </c>
      <c r="I747" s="21" t="s">
        <v>30</v>
      </c>
    </row>
    <row r="748" spans="1:10">
      <c r="A748" s="16" t="s">
        <v>2809</v>
      </c>
      <c r="B748" s="2">
        <v>150000</v>
      </c>
      <c r="C748" s="2">
        <f t="shared" si="146"/>
        <v>2625.0000000000005</v>
      </c>
      <c r="D748" s="44">
        <v>45460</v>
      </c>
      <c r="E748" s="3" t="s">
        <v>69</v>
      </c>
      <c r="F748" s="3" t="s">
        <v>28</v>
      </c>
      <c r="G748" s="3"/>
      <c r="H748" s="16" t="s">
        <v>13</v>
      </c>
    </row>
    <row r="749" spans="1:10">
      <c r="A749" s="16" t="s">
        <v>2810</v>
      </c>
      <c r="B749" s="2">
        <v>60000</v>
      </c>
      <c r="C749" s="2">
        <f t="shared" si="146"/>
        <v>1050</v>
      </c>
      <c r="D749" s="44">
        <v>45460</v>
      </c>
      <c r="E749" s="3" t="s">
        <v>11</v>
      </c>
      <c r="F749" s="3" t="s">
        <v>28</v>
      </c>
      <c r="G749" s="3"/>
    </row>
    <row r="750" spans="1:10">
      <c r="A750" s="16" t="s">
        <v>2811</v>
      </c>
      <c r="B750" s="2">
        <v>5000</v>
      </c>
      <c r="C750" s="2">
        <f t="shared" si="146"/>
        <v>87.500000000000014</v>
      </c>
      <c r="D750" s="44">
        <v>45460</v>
      </c>
      <c r="E750" s="3" t="s">
        <v>15</v>
      </c>
      <c r="F750" s="3" t="s">
        <v>28</v>
      </c>
      <c r="G750" s="3"/>
      <c r="H750" s="16" t="s">
        <v>2116</v>
      </c>
      <c r="J750" s="16">
        <v>60</v>
      </c>
    </row>
    <row r="751" spans="1:10">
      <c r="A751" s="16" t="s">
        <v>2812</v>
      </c>
      <c r="B751" s="2">
        <v>50000</v>
      </c>
      <c r="C751" s="2">
        <f t="shared" si="146"/>
        <v>875.00000000000011</v>
      </c>
      <c r="D751" s="44">
        <v>45461</v>
      </c>
      <c r="E751" s="3" t="s">
        <v>11</v>
      </c>
      <c r="F751" s="3" t="s">
        <v>28</v>
      </c>
      <c r="G751" s="3"/>
      <c r="I751" s="21" t="s">
        <v>30</v>
      </c>
    </row>
    <row r="752" spans="1:10">
      <c r="A752" s="16" t="s">
        <v>2813</v>
      </c>
      <c r="B752" s="2">
        <v>400000</v>
      </c>
      <c r="C752" s="2">
        <f t="shared" si="146"/>
        <v>7000.0000000000009</v>
      </c>
      <c r="D752" s="44">
        <v>45461</v>
      </c>
      <c r="E752" s="3" t="s">
        <v>21</v>
      </c>
      <c r="F752" s="3" t="s">
        <v>28</v>
      </c>
      <c r="G752" s="3"/>
      <c r="H752" s="16" t="s">
        <v>13</v>
      </c>
    </row>
    <row r="753" spans="1:10">
      <c r="A753" s="16" t="s">
        <v>2814</v>
      </c>
      <c r="B753" s="2">
        <v>200000</v>
      </c>
      <c r="C753" s="2">
        <f t="shared" si="146"/>
        <v>3500.0000000000005</v>
      </c>
      <c r="D753" s="44">
        <v>45461</v>
      </c>
      <c r="E753" s="3" t="s">
        <v>15</v>
      </c>
      <c r="F753" s="3" t="s">
        <v>28</v>
      </c>
      <c r="G753" s="3"/>
      <c r="H753" s="16" t="s">
        <v>2265</v>
      </c>
      <c r="I753" s="21" t="s">
        <v>30</v>
      </c>
      <c r="J753" s="16">
        <v>1400</v>
      </c>
    </row>
    <row r="754" spans="1:10">
      <c r="A754" s="16" t="s">
        <v>2815</v>
      </c>
      <c r="B754" s="2">
        <v>200000</v>
      </c>
      <c r="C754" s="2">
        <f t="shared" si="146"/>
        <v>3500.0000000000005</v>
      </c>
      <c r="D754" s="44">
        <v>45461</v>
      </c>
      <c r="E754" s="3" t="s">
        <v>69</v>
      </c>
      <c r="F754" s="3" t="s">
        <v>28</v>
      </c>
      <c r="G754" s="3"/>
      <c r="H754" s="16" t="s">
        <v>13</v>
      </c>
      <c r="I754" s="21" t="s">
        <v>30</v>
      </c>
    </row>
    <row r="755" spans="1:10">
      <c r="A755" s="16" t="s">
        <v>2816</v>
      </c>
      <c r="B755" s="2">
        <v>140000</v>
      </c>
      <c r="C755" s="2">
        <f t="shared" si="146"/>
        <v>2450.0000000000005</v>
      </c>
      <c r="D755" s="44">
        <v>45461</v>
      </c>
      <c r="E755" s="32" t="s">
        <v>60</v>
      </c>
      <c r="F755" s="3" t="s">
        <v>28</v>
      </c>
      <c r="G755" s="3"/>
      <c r="I755" s="21" t="s">
        <v>30</v>
      </c>
    </row>
    <row r="756" spans="1:10">
      <c r="A756" s="16" t="s">
        <v>2817</v>
      </c>
      <c r="B756" s="2">
        <v>25000</v>
      </c>
      <c r="C756" s="2">
        <f t="shared" si="146"/>
        <v>437.50000000000006</v>
      </c>
      <c r="D756" s="44">
        <v>45462</v>
      </c>
      <c r="E756" s="3" t="s">
        <v>15</v>
      </c>
      <c r="F756" s="3" t="s">
        <v>28</v>
      </c>
      <c r="G756" s="3"/>
      <c r="H756" s="16" t="s">
        <v>2126</v>
      </c>
      <c r="I756" s="21" t="s">
        <v>30</v>
      </c>
      <c r="J756" s="16">
        <v>200</v>
      </c>
    </row>
    <row r="757" spans="1:10">
      <c r="A757" s="16" t="s">
        <v>481</v>
      </c>
      <c r="B757" s="2">
        <v>750000</v>
      </c>
      <c r="C757" s="2">
        <f t="shared" ref="C757:C761" si="147">0.0125*B757</f>
        <v>9375</v>
      </c>
      <c r="D757" s="44">
        <v>45462</v>
      </c>
      <c r="E757" s="3" t="s">
        <v>11</v>
      </c>
      <c r="F757" s="3" t="s">
        <v>12</v>
      </c>
      <c r="G757" s="3"/>
    </row>
    <row r="758" spans="1:10">
      <c r="A758" s="16" t="s">
        <v>86</v>
      </c>
      <c r="B758" s="2">
        <v>300000</v>
      </c>
      <c r="C758" s="2">
        <f t="shared" si="147"/>
        <v>3750</v>
      </c>
      <c r="D758" s="44">
        <v>45462</v>
      </c>
      <c r="E758" s="3" t="s">
        <v>11</v>
      </c>
      <c r="F758" s="3" t="s">
        <v>12</v>
      </c>
      <c r="G758" s="3"/>
    </row>
    <row r="759" spans="1:10">
      <c r="A759" s="16" t="s">
        <v>2818</v>
      </c>
      <c r="B759" s="2">
        <v>250000</v>
      </c>
      <c r="C759" s="2">
        <f t="shared" si="147"/>
        <v>3125</v>
      </c>
      <c r="D759" s="44">
        <v>45463</v>
      </c>
      <c r="E759" s="3" t="s">
        <v>92</v>
      </c>
      <c r="F759" s="3" t="s">
        <v>12</v>
      </c>
      <c r="G759" s="3"/>
    </row>
    <row r="760" spans="1:10">
      <c r="A760" s="16" t="s">
        <v>134</v>
      </c>
      <c r="B760" s="2">
        <v>250000</v>
      </c>
      <c r="C760" s="2">
        <f t="shared" si="147"/>
        <v>3125</v>
      </c>
      <c r="D760" s="44">
        <v>45463</v>
      </c>
      <c r="E760" s="3" t="s">
        <v>345</v>
      </c>
      <c r="F760" s="3" t="s">
        <v>12</v>
      </c>
      <c r="G760" s="3"/>
      <c r="H760" s="16" t="s">
        <v>22</v>
      </c>
    </row>
    <row r="761" spans="1:10">
      <c r="A761" s="16" t="s">
        <v>870</v>
      </c>
      <c r="B761" s="17">
        <v>800000</v>
      </c>
      <c r="C761" s="2">
        <f t="shared" si="147"/>
        <v>10000</v>
      </c>
      <c r="D761" s="44">
        <v>45463</v>
      </c>
      <c r="E761" s="3" t="s">
        <v>2157</v>
      </c>
      <c r="F761" s="3" t="s">
        <v>12</v>
      </c>
      <c r="G761" s="3"/>
      <c r="H761" s="16" t="s">
        <v>22</v>
      </c>
    </row>
    <row r="762" spans="1:10">
      <c r="A762" s="16" t="s">
        <v>2819</v>
      </c>
      <c r="B762" s="17">
        <v>100000</v>
      </c>
      <c r="C762" s="2">
        <f t="shared" ref="C762:C768" si="148">0.0175*B762</f>
        <v>1750.0000000000002</v>
      </c>
      <c r="D762" s="44">
        <v>45463</v>
      </c>
      <c r="E762" s="3" t="s">
        <v>11</v>
      </c>
      <c r="F762" s="3" t="s">
        <v>28</v>
      </c>
      <c r="G762" s="3"/>
      <c r="I762" s="21" t="s">
        <v>30</v>
      </c>
    </row>
    <row r="763" spans="1:10">
      <c r="A763" s="16" t="s">
        <v>2548</v>
      </c>
      <c r="B763" s="17">
        <v>50000</v>
      </c>
      <c r="C763" s="2">
        <f t="shared" si="148"/>
        <v>875.00000000000011</v>
      </c>
      <c r="D763" s="44">
        <v>45463</v>
      </c>
      <c r="E763" s="3" t="s">
        <v>73</v>
      </c>
      <c r="F763" s="3" t="s">
        <v>28</v>
      </c>
      <c r="G763" s="3"/>
    </row>
    <row r="764" spans="1:10">
      <c r="A764" s="16" t="s">
        <v>2820</v>
      </c>
      <c r="B764" s="17">
        <v>20000</v>
      </c>
      <c r="C764" s="2">
        <f t="shared" si="148"/>
        <v>350.00000000000006</v>
      </c>
      <c r="D764" s="44">
        <v>45463</v>
      </c>
      <c r="E764" s="3" t="s">
        <v>11</v>
      </c>
      <c r="F764" s="3" t="s">
        <v>28</v>
      </c>
      <c r="G764" s="3"/>
      <c r="I764" s="21" t="s">
        <v>30</v>
      </c>
    </row>
    <row r="765" spans="1:10">
      <c r="A765" s="16" t="s">
        <v>2821</v>
      </c>
      <c r="B765" s="17">
        <v>60000</v>
      </c>
      <c r="C765" s="2">
        <f t="shared" si="148"/>
        <v>1050</v>
      </c>
      <c r="D765" s="44">
        <v>45463</v>
      </c>
      <c r="E765" s="3" t="s">
        <v>11</v>
      </c>
      <c r="F765" s="3" t="s">
        <v>28</v>
      </c>
      <c r="G765" s="3"/>
      <c r="I765" s="21" t="s">
        <v>30</v>
      </c>
    </row>
    <row r="766" spans="1:10">
      <c r="A766" s="16" t="s">
        <v>2822</v>
      </c>
      <c r="B766" s="17">
        <v>150000</v>
      </c>
      <c r="C766" s="2">
        <f t="shared" si="148"/>
        <v>2625.0000000000005</v>
      </c>
      <c r="D766" s="44">
        <v>45463</v>
      </c>
      <c r="E766" s="3" t="s">
        <v>11</v>
      </c>
      <c r="F766" s="3" t="s">
        <v>28</v>
      </c>
      <c r="G766" s="3"/>
      <c r="I766" s="21" t="s">
        <v>30</v>
      </c>
    </row>
    <row r="767" spans="1:10">
      <c r="A767" s="16" t="s">
        <v>2823</v>
      </c>
      <c r="B767" s="17">
        <v>10000</v>
      </c>
      <c r="C767" s="2">
        <f t="shared" si="148"/>
        <v>175.00000000000003</v>
      </c>
      <c r="D767" s="44">
        <v>45463</v>
      </c>
      <c r="E767" s="3" t="s">
        <v>11</v>
      </c>
      <c r="F767" s="3" t="s">
        <v>28</v>
      </c>
      <c r="G767" s="3"/>
      <c r="I767" s="21" t="s">
        <v>30</v>
      </c>
    </row>
    <row r="768" spans="1:10">
      <c r="A768" s="16" t="s">
        <v>2824</v>
      </c>
      <c r="B768" s="2">
        <v>250000</v>
      </c>
      <c r="C768" s="2">
        <f t="shared" si="148"/>
        <v>4375</v>
      </c>
      <c r="D768" s="44">
        <v>45463</v>
      </c>
      <c r="E768" s="3" t="s">
        <v>11</v>
      </c>
      <c r="F768" s="3" t="s">
        <v>28</v>
      </c>
      <c r="G768" s="3"/>
      <c r="I768" s="21" t="s">
        <v>30</v>
      </c>
    </row>
    <row r="769" spans="1:10">
      <c r="A769" s="16" t="s">
        <v>2825</v>
      </c>
      <c r="B769" s="17">
        <v>150000</v>
      </c>
      <c r="C769" s="2">
        <f t="shared" ref="C769:C770" si="149">0.0125*B769</f>
        <v>1875</v>
      </c>
      <c r="D769" s="44">
        <v>45463</v>
      </c>
      <c r="E769" s="3" t="s">
        <v>11</v>
      </c>
      <c r="F769" s="3" t="s">
        <v>12</v>
      </c>
      <c r="G769" s="3"/>
    </row>
    <row r="770" spans="1:10">
      <c r="A770" s="16" t="s">
        <v>630</v>
      </c>
      <c r="B770" s="17">
        <v>40000</v>
      </c>
      <c r="C770" s="2">
        <f t="shared" si="149"/>
        <v>500</v>
      </c>
      <c r="D770" s="44">
        <v>45463</v>
      </c>
      <c r="E770" s="3" t="s">
        <v>11</v>
      </c>
      <c r="F770" s="3" t="s">
        <v>12</v>
      </c>
      <c r="G770" s="3"/>
    </row>
    <row r="771" spans="1:10">
      <c r="A771" s="16" t="s">
        <v>2826</v>
      </c>
      <c r="B771" s="2">
        <v>150000</v>
      </c>
      <c r="C771" s="2">
        <f t="shared" ref="C771:C778" si="150">0.0175*B771</f>
        <v>2625.0000000000005</v>
      </c>
      <c r="D771" s="44">
        <v>45464</v>
      </c>
      <c r="E771" s="3" t="s">
        <v>11</v>
      </c>
      <c r="F771" s="3" t="s">
        <v>28</v>
      </c>
      <c r="G771" s="3"/>
      <c r="I771" s="21" t="s">
        <v>30</v>
      </c>
    </row>
    <row r="772" spans="1:10">
      <c r="A772" s="16" t="s">
        <v>2827</v>
      </c>
      <c r="B772" s="2">
        <v>150000</v>
      </c>
      <c r="C772" s="2">
        <f t="shared" si="150"/>
        <v>2625.0000000000005</v>
      </c>
      <c r="D772" s="44">
        <v>45464</v>
      </c>
      <c r="E772" s="3" t="s">
        <v>11</v>
      </c>
      <c r="F772" s="3" t="s">
        <v>28</v>
      </c>
      <c r="G772" s="3"/>
      <c r="I772" s="21" t="s">
        <v>30</v>
      </c>
    </row>
    <row r="773" spans="1:10">
      <c r="A773" s="16" t="s">
        <v>2828</v>
      </c>
      <c r="B773" s="2">
        <v>56000</v>
      </c>
      <c r="C773" s="2">
        <f t="shared" si="150"/>
        <v>980.00000000000011</v>
      </c>
      <c r="D773" s="44">
        <v>45464</v>
      </c>
      <c r="E773" s="32" t="s">
        <v>60</v>
      </c>
      <c r="F773" s="3" t="s">
        <v>28</v>
      </c>
      <c r="G773" s="3"/>
      <c r="I773" s="21" t="s">
        <v>30</v>
      </c>
    </row>
    <row r="774" spans="1:10">
      <c r="A774" s="16" t="s">
        <v>2829</v>
      </c>
      <c r="B774" s="2">
        <v>65000</v>
      </c>
      <c r="C774" s="2">
        <f t="shared" si="150"/>
        <v>1137.5</v>
      </c>
      <c r="D774" s="44">
        <v>45464</v>
      </c>
      <c r="E774" s="3" t="s">
        <v>11</v>
      </c>
      <c r="F774" s="3" t="s">
        <v>28</v>
      </c>
      <c r="G774" s="3"/>
      <c r="I774" s="21" t="s">
        <v>30</v>
      </c>
    </row>
    <row r="775" spans="1:10">
      <c r="A775" s="16" t="s">
        <v>2830</v>
      </c>
      <c r="B775" s="2">
        <v>800000</v>
      </c>
      <c r="C775" s="2">
        <f t="shared" si="150"/>
        <v>14000.000000000002</v>
      </c>
      <c r="D775" s="44">
        <v>45464</v>
      </c>
      <c r="E775" s="3" t="s">
        <v>69</v>
      </c>
      <c r="F775" s="3" t="s">
        <v>28</v>
      </c>
      <c r="G775" s="3"/>
      <c r="H775" s="16" t="s">
        <v>13</v>
      </c>
      <c r="I775" s="21" t="s">
        <v>30</v>
      </c>
    </row>
    <row r="776" spans="1:10">
      <c r="A776" s="16" t="s">
        <v>2831</v>
      </c>
      <c r="B776" s="17">
        <v>100000</v>
      </c>
      <c r="C776" s="2">
        <f t="shared" si="150"/>
        <v>1750.0000000000002</v>
      </c>
      <c r="D776" s="44">
        <v>45467</v>
      </c>
      <c r="E776" s="3" t="s">
        <v>345</v>
      </c>
      <c r="F776" s="3" t="s">
        <v>28</v>
      </c>
      <c r="G776" s="3"/>
      <c r="H776" s="16" t="s">
        <v>13</v>
      </c>
      <c r="I776" s="21" t="s">
        <v>30</v>
      </c>
    </row>
    <row r="777" spans="1:10">
      <c r="A777" s="16" t="s">
        <v>2832</v>
      </c>
      <c r="B777" s="17">
        <v>275000</v>
      </c>
      <c r="C777" s="2">
        <f t="shared" si="150"/>
        <v>4812.5000000000009</v>
      </c>
      <c r="D777" s="44">
        <v>45467</v>
      </c>
      <c r="E777" s="3" t="s">
        <v>2833</v>
      </c>
      <c r="F777" s="3" t="s">
        <v>28</v>
      </c>
      <c r="G777" s="3"/>
    </row>
    <row r="778" spans="1:10">
      <c r="A778" s="16" t="s">
        <v>2834</v>
      </c>
      <c r="B778" s="2">
        <v>40000</v>
      </c>
      <c r="C778" s="2">
        <f t="shared" si="150"/>
        <v>700.00000000000011</v>
      </c>
      <c r="D778" s="44">
        <v>45467</v>
      </c>
      <c r="E778" s="3" t="s">
        <v>92</v>
      </c>
      <c r="F778" s="3" t="s">
        <v>28</v>
      </c>
      <c r="G778" s="3"/>
      <c r="I778" s="21" t="s">
        <v>30</v>
      </c>
    </row>
    <row r="779" spans="1:10">
      <c r="A779" s="16" t="s">
        <v>2835</v>
      </c>
      <c r="B779" s="2">
        <v>300000</v>
      </c>
      <c r="C779" s="2">
        <f>0.0175*290000</f>
        <v>5075.0000000000009</v>
      </c>
      <c r="D779" s="44">
        <v>45467</v>
      </c>
      <c r="E779" s="3" t="s">
        <v>24</v>
      </c>
      <c r="F779" s="3" t="s">
        <v>28</v>
      </c>
      <c r="G779" s="3"/>
      <c r="H779" s="16" t="s">
        <v>2647</v>
      </c>
      <c r="I779" s="21" t="s">
        <v>30</v>
      </c>
    </row>
    <row r="780" spans="1:10">
      <c r="A780" s="16" t="s">
        <v>2836</v>
      </c>
      <c r="B780" s="2">
        <v>150000</v>
      </c>
      <c r="C780" s="2">
        <f t="shared" ref="C780:C782" si="151">0.0125*B780</f>
        <v>1875</v>
      </c>
      <c r="D780" s="44">
        <v>45467</v>
      </c>
      <c r="E780" s="3" t="s">
        <v>11</v>
      </c>
      <c r="F780" s="3" t="s">
        <v>12</v>
      </c>
      <c r="G780" s="3"/>
    </row>
    <row r="781" spans="1:10">
      <c r="A781" s="16" t="s">
        <v>2837</v>
      </c>
      <c r="B781" s="2">
        <v>75000</v>
      </c>
      <c r="C781" s="2">
        <f t="shared" si="151"/>
        <v>937.5</v>
      </c>
      <c r="D781" s="44">
        <v>45467</v>
      </c>
      <c r="E781" s="3" t="s">
        <v>69</v>
      </c>
      <c r="F781" s="3" t="s">
        <v>12</v>
      </c>
      <c r="G781" s="3"/>
      <c r="H781" s="16" t="s">
        <v>22</v>
      </c>
    </row>
    <row r="782" spans="1:10">
      <c r="A782" s="24" t="s">
        <v>2838</v>
      </c>
      <c r="B782" s="25">
        <v>40000</v>
      </c>
      <c r="C782" s="25">
        <f t="shared" si="151"/>
        <v>500</v>
      </c>
      <c r="D782" s="44">
        <v>45468</v>
      </c>
      <c r="E782" s="3" t="s">
        <v>15</v>
      </c>
      <c r="F782" s="3" t="s">
        <v>12</v>
      </c>
      <c r="G782" s="3"/>
      <c r="H782" s="16" t="s">
        <v>54</v>
      </c>
      <c r="J782" s="16">
        <v>240</v>
      </c>
    </row>
    <row r="783" spans="1:10">
      <c r="A783" s="16" t="s">
        <v>2839</v>
      </c>
      <c r="B783" s="2">
        <v>40000</v>
      </c>
      <c r="C783" s="2">
        <f>0.0175*B783</f>
        <v>700.00000000000011</v>
      </c>
      <c r="D783" s="44">
        <v>45468</v>
      </c>
      <c r="E783" s="3" t="s">
        <v>2328</v>
      </c>
      <c r="F783" s="3" t="s">
        <v>28</v>
      </c>
      <c r="G783" s="3"/>
      <c r="H783" s="16" t="s">
        <v>13</v>
      </c>
    </row>
    <row r="784" spans="1:10">
      <c r="A784" s="16" t="s">
        <v>2840</v>
      </c>
      <c r="B784" s="2">
        <v>100000</v>
      </c>
      <c r="C784" s="2">
        <f>0.0125*B784</f>
        <v>1250</v>
      </c>
      <c r="D784" s="44">
        <v>45468</v>
      </c>
      <c r="E784" s="3" t="s">
        <v>11</v>
      </c>
      <c r="F784" s="3" t="s">
        <v>12</v>
      </c>
      <c r="G784" s="3"/>
    </row>
    <row r="785" spans="1:10">
      <c r="A785" s="16" t="s">
        <v>2841</v>
      </c>
      <c r="B785" s="2">
        <v>125000</v>
      </c>
      <c r="C785" s="2">
        <f>0.0125*115000</f>
        <v>1437.5</v>
      </c>
      <c r="D785" s="44">
        <v>45468</v>
      </c>
      <c r="E785" s="3" t="s">
        <v>24</v>
      </c>
      <c r="F785" s="3" t="s">
        <v>2842</v>
      </c>
      <c r="G785" s="3"/>
      <c r="H785" s="16" t="s">
        <v>2843</v>
      </c>
    </row>
    <row r="786" spans="1:10">
      <c r="A786" s="16" t="s">
        <v>2844</v>
      </c>
      <c r="B786" s="2">
        <v>90000</v>
      </c>
      <c r="C786" s="2">
        <f t="shared" ref="C786:C788" si="152">0.0125*B786</f>
        <v>1125</v>
      </c>
      <c r="D786" s="44">
        <v>45469</v>
      </c>
      <c r="E786" s="3" t="s">
        <v>75</v>
      </c>
      <c r="F786" s="3" t="s">
        <v>12</v>
      </c>
      <c r="G786" s="3"/>
    </row>
    <row r="787" spans="1:10">
      <c r="A787" s="16" t="s">
        <v>473</v>
      </c>
      <c r="B787" s="2">
        <v>70000</v>
      </c>
      <c r="C787" s="2">
        <f t="shared" si="152"/>
        <v>875</v>
      </c>
      <c r="D787" s="44">
        <v>45469</v>
      </c>
      <c r="E787" s="3" t="s">
        <v>73</v>
      </c>
      <c r="F787" s="3" t="s">
        <v>12</v>
      </c>
      <c r="G787" s="3"/>
    </row>
    <row r="788" spans="1:10">
      <c r="A788" s="16" t="s">
        <v>2652</v>
      </c>
      <c r="B788" s="2">
        <v>115000</v>
      </c>
      <c r="C788" s="2">
        <f t="shared" si="152"/>
        <v>1437.5</v>
      </c>
      <c r="D788" s="44">
        <v>45469</v>
      </c>
      <c r="E788" s="3" t="s">
        <v>11</v>
      </c>
      <c r="F788" s="3" t="s">
        <v>12</v>
      </c>
      <c r="G788" s="3"/>
    </row>
    <row r="789" spans="1:10">
      <c r="A789" s="16" t="s">
        <v>2845</v>
      </c>
      <c r="B789" s="2">
        <v>155000</v>
      </c>
      <c r="C789" s="2">
        <f>0.0175*145000</f>
        <v>2537.5000000000005</v>
      </c>
      <c r="D789" s="44">
        <v>45469</v>
      </c>
      <c r="E789" s="3" t="s">
        <v>24</v>
      </c>
      <c r="F789" s="3" t="s">
        <v>28</v>
      </c>
      <c r="G789" s="3"/>
      <c r="H789" s="16" t="s">
        <v>2647</v>
      </c>
      <c r="I789" s="21" t="s">
        <v>30</v>
      </c>
    </row>
    <row r="790" spans="1:10">
      <c r="A790" s="16" t="s">
        <v>2846</v>
      </c>
      <c r="B790" s="2">
        <v>15000</v>
      </c>
      <c r="C790" s="2">
        <f>0.0125*B790</f>
        <v>187.5</v>
      </c>
      <c r="D790" s="44">
        <v>45469</v>
      </c>
      <c r="E790" s="3" t="s">
        <v>15</v>
      </c>
      <c r="F790" s="3" t="s">
        <v>12</v>
      </c>
      <c r="G790" s="3"/>
      <c r="H790" s="16" t="s">
        <v>54</v>
      </c>
      <c r="J790" s="16">
        <v>90</v>
      </c>
    </row>
    <row r="791" spans="1:10">
      <c r="A791" s="16" t="s">
        <v>824</v>
      </c>
      <c r="B791" s="2">
        <v>115000</v>
      </c>
      <c r="C791" s="2">
        <f>0.0175*B791</f>
        <v>2012.5000000000002</v>
      </c>
      <c r="D791" s="44">
        <v>45469</v>
      </c>
      <c r="E791" s="32" t="s">
        <v>60</v>
      </c>
      <c r="F791" s="3" t="s">
        <v>28</v>
      </c>
      <c r="G791" s="3"/>
      <c r="I791" s="21" t="s">
        <v>30</v>
      </c>
    </row>
    <row r="792" spans="1:10">
      <c r="A792" s="16" t="s">
        <v>2847</v>
      </c>
      <c r="B792" s="2">
        <v>500000</v>
      </c>
      <c r="C792" s="2">
        <f>0.0125*B792</f>
        <v>6250</v>
      </c>
      <c r="D792" s="44">
        <v>45469</v>
      </c>
      <c r="E792" s="3" t="s">
        <v>11</v>
      </c>
      <c r="F792" s="3" t="s">
        <v>12</v>
      </c>
      <c r="G792" s="3"/>
    </row>
    <row r="793" spans="1:10">
      <c r="A793" s="16" t="s">
        <v>2848</v>
      </c>
      <c r="B793" s="2">
        <v>7500</v>
      </c>
      <c r="C793" s="2">
        <f t="shared" ref="C793:C796" si="153">0.0175*B793</f>
        <v>131.25</v>
      </c>
      <c r="D793" s="44">
        <v>45469</v>
      </c>
      <c r="E793" s="3" t="s">
        <v>15</v>
      </c>
      <c r="F793" s="3" t="s">
        <v>28</v>
      </c>
      <c r="G793" s="3"/>
      <c r="H793" s="16" t="s">
        <v>2116</v>
      </c>
      <c r="J793" s="16">
        <v>90</v>
      </c>
    </row>
    <row r="794" spans="1:10">
      <c r="A794" s="16" t="s">
        <v>586</v>
      </c>
      <c r="B794" s="2">
        <v>200000</v>
      </c>
      <c r="C794" s="2">
        <f t="shared" si="153"/>
        <v>3500.0000000000005</v>
      </c>
      <c r="D794" s="44">
        <v>45470</v>
      </c>
      <c r="E794" s="32" t="s">
        <v>60</v>
      </c>
      <c r="F794" s="3" t="s">
        <v>28</v>
      </c>
      <c r="G794" s="3"/>
      <c r="I794" s="21" t="s">
        <v>30</v>
      </c>
    </row>
    <row r="795" spans="1:10">
      <c r="A795" s="16" t="s">
        <v>2849</v>
      </c>
      <c r="B795" s="2">
        <v>150000</v>
      </c>
      <c r="C795" s="2">
        <f t="shared" si="153"/>
        <v>2625.0000000000005</v>
      </c>
      <c r="D795" s="44">
        <v>45471</v>
      </c>
      <c r="E795" s="3" t="s">
        <v>11</v>
      </c>
      <c r="F795" s="3" t="s">
        <v>28</v>
      </c>
      <c r="G795" s="3"/>
      <c r="I795" s="21" t="s">
        <v>30</v>
      </c>
    </row>
    <row r="796" spans="1:10">
      <c r="A796" s="16" t="s">
        <v>2850</v>
      </c>
      <c r="B796" s="2">
        <v>200000</v>
      </c>
      <c r="C796" s="2">
        <f t="shared" si="153"/>
        <v>3500.0000000000005</v>
      </c>
      <c r="D796" s="44">
        <v>45471</v>
      </c>
      <c r="E796" s="3" t="s">
        <v>2851</v>
      </c>
      <c r="F796" s="3" t="s">
        <v>12</v>
      </c>
      <c r="G796" s="3"/>
      <c r="H796" s="16" t="s">
        <v>22</v>
      </c>
    </row>
    <row r="797" spans="1:10">
      <c r="A797" s="16" t="s">
        <v>2852</v>
      </c>
      <c r="B797" s="2">
        <v>90000</v>
      </c>
      <c r="C797" s="2">
        <f t="shared" ref="C797:C798" si="154">0.0125*B797</f>
        <v>1125</v>
      </c>
      <c r="D797" s="44">
        <v>45471</v>
      </c>
      <c r="E797" s="3" t="s">
        <v>11</v>
      </c>
      <c r="F797" s="3" t="s">
        <v>12</v>
      </c>
      <c r="G797" s="3"/>
    </row>
    <row r="798" spans="1:10">
      <c r="A798" s="16" t="s">
        <v>908</v>
      </c>
      <c r="B798" s="17">
        <v>35000</v>
      </c>
      <c r="C798" s="2">
        <f t="shared" si="154"/>
        <v>437.5</v>
      </c>
      <c r="D798" s="44">
        <v>45471</v>
      </c>
      <c r="E798" s="3" t="s">
        <v>11</v>
      </c>
      <c r="F798" s="3" t="s">
        <v>12</v>
      </c>
      <c r="G798" s="3"/>
    </row>
    <row r="799" spans="1:10">
      <c r="A799" s="16" t="s">
        <v>108</v>
      </c>
      <c r="B799" s="17">
        <v>52500</v>
      </c>
      <c r="C799" s="2">
        <f>0.0175*B799</f>
        <v>918.75000000000011</v>
      </c>
      <c r="D799" s="44">
        <v>45471</v>
      </c>
      <c r="E799" s="32" t="s">
        <v>60</v>
      </c>
      <c r="F799" s="3" t="s">
        <v>67</v>
      </c>
      <c r="G799" s="3"/>
      <c r="H799" s="16" t="s">
        <v>2092</v>
      </c>
      <c r="I799" s="21" t="s">
        <v>30</v>
      </c>
    </row>
    <row r="800" spans="1:10">
      <c r="A800" s="16" t="s">
        <v>2853</v>
      </c>
      <c r="B800" s="17">
        <v>175000</v>
      </c>
      <c r="C800" s="2">
        <f t="shared" ref="C800:C801" si="155">0.0125*B800</f>
        <v>2187.5</v>
      </c>
      <c r="D800" s="44">
        <v>45471</v>
      </c>
      <c r="E800" s="3" t="s">
        <v>11</v>
      </c>
      <c r="F800" s="3" t="s">
        <v>12</v>
      </c>
      <c r="G800" s="3"/>
    </row>
    <row r="801" spans="1:12">
      <c r="A801" s="16" t="s">
        <v>2854</v>
      </c>
      <c r="B801" s="17">
        <v>170000</v>
      </c>
      <c r="C801" s="2">
        <f t="shared" si="155"/>
        <v>2125</v>
      </c>
      <c r="D801" s="44">
        <v>45471</v>
      </c>
      <c r="E801" s="3" t="s">
        <v>11</v>
      </c>
      <c r="F801" s="3" t="s">
        <v>12</v>
      </c>
      <c r="G801" s="3"/>
    </row>
    <row r="802" spans="1:12">
      <c r="A802" s="16" t="s">
        <v>2539</v>
      </c>
      <c r="B802" s="17">
        <v>80000</v>
      </c>
      <c r="C802" s="2">
        <f>0.0175*B802</f>
        <v>1400.0000000000002</v>
      </c>
      <c r="D802" s="44">
        <v>45471</v>
      </c>
      <c r="E802" s="32" t="s">
        <v>60</v>
      </c>
      <c r="F802" s="3" t="s">
        <v>67</v>
      </c>
      <c r="G802" s="3"/>
      <c r="H802" s="16" t="s">
        <v>2092</v>
      </c>
      <c r="I802" s="21" t="s">
        <v>30</v>
      </c>
    </row>
    <row r="803" spans="1:12">
      <c r="A803" s="16" t="s">
        <v>2855</v>
      </c>
      <c r="B803" s="17">
        <v>50000</v>
      </c>
      <c r="C803" s="2">
        <f>0.0125*B803</f>
        <v>625</v>
      </c>
      <c r="D803" s="44">
        <v>45471</v>
      </c>
      <c r="E803" s="3" t="s">
        <v>11</v>
      </c>
      <c r="F803" s="3" t="s">
        <v>12</v>
      </c>
      <c r="G803" s="3"/>
    </row>
    <row r="804" spans="1:12">
      <c r="A804" s="16" t="s">
        <v>2856</v>
      </c>
      <c r="B804" s="17">
        <v>30000</v>
      </c>
      <c r="C804" s="2">
        <f>0.0175*B804</f>
        <v>525</v>
      </c>
      <c r="D804" s="44">
        <v>45471</v>
      </c>
      <c r="E804" s="3" t="s">
        <v>11</v>
      </c>
      <c r="F804" s="3" t="s">
        <v>28</v>
      </c>
      <c r="G804" s="3"/>
    </row>
    <row r="805" spans="1:12">
      <c r="A805" s="16" t="s">
        <v>2857</v>
      </c>
      <c r="B805" s="17">
        <v>60000</v>
      </c>
      <c r="C805" s="2">
        <f t="shared" ref="C805:C806" si="156">0.0125*B805</f>
        <v>750</v>
      </c>
      <c r="D805" s="44">
        <v>45471</v>
      </c>
      <c r="E805" s="3" t="s">
        <v>11</v>
      </c>
      <c r="F805" s="3" t="s">
        <v>12</v>
      </c>
      <c r="G805" s="3"/>
    </row>
    <row r="806" spans="1:12">
      <c r="A806" s="16" t="s">
        <v>2858</v>
      </c>
      <c r="B806" s="2">
        <v>200000</v>
      </c>
      <c r="C806" s="2">
        <f t="shared" si="156"/>
        <v>2500</v>
      </c>
      <c r="D806" s="44">
        <v>45471</v>
      </c>
      <c r="E806" s="3" t="s">
        <v>345</v>
      </c>
      <c r="F806" s="3" t="s">
        <v>12</v>
      </c>
      <c r="G806" s="3"/>
      <c r="H806" s="16" t="s">
        <v>22</v>
      </c>
    </row>
    <row r="807" spans="1:12">
      <c r="A807" s="16" t="s">
        <v>2859</v>
      </c>
      <c r="B807" s="2">
        <v>250000</v>
      </c>
      <c r="C807" s="2">
        <f t="shared" ref="C807:C809" si="157">0.0175*B807</f>
        <v>4375</v>
      </c>
      <c r="D807" s="44">
        <v>45471</v>
      </c>
      <c r="E807" s="3" t="s">
        <v>2860</v>
      </c>
      <c r="F807" s="3" t="s">
        <v>28</v>
      </c>
      <c r="G807" s="3"/>
      <c r="I807" s="21" t="s">
        <v>30</v>
      </c>
    </row>
    <row r="808" spans="1:12">
      <c r="A808" s="16" t="s">
        <v>2861</v>
      </c>
      <c r="B808" s="2">
        <v>220000</v>
      </c>
      <c r="C808" s="2">
        <f t="shared" si="157"/>
        <v>3850.0000000000005</v>
      </c>
      <c r="D808" s="44">
        <v>45471</v>
      </c>
      <c r="E808" s="3" t="s">
        <v>69</v>
      </c>
      <c r="F808" s="3" t="s">
        <v>28</v>
      </c>
      <c r="G808" s="3"/>
      <c r="H808" s="16" t="s">
        <v>2491</v>
      </c>
      <c r="I808" s="21" t="s">
        <v>30</v>
      </c>
    </row>
    <row r="809" spans="1:12">
      <c r="A809" s="16" t="s">
        <v>2862</v>
      </c>
      <c r="B809" s="2">
        <v>120000</v>
      </c>
      <c r="C809" s="2">
        <f t="shared" si="157"/>
        <v>2100</v>
      </c>
      <c r="D809" s="44">
        <v>45471</v>
      </c>
      <c r="E809" s="3" t="s">
        <v>69</v>
      </c>
      <c r="F809" s="3" t="s">
        <v>28</v>
      </c>
      <c r="G809" s="3"/>
    </row>
    <row r="810" spans="1:12">
      <c r="A810" s="16" t="s">
        <v>2863</v>
      </c>
      <c r="B810" s="2">
        <v>215000</v>
      </c>
      <c r="C810" s="2">
        <f t="shared" ref="C810:C813" si="158">0.0125*B810</f>
        <v>2687.5</v>
      </c>
      <c r="D810" s="44">
        <v>45471</v>
      </c>
      <c r="E810" s="3" t="s">
        <v>11</v>
      </c>
      <c r="F810" s="3" t="s">
        <v>12</v>
      </c>
      <c r="G810" s="3"/>
    </row>
    <row r="811" spans="1:12">
      <c r="A811" s="16" t="s">
        <v>2864</v>
      </c>
      <c r="B811" s="2">
        <v>260000</v>
      </c>
      <c r="C811" s="2">
        <f t="shared" si="158"/>
        <v>3250</v>
      </c>
      <c r="D811" s="44">
        <v>45471</v>
      </c>
      <c r="E811" s="3" t="s">
        <v>24</v>
      </c>
      <c r="F811" s="3" t="s">
        <v>12</v>
      </c>
      <c r="G811" s="3"/>
      <c r="H811" s="16" t="s">
        <v>2843</v>
      </c>
    </row>
    <row r="812" spans="1:12">
      <c r="A812" s="16" t="s">
        <v>81</v>
      </c>
      <c r="B812" s="2">
        <v>60000</v>
      </c>
      <c r="C812" s="2">
        <f t="shared" si="158"/>
        <v>750</v>
      </c>
      <c r="D812" s="44">
        <v>45471</v>
      </c>
      <c r="E812" s="3" t="s">
        <v>11</v>
      </c>
      <c r="F812" s="3" t="s">
        <v>12</v>
      </c>
      <c r="G812" s="3"/>
    </row>
    <row r="813" spans="1:12">
      <c r="A813" s="50" t="s">
        <v>465</v>
      </c>
      <c r="B813" s="51">
        <v>45000</v>
      </c>
      <c r="C813" s="51">
        <f t="shared" si="158"/>
        <v>562.5</v>
      </c>
      <c r="D813" s="44">
        <v>45471</v>
      </c>
      <c r="E813" s="52" t="s">
        <v>73</v>
      </c>
      <c r="F813" s="3" t="s">
        <v>12</v>
      </c>
      <c r="G813" s="52"/>
      <c r="H813" s="6" t="s">
        <v>54</v>
      </c>
      <c r="I813" s="6"/>
      <c r="J813" s="6"/>
      <c r="K813" s="6"/>
      <c r="L813" s="6"/>
    </row>
    <row r="814" spans="1:12">
      <c r="A814" s="11">
        <v>45474</v>
      </c>
      <c r="B814" s="12">
        <f t="shared" ref="B814:C814" si="159">SUM(B815:B995)</f>
        <v>34651500</v>
      </c>
      <c r="C814" s="12">
        <f t="shared" si="159"/>
        <v>511736.25</v>
      </c>
      <c r="D814" s="53"/>
      <c r="E814" s="53"/>
      <c r="F814" s="53"/>
      <c r="G814" s="53"/>
      <c r="H814" s="15"/>
      <c r="I814" s="15"/>
      <c r="J814" s="15"/>
      <c r="K814" s="15"/>
      <c r="L814" s="15"/>
    </row>
    <row r="815" spans="1:12">
      <c r="A815" s="16" t="s">
        <v>2865</v>
      </c>
      <c r="B815" s="2">
        <v>120000</v>
      </c>
      <c r="C815" s="2">
        <f>0.0175*B815</f>
        <v>2100</v>
      </c>
      <c r="D815" s="44">
        <v>45474</v>
      </c>
      <c r="E815" s="3" t="s">
        <v>11</v>
      </c>
      <c r="F815" s="3" t="s">
        <v>28</v>
      </c>
      <c r="G815" s="3"/>
      <c r="I815" s="21" t="s">
        <v>30</v>
      </c>
    </row>
    <row r="816" spans="1:12">
      <c r="A816" s="16" t="s">
        <v>2866</v>
      </c>
      <c r="B816" s="2">
        <v>90000</v>
      </c>
      <c r="C816" s="2">
        <f>0.0125*B816</f>
        <v>1125</v>
      </c>
      <c r="D816" s="44">
        <v>45474</v>
      </c>
      <c r="E816" s="3" t="s">
        <v>15</v>
      </c>
      <c r="F816" s="3" t="s">
        <v>12</v>
      </c>
      <c r="G816" s="3"/>
      <c r="H816" s="6" t="s">
        <v>149</v>
      </c>
      <c r="J816" s="16">
        <v>225</v>
      </c>
    </row>
    <row r="817" spans="1:19">
      <c r="A817" s="16" t="s">
        <v>2867</v>
      </c>
      <c r="B817" s="2">
        <v>366000</v>
      </c>
      <c r="C817" s="2">
        <f>0.0125*351000</f>
        <v>4387.5</v>
      </c>
      <c r="D817" s="44">
        <v>45474</v>
      </c>
      <c r="E817" s="3" t="s">
        <v>24</v>
      </c>
      <c r="F817" s="3" t="s">
        <v>12</v>
      </c>
      <c r="G817" s="3"/>
      <c r="H817" s="16" t="s">
        <v>2843</v>
      </c>
      <c r="R817" s="16">
        <v>11538.46</v>
      </c>
    </row>
    <row r="818" spans="1:19">
      <c r="A818" s="16" t="s">
        <v>845</v>
      </c>
      <c r="B818" s="2">
        <v>115000</v>
      </c>
      <c r="C818" s="2">
        <f t="shared" ref="C818:C819" si="160">0.0125*B818</f>
        <v>1437.5</v>
      </c>
      <c r="D818" s="44">
        <v>45474</v>
      </c>
      <c r="E818" s="3" t="s">
        <v>165</v>
      </c>
      <c r="F818" s="3" t="s">
        <v>12</v>
      </c>
      <c r="G818" s="3"/>
      <c r="R818" s="16">
        <v>21040</v>
      </c>
      <c r="S818" s="16" t="s">
        <v>2868</v>
      </c>
    </row>
    <row r="819" spans="1:19">
      <c r="A819" s="16" t="s">
        <v>607</v>
      </c>
      <c r="B819" s="2">
        <v>100000</v>
      </c>
      <c r="C819" s="2">
        <f t="shared" si="160"/>
        <v>1250</v>
      </c>
      <c r="D819" s="44">
        <v>45474</v>
      </c>
      <c r="E819" s="3" t="s">
        <v>15</v>
      </c>
      <c r="F819" s="3" t="s">
        <v>12</v>
      </c>
      <c r="G819" s="3"/>
      <c r="H819" s="6" t="s">
        <v>29</v>
      </c>
      <c r="J819" s="16">
        <v>450</v>
      </c>
      <c r="R819" s="16">
        <v>208</v>
      </c>
      <c r="S819" s="16" t="s">
        <v>2614</v>
      </c>
    </row>
    <row r="820" spans="1:19">
      <c r="A820" s="16" t="s">
        <v>2869</v>
      </c>
      <c r="B820" s="17">
        <v>50000</v>
      </c>
      <c r="C820" s="2">
        <f>0.0175*B820</f>
        <v>875.00000000000011</v>
      </c>
      <c r="D820" s="44">
        <v>45474</v>
      </c>
      <c r="E820" s="3" t="s">
        <v>11</v>
      </c>
      <c r="F820" s="3" t="s">
        <v>28</v>
      </c>
      <c r="G820" s="3"/>
      <c r="H820" s="16" t="s">
        <v>2870</v>
      </c>
      <c r="I820" s="21" t="s">
        <v>30</v>
      </c>
      <c r="R820" s="16">
        <v>36725</v>
      </c>
      <c r="S820" s="16" t="s">
        <v>2871</v>
      </c>
    </row>
    <row r="821" spans="1:19">
      <c r="A821" s="16" t="s">
        <v>2872</v>
      </c>
      <c r="B821" s="2">
        <v>350000</v>
      </c>
      <c r="C821" s="2">
        <f t="shared" ref="C821:C822" si="161">0.0125*B821</f>
        <v>4375</v>
      </c>
      <c r="D821" s="44">
        <v>45475</v>
      </c>
      <c r="E821" s="3" t="s">
        <v>92</v>
      </c>
      <c r="F821" s="3" t="s">
        <v>12</v>
      </c>
      <c r="G821" s="3"/>
      <c r="R821" s="16">
        <v>4781.25</v>
      </c>
      <c r="S821" s="16" t="s">
        <v>2873</v>
      </c>
    </row>
    <row r="822" spans="1:19">
      <c r="A822" s="16" t="s">
        <v>2874</v>
      </c>
      <c r="B822" s="2">
        <v>550000</v>
      </c>
      <c r="C822" s="2">
        <f t="shared" si="161"/>
        <v>6875</v>
      </c>
      <c r="D822" s="44">
        <v>45475</v>
      </c>
      <c r="E822" s="3" t="s">
        <v>21</v>
      </c>
      <c r="F822" s="3" t="s">
        <v>12</v>
      </c>
      <c r="G822" s="3"/>
      <c r="H822" s="16" t="s">
        <v>22</v>
      </c>
      <c r="R822" s="16">
        <v>6300</v>
      </c>
      <c r="S822" s="16" t="s">
        <v>2875</v>
      </c>
    </row>
    <row r="823" spans="1:19">
      <c r="A823" s="16" t="s">
        <v>2876</v>
      </c>
      <c r="B823" s="2">
        <v>35000</v>
      </c>
      <c r="C823" s="2">
        <f t="shared" ref="C823:C824" si="162">0.0175*B823</f>
        <v>612.50000000000011</v>
      </c>
      <c r="D823" s="44">
        <v>45475</v>
      </c>
      <c r="E823" s="3" t="s">
        <v>11</v>
      </c>
      <c r="F823" s="3" t="s">
        <v>28</v>
      </c>
      <c r="G823" s="3"/>
      <c r="H823" s="16" t="s">
        <v>2877</v>
      </c>
      <c r="R823" s="16">
        <v>4381.5</v>
      </c>
      <c r="S823" s="16" t="s">
        <v>2878</v>
      </c>
    </row>
    <row r="824" spans="1:19">
      <c r="A824" s="16" t="s">
        <v>2879</v>
      </c>
      <c r="B824" s="2">
        <v>225000</v>
      </c>
      <c r="C824" s="2">
        <f t="shared" si="162"/>
        <v>3937.5000000000005</v>
      </c>
      <c r="D824" s="44">
        <v>45475</v>
      </c>
      <c r="E824" s="3" t="s">
        <v>15</v>
      </c>
      <c r="F824" s="3" t="s">
        <v>28</v>
      </c>
      <c r="G824" s="3"/>
      <c r="H824" s="16" t="s">
        <v>2135</v>
      </c>
      <c r="I824" s="21" t="s">
        <v>30</v>
      </c>
      <c r="J824" s="16">
        <v>1350</v>
      </c>
    </row>
    <row r="825" spans="1:19">
      <c r="A825" s="16" t="s">
        <v>475</v>
      </c>
      <c r="B825" s="2">
        <v>190000</v>
      </c>
      <c r="C825" s="2">
        <f>0.0125*B825</f>
        <v>2375</v>
      </c>
      <c r="D825" s="44">
        <v>45475</v>
      </c>
      <c r="E825" s="3" t="s">
        <v>75</v>
      </c>
      <c r="F825" s="3" t="s">
        <v>12</v>
      </c>
      <c r="G825" s="3"/>
    </row>
    <row r="826" spans="1:19">
      <c r="A826" s="16" t="s">
        <v>2880</v>
      </c>
      <c r="B826" s="2">
        <v>100000</v>
      </c>
      <c r="C826" s="2">
        <f t="shared" ref="C826:C831" si="163">0.0175*B826</f>
        <v>1750.0000000000002</v>
      </c>
      <c r="D826" s="44">
        <v>45475</v>
      </c>
      <c r="E826" s="3" t="s">
        <v>11</v>
      </c>
      <c r="F826" s="3" t="s">
        <v>28</v>
      </c>
      <c r="G826" s="3"/>
      <c r="I826" s="21" t="s">
        <v>30</v>
      </c>
    </row>
    <row r="827" spans="1:19">
      <c r="A827" s="16" t="s">
        <v>2881</v>
      </c>
      <c r="B827" s="2">
        <v>10000</v>
      </c>
      <c r="C827" s="2">
        <f t="shared" si="163"/>
        <v>175.00000000000003</v>
      </c>
      <c r="D827" s="44">
        <v>45475</v>
      </c>
      <c r="E827" s="3" t="s">
        <v>15</v>
      </c>
      <c r="F827" s="3" t="s">
        <v>28</v>
      </c>
      <c r="G827" s="3"/>
      <c r="H827" s="16" t="s">
        <v>2116</v>
      </c>
      <c r="J827" s="16">
        <v>120</v>
      </c>
    </row>
    <row r="828" spans="1:19">
      <c r="A828" s="16" t="s">
        <v>2882</v>
      </c>
      <c r="B828" s="2">
        <v>15000</v>
      </c>
      <c r="C828" s="2">
        <f t="shared" si="163"/>
        <v>262.5</v>
      </c>
      <c r="D828" s="44">
        <v>45475</v>
      </c>
      <c r="E828" s="3" t="s">
        <v>15</v>
      </c>
      <c r="F828" s="3" t="s">
        <v>28</v>
      </c>
      <c r="G828" s="3"/>
      <c r="H828" s="16" t="s">
        <v>2116</v>
      </c>
      <c r="J828" s="16">
        <v>180</v>
      </c>
    </row>
    <row r="829" spans="1:19">
      <c r="A829" s="16" t="s">
        <v>2821</v>
      </c>
      <c r="B829" s="2">
        <v>100000</v>
      </c>
      <c r="C829" s="2">
        <f t="shared" si="163"/>
        <v>1750.0000000000002</v>
      </c>
      <c r="D829" s="44">
        <v>45475</v>
      </c>
      <c r="E829" s="3" t="s">
        <v>11</v>
      </c>
      <c r="F829" s="3" t="s">
        <v>67</v>
      </c>
      <c r="G829" s="3"/>
      <c r="I829" s="21" t="s">
        <v>30</v>
      </c>
    </row>
    <row r="830" spans="1:19">
      <c r="A830" s="16" t="s">
        <v>2814</v>
      </c>
      <c r="B830" s="2">
        <v>200000</v>
      </c>
      <c r="C830" s="2">
        <f t="shared" si="163"/>
        <v>3500.0000000000005</v>
      </c>
      <c r="D830" s="44">
        <v>45476</v>
      </c>
      <c r="E830" s="3" t="s">
        <v>15</v>
      </c>
      <c r="F830" s="3" t="s">
        <v>67</v>
      </c>
      <c r="G830" s="3"/>
      <c r="H830" s="16" t="s">
        <v>2126</v>
      </c>
      <c r="I830" s="21" t="s">
        <v>30</v>
      </c>
      <c r="J830" s="16">
        <v>1600</v>
      </c>
    </row>
    <row r="831" spans="1:19">
      <c r="A831" s="16" t="s">
        <v>2883</v>
      </c>
      <c r="B831" s="2">
        <v>60000</v>
      </c>
      <c r="C831" s="2">
        <f t="shared" si="163"/>
        <v>1050</v>
      </c>
      <c r="D831" s="44">
        <v>45476</v>
      </c>
      <c r="E831" s="3" t="s">
        <v>11</v>
      </c>
      <c r="F831" s="3" t="s">
        <v>28</v>
      </c>
      <c r="G831" s="3"/>
    </row>
    <row r="832" spans="1:19">
      <c r="A832" s="16" t="s">
        <v>2111</v>
      </c>
      <c r="B832" s="2">
        <v>350000</v>
      </c>
      <c r="C832" s="2">
        <f>0.0125*B832</f>
        <v>4375</v>
      </c>
      <c r="D832" s="44">
        <v>45476</v>
      </c>
      <c r="E832" s="3" t="s">
        <v>2884</v>
      </c>
      <c r="F832" s="3" t="s">
        <v>12</v>
      </c>
      <c r="G832" s="3"/>
    </row>
    <row r="833" spans="1:9">
      <c r="A833" s="16" t="s">
        <v>2885</v>
      </c>
      <c r="B833" s="2">
        <v>100000</v>
      </c>
      <c r="C833" s="2">
        <f>0.0175*B833</f>
        <v>1750.0000000000002</v>
      </c>
      <c r="D833" s="44">
        <v>45476</v>
      </c>
      <c r="E833" s="3" t="s">
        <v>11</v>
      </c>
      <c r="F833" s="3" t="s">
        <v>67</v>
      </c>
      <c r="G833" s="3"/>
    </row>
    <row r="834" spans="1:9">
      <c r="A834" s="16" t="s">
        <v>2886</v>
      </c>
      <c r="B834" s="17">
        <v>5000</v>
      </c>
      <c r="C834" s="2">
        <f t="shared" ref="C834:C836" si="164">0.0125*B834</f>
        <v>62.5</v>
      </c>
      <c r="D834" s="44">
        <v>45476</v>
      </c>
      <c r="E834" s="3" t="s">
        <v>11</v>
      </c>
      <c r="F834" s="3" t="s">
        <v>12</v>
      </c>
      <c r="G834" s="3"/>
    </row>
    <row r="835" spans="1:9">
      <c r="A835" s="16" t="s">
        <v>2887</v>
      </c>
      <c r="B835" s="17">
        <v>25000</v>
      </c>
      <c r="C835" s="2">
        <f t="shared" si="164"/>
        <v>312.5</v>
      </c>
      <c r="D835" s="44">
        <v>45476</v>
      </c>
      <c r="E835" s="3" t="s">
        <v>11</v>
      </c>
      <c r="F835" s="3" t="s">
        <v>12</v>
      </c>
      <c r="G835" s="3"/>
    </row>
    <row r="836" spans="1:9">
      <c r="A836" s="16" t="s">
        <v>2888</v>
      </c>
      <c r="B836" s="17">
        <v>20000</v>
      </c>
      <c r="C836" s="2">
        <f t="shared" si="164"/>
        <v>250</v>
      </c>
      <c r="D836" s="44">
        <v>45476</v>
      </c>
      <c r="E836" s="3" t="s">
        <v>11</v>
      </c>
      <c r="F836" s="3" t="s">
        <v>12</v>
      </c>
      <c r="G836" s="3"/>
    </row>
    <row r="837" spans="1:9">
      <c r="A837" s="16" t="s">
        <v>2889</v>
      </c>
      <c r="B837" s="2">
        <v>300000</v>
      </c>
      <c r="C837" s="2">
        <f>0.0175*290000</f>
        <v>5075.0000000000009</v>
      </c>
      <c r="D837" s="44">
        <v>45476</v>
      </c>
      <c r="E837" s="3" t="s">
        <v>24</v>
      </c>
      <c r="F837" s="3" t="s">
        <v>28</v>
      </c>
      <c r="G837" s="3"/>
      <c r="H837" s="16" t="s">
        <v>2647</v>
      </c>
      <c r="I837" s="21" t="s">
        <v>30</v>
      </c>
    </row>
    <row r="838" spans="1:9">
      <c r="A838" s="16" t="s">
        <v>2890</v>
      </c>
      <c r="B838" s="2">
        <v>100000</v>
      </c>
      <c r="C838" s="2">
        <f t="shared" ref="C838:C839" si="165">0.0175*B838</f>
        <v>1750.0000000000002</v>
      </c>
      <c r="D838" s="44">
        <v>45476</v>
      </c>
      <c r="E838" s="32" t="s">
        <v>60</v>
      </c>
      <c r="F838" s="3" t="s">
        <v>41</v>
      </c>
      <c r="G838" s="3"/>
      <c r="H838" s="16" t="s">
        <v>2092</v>
      </c>
    </row>
    <row r="839" spans="1:9">
      <c r="A839" s="16" t="s">
        <v>2891</v>
      </c>
      <c r="B839" s="2">
        <v>75000</v>
      </c>
      <c r="C839" s="2">
        <f t="shared" si="165"/>
        <v>1312.5000000000002</v>
      </c>
      <c r="D839" s="44">
        <v>45481</v>
      </c>
      <c r="E839" s="3" t="s">
        <v>135</v>
      </c>
      <c r="F839" s="3" t="s">
        <v>28</v>
      </c>
      <c r="G839" s="3"/>
      <c r="H839" s="16" t="s">
        <v>13</v>
      </c>
      <c r="I839" s="21" t="s">
        <v>30</v>
      </c>
    </row>
    <row r="840" spans="1:9">
      <c r="A840" s="16" t="s">
        <v>2892</v>
      </c>
      <c r="B840" s="2">
        <v>20000</v>
      </c>
      <c r="C840" s="2">
        <f t="shared" ref="C840:C842" si="166">0.0125*B840</f>
        <v>250</v>
      </c>
      <c r="D840" s="44">
        <v>45481</v>
      </c>
      <c r="E840" s="3" t="s">
        <v>24</v>
      </c>
      <c r="F840" s="3" t="s">
        <v>12</v>
      </c>
      <c r="G840" s="3"/>
      <c r="H840" s="16" t="s">
        <v>936</v>
      </c>
    </row>
    <row r="841" spans="1:9">
      <c r="A841" s="16" t="s">
        <v>372</v>
      </c>
      <c r="B841" s="2">
        <v>630000</v>
      </c>
      <c r="C841" s="2">
        <f t="shared" si="166"/>
        <v>7875</v>
      </c>
      <c r="D841" s="44">
        <v>45481</v>
      </c>
      <c r="E841" s="3" t="s">
        <v>11</v>
      </c>
      <c r="F841" s="3" t="s">
        <v>12</v>
      </c>
      <c r="G841" s="3"/>
    </row>
    <row r="842" spans="1:9">
      <c r="A842" s="16" t="s">
        <v>2893</v>
      </c>
      <c r="B842" s="2">
        <v>25000</v>
      </c>
      <c r="C842" s="2">
        <f t="shared" si="166"/>
        <v>312.5</v>
      </c>
      <c r="D842" s="44">
        <v>45481</v>
      </c>
      <c r="E842" s="3" t="s">
        <v>11</v>
      </c>
      <c r="F842" s="3" t="s">
        <v>12</v>
      </c>
      <c r="G842" s="3"/>
    </row>
    <row r="843" spans="1:9">
      <c r="A843" s="16" t="s">
        <v>2303</v>
      </c>
      <c r="B843" s="2">
        <v>185000</v>
      </c>
      <c r="C843" s="2">
        <f>0.0125*175000</f>
        <v>2187.5</v>
      </c>
      <c r="D843" s="44">
        <v>45481</v>
      </c>
      <c r="E843" s="3" t="s">
        <v>24</v>
      </c>
      <c r="F843" s="3" t="s">
        <v>12</v>
      </c>
      <c r="G843" s="3"/>
      <c r="H843" s="16" t="s">
        <v>2689</v>
      </c>
    </row>
    <row r="844" spans="1:9">
      <c r="A844" s="16" t="s">
        <v>2292</v>
      </c>
      <c r="B844" s="2">
        <v>2500000</v>
      </c>
      <c r="C844" s="2">
        <f>0.0125*B844</f>
        <v>31250</v>
      </c>
      <c r="D844" s="44">
        <v>45481</v>
      </c>
      <c r="E844" s="3" t="s">
        <v>11</v>
      </c>
      <c r="F844" s="3" t="s">
        <v>12</v>
      </c>
      <c r="G844" s="3"/>
    </row>
    <row r="845" spans="1:9">
      <c r="A845" s="16" t="s">
        <v>2894</v>
      </c>
      <c r="B845" s="2">
        <v>20000</v>
      </c>
      <c r="C845" s="2">
        <f>0.0175*B845</f>
        <v>350.00000000000006</v>
      </c>
      <c r="D845" s="44">
        <v>45481</v>
      </c>
      <c r="E845" s="3" t="s">
        <v>11</v>
      </c>
      <c r="F845" s="3" t="s">
        <v>28</v>
      </c>
      <c r="G845" s="3"/>
      <c r="I845" s="21" t="s">
        <v>30</v>
      </c>
    </row>
    <row r="846" spans="1:9">
      <c r="A846" s="16" t="s">
        <v>2895</v>
      </c>
      <c r="B846" s="2">
        <v>375000</v>
      </c>
      <c r="C846" s="2">
        <f t="shared" ref="C846:C849" si="167">0.0125*B846</f>
        <v>4687.5</v>
      </c>
      <c r="D846" s="44">
        <v>45482</v>
      </c>
      <c r="E846" s="3" t="s">
        <v>11</v>
      </c>
      <c r="F846" s="3" t="s">
        <v>12</v>
      </c>
      <c r="G846" s="3"/>
    </row>
    <row r="847" spans="1:9">
      <c r="A847" s="16" t="s">
        <v>2896</v>
      </c>
      <c r="B847" s="2">
        <v>175000</v>
      </c>
      <c r="C847" s="2">
        <f t="shared" si="167"/>
        <v>2187.5</v>
      </c>
      <c r="D847" s="44">
        <v>45482</v>
      </c>
      <c r="E847" s="3" t="s">
        <v>11</v>
      </c>
      <c r="F847" s="3" t="s">
        <v>12</v>
      </c>
      <c r="G847" s="3"/>
    </row>
    <row r="848" spans="1:9">
      <c r="A848" s="16" t="s">
        <v>2897</v>
      </c>
      <c r="B848" s="2">
        <v>245000</v>
      </c>
      <c r="C848" s="2">
        <f t="shared" si="167"/>
        <v>3062.5</v>
      </c>
      <c r="D848" s="44">
        <v>45482</v>
      </c>
      <c r="E848" s="3" t="s">
        <v>11</v>
      </c>
      <c r="F848" s="3" t="s">
        <v>12</v>
      </c>
      <c r="G848" s="3"/>
    </row>
    <row r="849" spans="1:10">
      <c r="A849" s="16" t="s">
        <v>2898</v>
      </c>
      <c r="B849" s="2">
        <v>1200000</v>
      </c>
      <c r="C849" s="2">
        <f t="shared" si="167"/>
        <v>15000</v>
      </c>
      <c r="D849" s="44">
        <v>45482</v>
      </c>
      <c r="E849" s="3" t="s">
        <v>11</v>
      </c>
      <c r="F849" s="3" t="s">
        <v>12</v>
      </c>
      <c r="G849" s="3"/>
    </row>
    <row r="850" spans="1:10">
      <c r="A850" s="16" t="s">
        <v>2899</v>
      </c>
      <c r="B850" s="2">
        <v>30000</v>
      </c>
      <c r="C850" s="2">
        <f t="shared" ref="C850:C853" si="168">0.0175*B850</f>
        <v>525</v>
      </c>
      <c r="D850" s="44">
        <v>45482</v>
      </c>
      <c r="E850" s="3" t="s">
        <v>15</v>
      </c>
      <c r="F850" s="3" t="s">
        <v>28</v>
      </c>
      <c r="G850" s="3"/>
      <c r="H850" s="16" t="s">
        <v>2143</v>
      </c>
      <c r="J850" s="16">
        <v>300</v>
      </c>
    </row>
    <row r="851" spans="1:10">
      <c r="A851" s="16" t="s">
        <v>2900</v>
      </c>
      <c r="B851" s="2">
        <v>15000</v>
      </c>
      <c r="C851" s="2">
        <f t="shared" si="168"/>
        <v>262.5</v>
      </c>
      <c r="D851" s="44">
        <v>45482</v>
      </c>
      <c r="E851" s="3" t="s">
        <v>11</v>
      </c>
      <c r="F851" s="3" t="s">
        <v>28</v>
      </c>
      <c r="G851" s="3"/>
      <c r="I851" s="21" t="s">
        <v>30</v>
      </c>
    </row>
    <row r="852" spans="1:10">
      <c r="A852" s="16" t="s">
        <v>2901</v>
      </c>
      <c r="B852" s="2">
        <v>80000</v>
      </c>
      <c r="C852" s="2">
        <f t="shared" si="168"/>
        <v>1400.0000000000002</v>
      </c>
      <c r="D852" s="44">
        <v>45482</v>
      </c>
      <c r="E852" s="32" t="s">
        <v>60</v>
      </c>
      <c r="F852" s="3" t="s">
        <v>67</v>
      </c>
      <c r="G852" s="3"/>
    </row>
    <row r="853" spans="1:10">
      <c r="A853" s="16" t="s">
        <v>2827</v>
      </c>
      <c r="B853" s="2">
        <v>100000</v>
      </c>
      <c r="C853" s="2">
        <f t="shared" si="168"/>
        <v>1750.0000000000002</v>
      </c>
      <c r="D853" s="44">
        <v>45482</v>
      </c>
      <c r="E853" s="3" t="s">
        <v>11</v>
      </c>
      <c r="F853" s="3" t="s">
        <v>67</v>
      </c>
      <c r="G853" s="3"/>
    </row>
    <row r="854" spans="1:10">
      <c r="A854" s="16" t="s">
        <v>129</v>
      </c>
      <c r="B854" s="2">
        <v>700000</v>
      </c>
      <c r="C854" s="2">
        <f>0.0125*690000</f>
        <v>8625</v>
      </c>
      <c r="D854" s="44">
        <v>45483</v>
      </c>
      <c r="E854" s="3" t="s">
        <v>24</v>
      </c>
      <c r="F854" s="3" t="s">
        <v>12</v>
      </c>
      <c r="G854" s="3"/>
      <c r="H854" s="16" t="s">
        <v>2689</v>
      </c>
    </row>
    <row r="855" spans="1:10">
      <c r="A855" s="16" t="s">
        <v>2826</v>
      </c>
      <c r="B855" s="2">
        <v>100000</v>
      </c>
      <c r="C855" s="2">
        <f>0.0175*B855</f>
        <v>1750.0000000000002</v>
      </c>
      <c r="D855" s="44">
        <v>45483</v>
      </c>
      <c r="E855" s="3" t="s">
        <v>11</v>
      </c>
      <c r="F855" s="3" t="s">
        <v>67</v>
      </c>
      <c r="G855" s="3"/>
      <c r="I855" s="21" t="s">
        <v>30</v>
      </c>
    </row>
    <row r="856" spans="1:10">
      <c r="A856" s="16" t="s">
        <v>137</v>
      </c>
      <c r="B856" s="2">
        <v>75000</v>
      </c>
      <c r="C856" s="2">
        <f t="shared" ref="C856:C857" si="169">0.0125*B856</f>
        <v>937.5</v>
      </c>
      <c r="D856" s="44">
        <v>45483</v>
      </c>
      <c r="E856" s="3" t="s">
        <v>15</v>
      </c>
      <c r="F856" s="3" t="s">
        <v>12</v>
      </c>
      <c r="G856" s="3"/>
      <c r="H856" s="16" t="s">
        <v>54</v>
      </c>
      <c r="J856" s="16">
        <v>450</v>
      </c>
    </row>
    <row r="857" spans="1:10">
      <c r="A857" s="16" t="s">
        <v>2342</v>
      </c>
      <c r="B857" s="2">
        <v>12500</v>
      </c>
      <c r="C857" s="2">
        <f t="shared" si="169"/>
        <v>156.25</v>
      </c>
      <c r="D857" s="44">
        <v>45483</v>
      </c>
      <c r="E857" s="3" t="s">
        <v>15</v>
      </c>
      <c r="F857" s="3" t="s">
        <v>12</v>
      </c>
      <c r="G857" s="3"/>
      <c r="H857" s="16" t="s">
        <v>54</v>
      </c>
      <c r="J857" s="16">
        <v>75</v>
      </c>
    </row>
    <row r="858" spans="1:10">
      <c r="A858" s="16" t="s">
        <v>351</v>
      </c>
      <c r="B858" s="17">
        <v>100000</v>
      </c>
      <c r="C858" s="2">
        <f t="shared" ref="C858:C859" si="170">0.0175*B858</f>
        <v>1750.0000000000002</v>
      </c>
      <c r="D858" s="44">
        <v>45483</v>
      </c>
      <c r="E858" s="3" t="s">
        <v>15</v>
      </c>
      <c r="F858" s="3" t="s">
        <v>41</v>
      </c>
      <c r="G858" s="3"/>
      <c r="H858" s="16" t="s">
        <v>2179</v>
      </c>
      <c r="J858" s="16">
        <v>400</v>
      </c>
    </row>
    <row r="859" spans="1:10">
      <c r="A859" s="16" t="s">
        <v>2902</v>
      </c>
      <c r="B859" s="17">
        <v>200000</v>
      </c>
      <c r="C859" s="2">
        <f t="shared" si="170"/>
        <v>3500.0000000000005</v>
      </c>
      <c r="D859" s="44">
        <v>45483</v>
      </c>
      <c r="E859" s="32" t="s">
        <v>60</v>
      </c>
      <c r="F859" s="3" t="s">
        <v>28</v>
      </c>
      <c r="G859" s="3"/>
      <c r="I859" s="21" t="s">
        <v>30</v>
      </c>
    </row>
    <row r="860" spans="1:10">
      <c r="A860" s="16" t="s">
        <v>2903</v>
      </c>
      <c r="B860" s="2">
        <v>150000</v>
      </c>
      <c r="C860" s="2">
        <f>0.0175*135000</f>
        <v>2362.5</v>
      </c>
      <c r="D860" s="44">
        <v>45484</v>
      </c>
      <c r="E860" s="3" t="s">
        <v>24</v>
      </c>
      <c r="F860" s="3" t="s">
        <v>28</v>
      </c>
      <c r="G860" s="3"/>
      <c r="H860" s="16" t="s">
        <v>2647</v>
      </c>
      <c r="I860" s="21" t="s">
        <v>30</v>
      </c>
    </row>
    <row r="861" spans="1:10">
      <c r="A861" s="16" t="s">
        <v>2904</v>
      </c>
      <c r="B861" s="2">
        <v>100000</v>
      </c>
      <c r="C861" s="2">
        <f>0.0175*90000</f>
        <v>1575.0000000000002</v>
      </c>
      <c r="D861" s="44">
        <v>45484</v>
      </c>
      <c r="E861" s="3" t="s">
        <v>24</v>
      </c>
      <c r="F861" s="3" t="s">
        <v>28</v>
      </c>
      <c r="G861" s="3"/>
      <c r="H861" s="16" t="s">
        <v>2647</v>
      </c>
      <c r="I861" s="21" t="s">
        <v>30</v>
      </c>
    </row>
    <row r="862" spans="1:10">
      <c r="A862" s="16" t="s">
        <v>2905</v>
      </c>
      <c r="B862" s="2">
        <v>500000</v>
      </c>
      <c r="C862" s="2">
        <f t="shared" ref="C862:C866" si="171">0.0175*B862</f>
        <v>8750</v>
      </c>
      <c r="D862" s="44">
        <v>45484</v>
      </c>
      <c r="E862" s="3" t="s">
        <v>21</v>
      </c>
      <c r="F862" s="3" t="s">
        <v>28</v>
      </c>
      <c r="G862" s="3"/>
      <c r="H862" s="16" t="s">
        <v>2906</v>
      </c>
      <c r="I862" s="21" t="s">
        <v>30</v>
      </c>
    </row>
    <row r="863" spans="1:10">
      <c r="A863" s="16" t="s">
        <v>2907</v>
      </c>
      <c r="B863" s="2">
        <v>300000</v>
      </c>
      <c r="C863" s="2">
        <f t="shared" si="171"/>
        <v>5250.0000000000009</v>
      </c>
      <c r="D863" s="44">
        <v>45484</v>
      </c>
      <c r="E863" s="3" t="s">
        <v>2908</v>
      </c>
      <c r="F863" s="3" t="s">
        <v>28</v>
      </c>
      <c r="G863" s="3"/>
    </row>
    <row r="864" spans="1:10">
      <c r="A864" s="16" t="s">
        <v>2909</v>
      </c>
      <c r="B864" s="2">
        <v>60000</v>
      </c>
      <c r="C864" s="2">
        <f t="shared" si="171"/>
        <v>1050</v>
      </c>
      <c r="D864" s="44">
        <v>45484</v>
      </c>
      <c r="E864" s="3" t="s">
        <v>11</v>
      </c>
      <c r="F864" s="3" t="s">
        <v>28</v>
      </c>
      <c r="G864" s="3"/>
      <c r="I864" s="21" t="s">
        <v>30</v>
      </c>
    </row>
    <row r="865" spans="1:10">
      <c r="A865" s="16" t="s">
        <v>2910</v>
      </c>
      <c r="B865" s="17">
        <v>200000</v>
      </c>
      <c r="C865" s="17">
        <f t="shared" si="171"/>
        <v>3500.0000000000005</v>
      </c>
      <c r="D865" s="44">
        <v>45484</v>
      </c>
      <c r="E865" s="3" t="s">
        <v>15</v>
      </c>
      <c r="F865" s="3" t="s">
        <v>67</v>
      </c>
      <c r="G865" s="3"/>
      <c r="H865" s="16" t="s">
        <v>2135</v>
      </c>
      <c r="J865" s="16">
        <v>1200</v>
      </c>
    </row>
    <row r="866" spans="1:10">
      <c r="A866" s="16" t="s">
        <v>2911</v>
      </c>
      <c r="B866" s="17">
        <v>100000</v>
      </c>
      <c r="C866" s="2">
        <f t="shared" si="171"/>
        <v>1750.0000000000002</v>
      </c>
      <c r="D866" s="44">
        <v>45484</v>
      </c>
      <c r="E866" s="3" t="s">
        <v>11</v>
      </c>
      <c r="F866" s="3" t="s">
        <v>28</v>
      </c>
      <c r="G866" s="3"/>
      <c r="I866" s="21" t="s">
        <v>30</v>
      </c>
    </row>
    <row r="867" spans="1:10">
      <c r="A867" s="16" t="s">
        <v>747</v>
      </c>
      <c r="B867" s="17">
        <v>105000</v>
      </c>
      <c r="C867" s="2">
        <f t="shared" ref="C867:C874" si="172">0.0125*B867</f>
        <v>1312.5</v>
      </c>
      <c r="D867" s="44">
        <v>45484</v>
      </c>
      <c r="E867" s="3" t="s">
        <v>73</v>
      </c>
      <c r="F867" s="3" t="s">
        <v>12</v>
      </c>
      <c r="G867" s="3"/>
    </row>
    <row r="868" spans="1:10">
      <c r="A868" s="16" t="s">
        <v>68</v>
      </c>
      <c r="B868" s="17">
        <v>125000</v>
      </c>
      <c r="C868" s="2">
        <f t="shared" si="172"/>
        <v>1562.5</v>
      </c>
      <c r="D868" s="44">
        <v>45484</v>
      </c>
      <c r="E868" s="3" t="s">
        <v>69</v>
      </c>
      <c r="F868" s="3" t="s">
        <v>12</v>
      </c>
      <c r="G868" s="3"/>
      <c r="H868" s="16" t="s">
        <v>22</v>
      </c>
    </row>
    <row r="869" spans="1:10">
      <c r="A869" s="16" t="s">
        <v>2912</v>
      </c>
      <c r="B869" s="17">
        <v>90000</v>
      </c>
      <c r="C869" s="2">
        <f t="shared" si="172"/>
        <v>1125</v>
      </c>
      <c r="D869" s="44">
        <v>45484</v>
      </c>
      <c r="E869" s="3" t="s">
        <v>11</v>
      </c>
      <c r="F869" s="3" t="s">
        <v>12</v>
      </c>
      <c r="G869" s="3"/>
    </row>
    <row r="870" spans="1:10">
      <c r="A870" s="16" t="s">
        <v>2913</v>
      </c>
      <c r="B870" s="17">
        <v>55000</v>
      </c>
      <c r="C870" s="2">
        <f t="shared" si="172"/>
        <v>687.5</v>
      </c>
      <c r="D870" s="44">
        <v>45484</v>
      </c>
      <c r="E870" s="3" t="s">
        <v>11</v>
      </c>
      <c r="F870" s="3" t="s">
        <v>12</v>
      </c>
      <c r="G870" s="3"/>
    </row>
    <row r="871" spans="1:10">
      <c r="A871" s="16" t="s">
        <v>2914</v>
      </c>
      <c r="B871" s="17">
        <v>25000</v>
      </c>
      <c r="C871" s="2">
        <f t="shared" si="172"/>
        <v>312.5</v>
      </c>
      <c r="D871" s="44">
        <v>45484</v>
      </c>
      <c r="E871" s="3" t="s">
        <v>11</v>
      </c>
      <c r="F871" s="3" t="s">
        <v>12</v>
      </c>
      <c r="G871" s="3"/>
    </row>
    <row r="872" spans="1:10">
      <c r="A872" s="16" t="s">
        <v>2807</v>
      </c>
      <c r="B872" s="17">
        <v>500000</v>
      </c>
      <c r="C872" s="2">
        <f t="shared" si="172"/>
        <v>6250</v>
      </c>
      <c r="D872" s="44">
        <v>45484</v>
      </c>
      <c r="E872" s="3" t="s">
        <v>165</v>
      </c>
      <c r="F872" s="3" t="s">
        <v>12</v>
      </c>
      <c r="G872" s="3"/>
    </row>
    <row r="873" spans="1:10">
      <c r="A873" s="16" t="s">
        <v>1131</v>
      </c>
      <c r="B873" s="17">
        <v>35000</v>
      </c>
      <c r="C873" s="2">
        <f t="shared" si="172"/>
        <v>437.5</v>
      </c>
      <c r="D873" s="44">
        <v>45484</v>
      </c>
      <c r="E873" s="3" t="s">
        <v>15</v>
      </c>
      <c r="F873" s="3" t="s">
        <v>12</v>
      </c>
      <c r="G873" s="3"/>
      <c r="H873" s="16" t="s">
        <v>16</v>
      </c>
      <c r="J873" s="16">
        <v>140</v>
      </c>
    </row>
    <row r="874" spans="1:10">
      <c r="A874" s="16" t="s">
        <v>2915</v>
      </c>
      <c r="B874" s="17">
        <v>125000</v>
      </c>
      <c r="C874" s="2">
        <f t="shared" si="172"/>
        <v>1562.5</v>
      </c>
      <c r="D874" s="44">
        <v>45484</v>
      </c>
      <c r="E874" s="3" t="s">
        <v>11</v>
      </c>
      <c r="F874" s="3" t="s">
        <v>12</v>
      </c>
      <c r="G874" s="3"/>
    </row>
    <row r="875" spans="1:10">
      <c r="A875" s="16" t="s">
        <v>2916</v>
      </c>
      <c r="B875" s="17">
        <v>175000</v>
      </c>
      <c r="C875" s="2">
        <f t="shared" ref="C875:C879" si="173">0.0175*B875</f>
        <v>3062.5000000000005</v>
      </c>
      <c r="D875" s="44">
        <v>45484</v>
      </c>
      <c r="E875" s="3" t="s">
        <v>69</v>
      </c>
      <c r="F875" s="3" t="s">
        <v>28</v>
      </c>
      <c r="G875" s="3"/>
      <c r="H875" s="16" t="s">
        <v>13</v>
      </c>
      <c r="I875" s="21" t="s">
        <v>30</v>
      </c>
    </row>
    <row r="876" spans="1:10">
      <c r="A876" s="16" t="s">
        <v>2917</v>
      </c>
      <c r="B876" s="17">
        <v>140000</v>
      </c>
      <c r="C876" s="2">
        <f t="shared" si="173"/>
        <v>2450.0000000000005</v>
      </c>
      <c r="D876" s="44">
        <v>45485</v>
      </c>
      <c r="E876" s="32" t="s">
        <v>60</v>
      </c>
      <c r="F876" s="3" t="s">
        <v>28</v>
      </c>
      <c r="G876" s="3"/>
      <c r="I876" s="21" t="s">
        <v>30</v>
      </c>
    </row>
    <row r="877" spans="1:10">
      <c r="A877" s="16" t="s">
        <v>2918</v>
      </c>
      <c r="B877" s="17">
        <v>58500</v>
      </c>
      <c r="C877" s="2">
        <f t="shared" si="173"/>
        <v>1023.7500000000001</v>
      </c>
      <c r="D877" s="44">
        <v>45485</v>
      </c>
      <c r="E877" s="3" t="s">
        <v>11</v>
      </c>
      <c r="F877" s="3" t="s">
        <v>28</v>
      </c>
      <c r="G877" s="3"/>
      <c r="I877" s="21" t="s">
        <v>30</v>
      </c>
    </row>
    <row r="878" spans="1:10">
      <c r="A878" s="16" t="s">
        <v>2919</v>
      </c>
      <c r="B878" s="17">
        <v>100000</v>
      </c>
      <c r="C878" s="2">
        <f t="shared" si="173"/>
        <v>1750.0000000000002</v>
      </c>
      <c r="D878" s="44">
        <v>45485</v>
      </c>
      <c r="E878" s="3" t="s">
        <v>21</v>
      </c>
      <c r="F878" s="3" t="s">
        <v>28</v>
      </c>
      <c r="G878" s="3"/>
      <c r="H878" s="16" t="s">
        <v>13</v>
      </c>
      <c r="I878" s="21" t="s">
        <v>30</v>
      </c>
    </row>
    <row r="879" spans="1:10">
      <c r="A879" s="16" t="s">
        <v>2920</v>
      </c>
      <c r="B879" s="17">
        <v>300000</v>
      </c>
      <c r="C879" s="2">
        <f t="shared" si="173"/>
        <v>5250.0000000000009</v>
      </c>
      <c r="D879" s="44">
        <v>45485</v>
      </c>
      <c r="E879" s="3" t="s">
        <v>15</v>
      </c>
      <c r="F879" s="3" t="s">
        <v>28</v>
      </c>
      <c r="G879" s="3"/>
      <c r="H879" s="16" t="s">
        <v>2135</v>
      </c>
      <c r="I879" s="21" t="s">
        <v>30</v>
      </c>
      <c r="J879" s="16">
        <v>1800</v>
      </c>
    </row>
    <row r="880" spans="1:10">
      <c r="A880" s="16" t="s">
        <v>579</v>
      </c>
      <c r="B880" s="17">
        <v>100000</v>
      </c>
      <c r="C880" s="2">
        <f>0.0125*B880</f>
        <v>1250</v>
      </c>
      <c r="D880" s="44">
        <v>45485</v>
      </c>
      <c r="E880" s="3" t="s">
        <v>15</v>
      </c>
      <c r="F880" s="3" t="s">
        <v>12</v>
      </c>
      <c r="G880" s="3"/>
      <c r="H880" s="16" t="s">
        <v>16</v>
      </c>
      <c r="J880" s="16">
        <v>400</v>
      </c>
    </row>
    <row r="881" spans="1:10">
      <c r="A881" s="16" t="s">
        <v>2706</v>
      </c>
      <c r="B881" s="17">
        <v>50000</v>
      </c>
      <c r="C881" s="2">
        <f>0.0175*B881</f>
        <v>875.00000000000011</v>
      </c>
      <c r="D881" s="44">
        <v>45485</v>
      </c>
      <c r="E881" s="3" t="s">
        <v>24</v>
      </c>
      <c r="F881" s="3" t="s">
        <v>144</v>
      </c>
      <c r="G881" s="3"/>
      <c r="H881" s="16" t="s">
        <v>2843</v>
      </c>
      <c r="I881" s="21" t="s">
        <v>30</v>
      </c>
    </row>
    <row r="882" spans="1:10">
      <c r="A882" s="16" t="s">
        <v>2921</v>
      </c>
      <c r="B882" s="17">
        <v>100000</v>
      </c>
      <c r="C882" s="2">
        <f>0.0125*B882</f>
        <v>1250</v>
      </c>
      <c r="D882" s="44">
        <v>45485</v>
      </c>
      <c r="E882" s="3" t="s">
        <v>11</v>
      </c>
      <c r="F882" s="3" t="s">
        <v>12</v>
      </c>
      <c r="G882" s="3"/>
    </row>
    <row r="883" spans="1:10">
      <c r="A883" s="16" t="s">
        <v>2922</v>
      </c>
      <c r="B883" s="17">
        <v>100000</v>
      </c>
      <c r="C883" s="2">
        <f>0.0175*B883</f>
        <v>1750.0000000000002</v>
      </c>
      <c r="D883" s="44">
        <v>45485</v>
      </c>
      <c r="E883" s="3" t="s">
        <v>15</v>
      </c>
      <c r="F883" s="3" t="s">
        <v>28</v>
      </c>
      <c r="G883" s="3"/>
      <c r="H883" s="16" t="s">
        <v>2135</v>
      </c>
      <c r="I883" s="21" t="s">
        <v>30</v>
      </c>
      <c r="J883" s="16">
        <v>600</v>
      </c>
    </row>
    <row r="884" spans="1:10">
      <c r="A884" s="16" t="s">
        <v>2923</v>
      </c>
      <c r="B884" s="17">
        <v>175000</v>
      </c>
      <c r="C884" s="2">
        <f>0.0175*165000</f>
        <v>2887.5000000000005</v>
      </c>
      <c r="D884" s="44">
        <v>45488</v>
      </c>
      <c r="E884" s="3" t="s">
        <v>24</v>
      </c>
      <c r="F884" s="3" t="s">
        <v>28</v>
      </c>
      <c r="G884" s="3"/>
      <c r="H884" s="16" t="s">
        <v>2647</v>
      </c>
      <c r="I884" s="21" t="s">
        <v>30</v>
      </c>
    </row>
    <row r="885" spans="1:10">
      <c r="A885" s="16" t="s">
        <v>2924</v>
      </c>
      <c r="B885" s="17">
        <v>125000</v>
      </c>
      <c r="C885" s="2">
        <f>0.0175*B885</f>
        <v>2187.5</v>
      </c>
      <c r="D885" s="44">
        <v>45488</v>
      </c>
      <c r="E885" s="3" t="s">
        <v>135</v>
      </c>
      <c r="F885" s="3" t="s">
        <v>28</v>
      </c>
      <c r="G885" s="3"/>
      <c r="H885" s="16" t="s">
        <v>13</v>
      </c>
      <c r="I885" s="21" t="s">
        <v>30</v>
      </c>
    </row>
    <row r="886" spans="1:10">
      <c r="A886" s="16" t="s">
        <v>2925</v>
      </c>
      <c r="B886" s="17">
        <v>100000</v>
      </c>
      <c r="C886" s="2">
        <f>0.0175*90000</f>
        <v>1575.0000000000002</v>
      </c>
      <c r="D886" s="44">
        <v>45488</v>
      </c>
      <c r="E886" s="3" t="s">
        <v>24</v>
      </c>
      <c r="F886" s="3" t="s">
        <v>28</v>
      </c>
      <c r="G886" s="3"/>
      <c r="H886" s="16" t="s">
        <v>2647</v>
      </c>
      <c r="I886" s="21" t="s">
        <v>30</v>
      </c>
    </row>
    <row r="887" spans="1:10">
      <c r="A887" s="16" t="s">
        <v>2926</v>
      </c>
      <c r="B887" s="17">
        <v>175000</v>
      </c>
      <c r="C887" s="2">
        <f>0.0175*B887</f>
        <v>3062.5000000000005</v>
      </c>
      <c r="D887" s="44">
        <v>45488</v>
      </c>
      <c r="E887" s="3" t="s">
        <v>11</v>
      </c>
      <c r="F887" s="3" t="s">
        <v>28</v>
      </c>
      <c r="G887" s="3"/>
      <c r="I887" s="21" t="s">
        <v>30</v>
      </c>
    </row>
    <row r="888" spans="1:10">
      <c r="A888" s="16" t="s">
        <v>2927</v>
      </c>
      <c r="B888" s="17">
        <v>70000</v>
      </c>
      <c r="C888" s="2">
        <f t="shared" ref="C888:C890" si="174">0.0125*B888</f>
        <v>875</v>
      </c>
      <c r="D888" s="44">
        <v>45488</v>
      </c>
      <c r="E888" s="3" t="s">
        <v>15</v>
      </c>
      <c r="F888" s="3" t="s">
        <v>144</v>
      </c>
      <c r="G888" s="3"/>
      <c r="H888" s="16" t="s">
        <v>16</v>
      </c>
      <c r="J888" s="16">
        <v>280</v>
      </c>
    </row>
    <row r="889" spans="1:10">
      <c r="A889" s="16" t="s">
        <v>348</v>
      </c>
      <c r="B889" s="17">
        <v>900000</v>
      </c>
      <c r="C889" s="2">
        <f t="shared" si="174"/>
        <v>11250</v>
      </c>
      <c r="D889" s="44">
        <v>45488</v>
      </c>
      <c r="E889" s="32" t="s">
        <v>60</v>
      </c>
      <c r="F889" s="3" t="s">
        <v>12</v>
      </c>
      <c r="G889" s="3"/>
    </row>
    <row r="890" spans="1:10">
      <c r="A890" s="16" t="s">
        <v>2928</v>
      </c>
      <c r="B890" s="17">
        <v>300000</v>
      </c>
      <c r="C890" s="2">
        <f t="shared" si="174"/>
        <v>3750</v>
      </c>
      <c r="D890" s="44">
        <v>45488</v>
      </c>
      <c r="E890" s="3" t="s">
        <v>15</v>
      </c>
      <c r="F890" s="3" t="s">
        <v>12</v>
      </c>
      <c r="G890" s="3"/>
      <c r="H890" s="16" t="s">
        <v>98</v>
      </c>
      <c r="J890" s="16">
        <v>900</v>
      </c>
    </row>
    <row r="891" spans="1:10">
      <c r="A891" s="16" t="s">
        <v>2929</v>
      </c>
      <c r="B891" s="17">
        <v>45000</v>
      </c>
      <c r="C891" s="2">
        <f>0.0175*B891</f>
        <v>787.50000000000011</v>
      </c>
      <c r="D891" s="44">
        <v>45488</v>
      </c>
      <c r="E891" s="3" t="s">
        <v>15</v>
      </c>
      <c r="F891" s="3" t="s">
        <v>28</v>
      </c>
      <c r="G891" s="3"/>
      <c r="H891" s="16" t="s">
        <v>2143</v>
      </c>
      <c r="J891" s="16">
        <v>450</v>
      </c>
    </row>
    <row r="892" spans="1:10">
      <c r="A892" s="16" t="s">
        <v>2930</v>
      </c>
      <c r="B892" s="17">
        <v>750000</v>
      </c>
      <c r="C892" s="2">
        <f>0.0125*740000</f>
        <v>9250</v>
      </c>
      <c r="D892" s="44">
        <v>45489</v>
      </c>
      <c r="E892" s="3" t="s">
        <v>24</v>
      </c>
      <c r="F892" s="3" t="s">
        <v>12</v>
      </c>
      <c r="G892" s="3"/>
      <c r="H892" s="16" t="s">
        <v>2843</v>
      </c>
    </row>
    <row r="893" spans="1:10">
      <c r="A893" s="16" t="s">
        <v>2931</v>
      </c>
      <c r="B893" s="17">
        <v>30000</v>
      </c>
      <c r="C893" s="2">
        <f>0.0175*B893</f>
        <v>525</v>
      </c>
      <c r="D893" s="44">
        <v>45489</v>
      </c>
      <c r="E893" s="32" t="s">
        <v>60</v>
      </c>
      <c r="F893" s="3" t="s">
        <v>28</v>
      </c>
      <c r="G893" s="3"/>
      <c r="I893" s="21" t="s">
        <v>30</v>
      </c>
    </row>
    <row r="894" spans="1:10">
      <c r="A894" s="16" t="s">
        <v>2932</v>
      </c>
      <c r="B894" s="17">
        <v>70000</v>
      </c>
      <c r="C894" s="2">
        <f>0.0125*B894</f>
        <v>875</v>
      </c>
      <c r="D894" s="44">
        <v>45489</v>
      </c>
      <c r="E894" s="3" t="s">
        <v>11</v>
      </c>
      <c r="F894" s="3" t="s">
        <v>12</v>
      </c>
      <c r="G894" s="3"/>
    </row>
    <row r="895" spans="1:10">
      <c r="A895" s="16" t="s">
        <v>2933</v>
      </c>
      <c r="B895" s="17">
        <v>100000</v>
      </c>
      <c r="C895" s="2">
        <f>0.0175*B895</f>
        <v>1750.0000000000002</v>
      </c>
      <c r="D895" s="44">
        <v>45489</v>
      </c>
      <c r="E895" s="3" t="s">
        <v>11</v>
      </c>
      <c r="F895" s="3" t="s">
        <v>28</v>
      </c>
      <c r="G895" s="3"/>
      <c r="I895" s="21" t="s">
        <v>30</v>
      </c>
    </row>
    <row r="896" spans="1:10">
      <c r="A896" s="16" t="s">
        <v>2934</v>
      </c>
      <c r="B896" s="17">
        <v>150000</v>
      </c>
      <c r="C896" s="2">
        <f>0.0125*B896</f>
        <v>1875</v>
      </c>
      <c r="D896" s="44">
        <v>45489</v>
      </c>
      <c r="E896" s="3" t="s">
        <v>15</v>
      </c>
      <c r="F896" s="3" t="s">
        <v>12</v>
      </c>
      <c r="G896" s="3"/>
      <c r="H896" s="16" t="s">
        <v>54</v>
      </c>
      <c r="J896" s="16">
        <v>900</v>
      </c>
    </row>
    <row r="897" spans="1:10">
      <c r="A897" s="16" t="s">
        <v>2935</v>
      </c>
      <c r="B897" s="17">
        <v>30000</v>
      </c>
      <c r="C897" s="2">
        <f t="shared" ref="C897:C903" si="175">0.0175*B897</f>
        <v>525</v>
      </c>
      <c r="D897" s="44">
        <v>45489</v>
      </c>
      <c r="E897" s="3" t="s">
        <v>11</v>
      </c>
      <c r="F897" s="3" t="s">
        <v>28</v>
      </c>
      <c r="G897" s="3"/>
      <c r="I897" s="21" t="s">
        <v>30</v>
      </c>
    </row>
    <row r="898" spans="1:10">
      <c r="A898" s="16" t="s">
        <v>2936</v>
      </c>
      <c r="B898" s="17">
        <v>100000</v>
      </c>
      <c r="C898" s="2">
        <f t="shared" si="175"/>
        <v>1750.0000000000002</v>
      </c>
      <c r="D898" s="44">
        <v>45489</v>
      </c>
      <c r="E898" s="3" t="s">
        <v>15</v>
      </c>
      <c r="F898" s="3" t="s">
        <v>28</v>
      </c>
      <c r="G898" s="3"/>
      <c r="H898" s="16" t="s">
        <v>2135</v>
      </c>
      <c r="I898" s="21" t="s">
        <v>30</v>
      </c>
      <c r="J898" s="16">
        <v>600</v>
      </c>
    </row>
    <row r="899" spans="1:10">
      <c r="A899" s="16" t="s">
        <v>2937</v>
      </c>
      <c r="B899" s="17">
        <v>200000</v>
      </c>
      <c r="C899" s="2">
        <f t="shared" si="175"/>
        <v>3500.0000000000005</v>
      </c>
      <c r="D899" s="44">
        <v>45489</v>
      </c>
      <c r="E899" s="3" t="s">
        <v>2938</v>
      </c>
      <c r="F899" s="3" t="s">
        <v>28</v>
      </c>
      <c r="G899" s="3"/>
      <c r="I899" s="21" t="s">
        <v>30</v>
      </c>
    </row>
    <row r="900" spans="1:10">
      <c r="A900" s="16" t="s">
        <v>2939</v>
      </c>
      <c r="B900" s="17">
        <v>140000</v>
      </c>
      <c r="C900" s="2">
        <f t="shared" si="175"/>
        <v>2450.0000000000005</v>
      </c>
      <c r="D900" s="44">
        <v>45489</v>
      </c>
      <c r="E900" s="3" t="s">
        <v>11</v>
      </c>
      <c r="F900" s="3" t="s">
        <v>28</v>
      </c>
      <c r="G900" s="3"/>
      <c r="I900" s="21" t="s">
        <v>30</v>
      </c>
    </row>
    <row r="901" spans="1:10">
      <c r="A901" s="16" t="s">
        <v>2940</v>
      </c>
      <c r="B901" s="17">
        <v>125000</v>
      </c>
      <c r="C901" s="2">
        <f t="shared" si="175"/>
        <v>2187.5</v>
      </c>
      <c r="D901" s="44">
        <v>45489</v>
      </c>
      <c r="E901" s="3" t="s">
        <v>11</v>
      </c>
      <c r="F901" s="3" t="s">
        <v>28</v>
      </c>
      <c r="G901" s="3"/>
    </row>
    <row r="902" spans="1:10">
      <c r="A902" s="16" t="s">
        <v>2941</v>
      </c>
      <c r="B902" s="2">
        <v>50000</v>
      </c>
      <c r="C902" s="2">
        <f t="shared" si="175"/>
        <v>875.00000000000011</v>
      </c>
      <c r="D902" s="44">
        <v>45490</v>
      </c>
      <c r="E902" s="3" t="s">
        <v>15</v>
      </c>
      <c r="F902" s="3" t="s">
        <v>28</v>
      </c>
      <c r="G902" s="3"/>
      <c r="H902" s="16" t="s">
        <v>2253</v>
      </c>
      <c r="I902" s="21" t="s">
        <v>30</v>
      </c>
      <c r="J902" s="16">
        <v>250</v>
      </c>
    </row>
    <row r="903" spans="1:10">
      <c r="A903" s="16" t="s">
        <v>2942</v>
      </c>
      <c r="B903" s="2">
        <v>50000</v>
      </c>
      <c r="C903" s="2">
        <f t="shared" si="175"/>
        <v>875.00000000000011</v>
      </c>
      <c r="D903" s="44">
        <v>45490</v>
      </c>
      <c r="E903" s="32" t="s">
        <v>60</v>
      </c>
      <c r="F903" s="3" t="s">
        <v>28</v>
      </c>
      <c r="G903" s="3"/>
    </row>
    <row r="904" spans="1:10">
      <c r="A904" s="16" t="s">
        <v>2943</v>
      </c>
      <c r="B904" s="2">
        <v>500000</v>
      </c>
      <c r="C904" s="2">
        <f>0.0175*490000</f>
        <v>8575</v>
      </c>
      <c r="D904" s="44">
        <v>45490</v>
      </c>
      <c r="E904" s="3" t="s">
        <v>24</v>
      </c>
      <c r="F904" s="3" t="s">
        <v>28</v>
      </c>
      <c r="G904" s="3"/>
      <c r="H904" s="16" t="s">
        <v>2647</v>
      </c>
      <c r="I904" s="21" t="s">
        <v>30</v>
      </c>
    </row>
    <row r="905" spans="1:10">
      <c r="A905" s="16" t="s">
        <v>2944</v>
      </c>
      <c r="B905" s="2">
        <v>85000</v>
      </c>
      <c r="C905" s="2">
        <f>0.0175*B905</f>
        <v>1487.5000000000002</v>
      </c>
      <c r="D905" s="44">
        <v>45490</v>
      </c>
      <c r="E905" s="3" t="s">
        <v>11</v>
      </c>
      <c r="F905" s="3" t="s">
        <v>28</v>
      </c>
      <c r="G905" s="3"/>
      <c r="I905" s="21" t="s">
        <v>30</v>
      </c>
    </row>
    <row r="906" spans="1:10">
      <c r="A906" s="16" t="s">
        <v>2945</v>
      </c>
      <c r="B906" s="2">
        <v>105000</v>
      </c>
      <c r="C906" s="2">
        <f>0.0125*95000</f>
        <v>1187.5</v>
      </c>
      <c r="D906" s="44">
        <v>45490</v>
      </c>
      <c r="E906" s="3" t="s">
        <v>24</v>
      </c>
      <c r="F906" s="3" t="s">
        <v>12</v>
      </c>
      <c r="G906" s="3"/>
      <c r="H906" s="16" t="s">
        <v>2843</v>
      </c>
    </row>
    <row r="907" spans="1:10">
      <c r="A907" s="16" t="s">
        <v>2946</v>
      </c>
      <c r="B907" s="2">
        <v>50000</v>
      </c>
      <c r="C907" s="2">
        <f>0.0175*B907</f>
        <v>875.00000000000011</v>
      </c>
      <c r="D907" s="44">
        <v>45490</v>
      </c>
      <c r="E907" s="3" t="s">
        <v>11</v>
      </c>
      <c r="F907" s="3" t="s">
        <v>28</v>
      </c>
      <c r="G907" s="3"/>
      <c r="I907" s="21" t="s">
        <v>30</v>
      </c>
    </row>
    <row r="908" spans="1:10">
      <c r="A908" s="16" t="s">
        <v>2947</v>
      </c>
      <c r="B908" s="2">
        <v>110000</v>
      </c>
      <c r="C908" s="2">
        <f>0.0125*100000</f>
        <v>1250</v>
      </c>
      <c r="D908" s="44">
        <v>45490</v>
      </c>
      <c r="E908" s="3" t="s">
        <v>24</v>
      </c>
      <c r="F908" s="3" t="s">
        <v>12</v>
      </c>
      <c r="G908" s="3"/>
      <c r="H908" s="16" t="s">
        <v>2843</v>
      </c>
    </row>
    <row r="909" spans="1:10">
      <c r="A909" s="16" t="s">
        <v>2948</v>
      </c>
      <c r="B909" s="2">
        <v>75000</v>
      </c>
      <c r="C909" s="2">
        <f>0.0125*B909</f>
        <v>937.5</v>
      </c>
      <c r="D909" s="44">
        <v>45490</v>
      </c>
      <c r="E909" s="3" t="s">
        <v>11</v>
      </c>
      <c r="F909" s="3" t="s">
        <v>12</v>
      </c>
      <c r="G909" s="3"/>
    </row>
    <row r="910" spans="1:10">
      <c r="A910" s="16" t="s">
        <v>2949</v>
      </c>
      <c r="B910" s="2">
        <v>25000</v>
      </c>
      <c r="C910" s="2">
        <f t="shared" ref="C910:C911" si="176">0.0175*B910</f>
        <v>437.50000000000006</v>
      </c>
      <c r="D910" s="44">
        <v>45490</v>
      </c>
      <c r="E910" s="3" t="s">
        <v>15</v>
      </c>
      <c r="F910" s="3" t="s">
        <v>28</v>
      </c>
      <c r="G910" s="3"/>
      <c r="H910" s="16" t="s">
        <v>2116</v>
      </c>
      <c r="J910" s="16">
        <v>300</v>
      </c>
    </row>
    <row r="911" spans="1:10">
      <c r="A911" s="16" t="s">
        <v>2950</v>
      </c>
      <c r="B911" s="2">
        <v>50000</v>
      </c>
      <c r="C911" s="2">
        <f t="shared" si="176"/>
        <v>875.00000000000011</v>
      </c>
      <c r="D911" s="44">
        <v>45490</v>
      </c>
      <c r="E911" s="3" t="s">
        <v>15</v>
      </c>
      <c r="F911" s="3" t="s">
        <v>28</v>
      </c>
      <c r="G911" s="3"/>
      <c r="H911" s="16" t="s">
        <v>2116</v>
      </c>
      <c r="J911" s="16">
        <v>600</v>
      </c>
    </row>
    <row r="912" spans="1:10">
      <c r="A912" s="16" t="s">
        <v>2951</v>
      </c>
      <c r="B912" s="2">
        <v>625000</v>
      </c>
      <c r="C912" s="2">
        <f>0.0125*B912</f>
        <v>7812.5</v>
      </c>
      <c r="D912" s="44">
        <v>45491</v>
      </c>
      <c r="E912" s="3" t="s">
        <v>40</v>
      </c>
      <c r="F912" s="3" t="s">
        <v>12</v>
      </c>
      <c r="G912" s="3"/>
    </row>
    <row r="913" spans="1:10">
      <c r="A913" s="16" t="s">
        <v>2952</v>
      </c>
      <c r="B913" s="2">
        <v>40000</v>
      </c>
      <c r="C913" s="2">
        <f>0.0175*B913</f>
        <v>700.00000000000011</v>
      </c>
      <c r="D913" s="44">
        <v>45491</v>
      </c>
      <c r="E913" s="3" t="s">
        <v>11</v>
      </c>
      <c r="F913" s="3" t="s">
        <v>28</v>
      </c>
      <c r="G913" s="3"/>
      <c r="I913" s="21" t="s">
        <v>30</v>
      </c>
    </row>
    <row r="914" spans="1:10">
      <c r="A914" s="16" t="s">
        <v>2953</v>
      </c>
      <c r="B914" s="17">
        <v>32000</v>
      </c>
      <c r="C914" s="2">
        <f>0.0125*B914</f>
        <v>400</v>
      </c>
      <c r="D914" s="44">
        <v>45491</v>
      </c>
      <c r="E914" s="3" t="s">
        <v>11</v>
      </c>
      <c r="F914" s="3" t="s">
        <v>12</v>
      </c>
      <c r="G914" s="3"/>
    </row>
    <row r="915" spans="1:10">
      <c r="A915" s="16" t="s">
        <v>2954</v>
      </c>
      <c r="B915" s="17">
        <v>10000</v>
      </c>
      <c r="C915" s="2">
        <f t="shared" ref="C915:C917" si="177">0.0175*B915</f>
        <v>175.00000000000003</v>
      </c>
      <c r="D915" s="44">
        <v>45491</v>
      </c>
      <c r="E915" s="3" t="s">
        <v>92</v>
      </c>
      <c r="F915" s="3" t="s">
        <v>28</v>
      </c>
      <c r="G915" s="3"/>
    </row>
    <row r="916" spans="1:10">
      <c r="A916" s="16" t="s">
        <v>2955</v>
      </c>
      <c r="B916" s="17">
        <v>40000</v>
      </c>
      <c r="C916" s="2">
        <f t="shared" si="177"/>
        <v>700.00000000000011</v>
      </c>
      <c r="D916" s="44">
        <v>45491</v>
      </c>
      <c r="E916" s="3" t="s">
        <v>1207</v>
      </c>
      <c r="F916" s="3" t="s">
        <v>2842</v>
      </c>
      <c r="G916" s="3"/>
      <c r="H916" s="16" t="s">
        <v>22</v>
      </c>
    </row>
    <row r="917" spans="1:10">
      <c r="A917" s="16" t="s">
        <v>2956</v>
      </c>
      <c r="B917" s="17">
        <v>20000</v>
      </c>
      <c r="C917" s="2">
        <f t="shared" si="177"/>
        <v>350.00000000000006</v>
      </c>
      <c r="D917" s="44">
        <v>45491</v>
      </c>
      <c r="E917" s="3" t="s">
        <v>11</v>
      </c>
      <c r="F917" s="3" t="s">
        <v>28</v>
      </c>
      <c r="G917" s="3"/>
    </row>
    <row r="918" spans="1:10">
      <c r="A918" s="16" t="s">
        <v>2957</v>
      </c>
      <c r="B918" s="2">
        <v>17500</v>
      </c>
      <c r="C918" s="2">
        <f>0.0125*B918</f>
        <v>218.75</v>
      </c>
      <c r="D918" s="44">
        <v>45491</v>
      </c>
      <c r="E918" s="3" t="s">
        <v>15</v>
      </c>
      <c r="F918" s="3" t="s">
        <v>12</v>
      </c>
      <c r="G918" s="3"/>
      <c r="H918" s="16" t="s">
        <v>54</v>
      </c>
      <c r="J918" s="16">
        <v>105</v>
      </c>
    </row>
    <row r="919" spans="1:10">
      <c r="A919" s="16" t="s">
        <v>2958</v>
      </c>
      <c r="B919" s="2">
        <v>250000</v>
      </c>
      <c r="C919" s="2">
        <f t="shared" ref="C919:C922" si="178">0.0175*B919</f>
        <v>4375</v>
      </c>
      <c r="D919" s="44">
        <v>45492</v>
      </c>
      <c r="E919" s="3" t="s">
        <v>210</v>
      </c>
      <c r="F919" s="3" t="s">
        <v>28</v>
      </c>
      <c r="G919" s="3"/>
      <c r="H919" s="16" t="s">
        <v>13</v>
      </c>
      <c r="I919" s="21" t="s">
        <v>30</v>
      </c>
    </row>
    <row r="920" spans="1:10">
      <c r="A920" s="16" t="s">
        <v>2959</v>
      </c>
      <c r="B920" s="2">
        <v>60000</v>
      </c>
      <c r="C920" s="2">
        <f t="shared" si="178"/>
        <v>1050</v>
      </c>
      <c r="D920" s="44">
        <v>45492</v>
      </c>
      <c r="E920" s="32" t="s">
        <v>60</v>
      </c>
      <c r="F920" s="3" t="s">
        <v>28</v>
      </c>
      <c r="G920" s="3"/>
    </row>
    <row r="921" spans="1:10">
      <c r="A921" s="16" t="s">
        <v>2646</v>
      </c>
      <c r="B921" s="2">
        <v>250000</v>
      </c>
      <c r="C921" s="2">
        <f t="shared" si="178"/>
        <v>4375</v>
      </c>
      <c r="D921" s="44">
        <v>45495</v>
      </c>
      <c r="E921" s="3" t="s">
        <v>24</v>
      </c>
      <c r="F921" s="3" t="s">
        <v>144</v>
      </c>
      <c r="G921" s="3"/>
      <c r="H921" s="16" t="s">
        <v>2843</v>
      </c>
    </row>
    <row r="922" spans="1:10">
      <c r="A922" s="16" t="s">
        <v>2919</v>
      </c>
      <c r="B922" s="2">
        <v>250000</v>
      </c>
      <c r="C922" s="2">
        <f t="shared" si="178"/>
        <v>4375</v>
      </c>
      <c r="D922" s="44">
        <v>45495</v>
      </c>
      <c r="E922" s="3" t="s">
        <v>21</v>
      </c>
      <c r="F922" s="3" t="s">
        <v>67</v>
      </c>
      <c r="G922" s="3"/>
      <c r="H922" s="16" t="s">
        <v>1008</v>
      </c>
      <c r="I922" s="21" t="s">
        <v>30</v>
      </c>
    </row>
    <row r="923" spans="1:10">
      <c r="A923" s="16" t="s">
        <v>2960</v>
      </c>
      <c r="B923" s="2">
        <v>120000</v>
      </c>
      <c r="C923" s="2">
        <f t="shared" ref="C923:C925" si="179">0.0125*B923</f>
        <v>1500</v>
      </c>
      <c r="D923" s="44">
        <v>45495</v>
      </c>
      <c r="E923" s="3" t="s">
        <v>15</v>
      </c>
      <c r="F923" s="3" t="s">
        <v>12</v>
      </c>
      <c r="G923" s="3"/>
      <c r="H923" s="16" t="s">
        <v>16</v>
      </c>
      <c r="J923" s="16">
        <v>480</v>
      </c>
    </row>
    <row r="924" spans="1:10">
      <c r="A924" s="16" t="s">
        <v>2961</v>
      </c>
      <c r="B924" s="2">
        <v>250000</v>
      </c>
      <c r="C924" s="2">
        <f t="shared" si="179"/>
        <v>3125</v>
      </c>
      <c r="D924" s="44">
        <v>45495</v>
      </c>
      <c r="E924" s="3" t="s">
        <v>75</v>
      </c>
      <c r="F924" s="3" t="s">
        <v>12</v>
      </c>
      <c r="G924" s="3"/>
    </row>
    <row r="925" spans="1:10">
      <c r="A925" s="16" t="s">
        <v>2962</v>
      </c>
      <c r="B925" s="2">
        <v>500000</v>
      </c>
      <c r="C925" s="2">
        <f t="shared" si="179"/>
        <v>6250</v>
      </c>
      <c r="D925" s="44">
        <v>45495</v>
      </c>
      <c r="E925" s="3" t="s">
        <v>345</v>
      </c>
      <c r="F925" s="3" t="s">
        <v>12</v>
      </c>
      <c r="G925" s="3"/>
      <c r="H925" s="16" t="s">
        <v>22</v>
      </c>
    </row>
    <row r="926" spans="1:10">
      <c r="A926" s="16" t="s">
        <v>2788</v>
      </c>
      <c r="B926" s="2">
        <v>100000</v>
      </c>
      <c r="C926" s="2">
        <f>0.0175*B926</f>
        <v>1750.0000000000002</v>
      </c>
      <c r="D926" s="44">
        <v>45495</v>
      </c>
      <c r="E926" s="3" t="s">
        <v>11</v>
      </c>
      <c r="F926" s="3" t="s">
        <v>67</v>
      </c>
      <c r="G926" s="3"/>
    </row>
    <row r="927" spans="1:10">
      <c r="A927" s="16" t="s">
        <v>2807</v>
      </c>
      <c r="B927" s="2">
        <v>500000</v>
      </c>
      <c r="C927" s="2">
        <f>0.0125*B927</f>
        <v>6250</v>
      </c>
      <c r="D927" s="44">
        <v>45495</v>
      </c>
      <c r="E927" s="3" t="s">
        <v>2963</v>
      </c>
      <c r="F927" s="3" t="s">
        <v>144</v>
      </c>
      <c r="G927" s="3"/>
    </row>
    <row r="928" spans="1:10">
      <c r="A928" s="16" t="s">
        <v>2964</v>
      </c>
      <c r="B928" s="2">
        <v>100000</v>
      </c>
      <c r="C928" s="2">
        <f>0.0175*B928</f>
        <v>1750.0000000000002</v>
      </c>
      <c r="D928" s="44">
        <v>45495</v>
      </c>
      <c r="E928" s="3" t="s">
        <v>15</v>
      </c>
      <c r="F928" s="3" t="s">
        <v>28</v>
      </c>
      <c r="G928" s="3"/>
      <c r="H928" s="16" t="s">
        <v>2253</v>
      </c>
      <c r="I928" s="21" t="s">
        <v>30</v>
      </c>
      <c r="J928" s="16">
        <v>500</v>
      </c>
    </row>
    <row r="929" spans="1:10">
      <c r="A929" s="16" t="s">
        <v>2965</v>
      </c>
      <c r="B929" s="2">
        <v>75000</v>
      </c>
      <c r="C929" s="2">
        <f t="shared" ref="C929:C933" si="180">0.0125*B929</f>
        <v>937.5</v>
      </c>
      <c r="D929" s="44">
        <v>45495</v>
      </c>
      <c r="E929" s="3" t="s">
        <v>92</v>
      </c>
      <c r="F929" s="3" t="s">
        <v>12</v>
      </c>
      <c r="G929" s="3"/>
    </row>
    <row r="930" spans="1:10">
      <c r="A930" s="16" t="s">
        <v>2966</v>
      </c>
      <c r="B930" s="2">
        <v>100000</v>
      </c>
      <c r="C930" s="2">
        <f t="shared" si="180"/>
        <v>1250</v>
      </c>
      <c r="D930" s="44">
        <v>45495</v>
      </c>
      <c r="E930" s="3" t="s">
        <v>15</v>
      </c>
      <c r="F930" s="3" t="s">
        <v>12</v>
      </c>
      <c r="G930" s="3"/>
      <c r="H930" s="16" t="s">
        <v>16</v>
      </c>
      <c r="J930" s="16">
        <v>400</v>
      </c>
    </row>
    <row r="931" spans="1:10">
      <c r="A931" s="16" t="s">
        <v>2967</v>
      </c>
      <c r="B931" s="2">
        <v>250000</v>
      </c>
      <c r="C931" s="2">
        <f t="shared" si="180"/>
        <v>3125</v>
      </c>
      <c r="D931" s="44">
        <v>45496</v>
      </c>
      <c r="E931" s="3" t="s">
        <v>73</v>
      </c>
      <c r="F931" s="3" t="s">
        <v>12</v>
      </c>
      <c r="G931" s="3"/>
    </row>
    <row r="932" spans="1:10">
      <c r="A932" s="16" t="s">
        <v>747</v>
      </c>
      <c r="B932" s="2">
        <v>120000</v>
      </c>
      <c r="C932" s="2">
        <f t="shared" si="180"/>
        <v>1500</v>
      </c>
      <c r="D932" s="44">
        <v>45496</v>
      </c>
      <c r="E932" s="3" t="s">
        <v>73</v>
      </c>
      <c r="F932" s="3" t="s">
        <v>12</v>
      </c>
      <c r="G932" s="3"/>
    </row>
    <row r="933" spans="1:10">
      <c r="A933" s="16" t="s">
        <v>2968</v>
      </c>
      <c r="B933" s="2">
        <v>100000</v>
      </c>
      <c r="C933" s="2">
        <f t="shared" si="180"/>
        <v>1250</v>
      </c>
      <c r="D933" s="44">
        <v>45496</v>
      </c>
      <c r="E933" s="3" t="s">
        <v>11</v>
      </c>
      <c r="F933" s="3" t="s">
        <v>12</v>
      </c>
      <c r="G933" s="3"/>
    </row>
    <row r="934" spans="1:10">
      <c r="A934" s="16" t="s">
        <v>2969</v>
      </c>
      <c r="B934" s="2">
        <v>250000</v>
      </c>
      <c r="C934" s="2">
        <f>0.0175*B934</f>
        <v>4375</v>
      </c>
      <c r="D934" s="44">
        <v>45496</v>
      </c>
      <c r="E934" s="3" t="s">
        <v>92</v>
      </c>
      <c r="F934" s="3" t="s">
        <v>28</v>
      </c>
      <c r="G934" s="3"/>
      <c r="I934" s="21" t="s">
        <v>30</v>
      </c>
    </row>
    <row r="935" spans="1:10">
      <c r="A935" s="16" t="s">
        <v>2970</v>
      </c>
      <c r="B935" s="2">
        <v>200000</v>
      </c>
      <c r="C935" s="2">
        <f>0.0175*190000</f>
        <v>3325.0000000000005</v>
      </c>
      <c r="D935" s="44">
        <v>45496</v>
      </c>
      <c r="E935" s="3" t="s">
        <v>24</v>
      </c>
      <c r="F935" s="3" t="s">
        <v>28</v>
      </c>
      <c r="G935" s="3"/>
      <c r="H935" s="16" t="s">
        <v>2647</v>
      </c>
      <c r="I935" s="21" t="s">
        <v>30</v>
      </c>
    </row>
    <row r="936" spans="1:10">
      <c r="A936" s="16" t="s">
        <v>585</v>
      </c>
      <c r="B936" s="2">
        <v>165000</v>
      </c>
      <c r="C936" s="2">
        <f>0.0125*B936</f>
        <v>2062.5</v>
      </c>
      <c r="D936" s="44">
        <v>45497</v>
      </c>
      <c r="E936" s="3" t="s">
        <v>772</v>
      </c>
      <c r="F936" s="3" t="s">
        <v>12</v>
      </c>
      <c r="G936" s="3"/>
    </row>
    <row r="937" spans="1:10">
      <c r="A937" s="16" t="s">
        <v>2971</v>
      </c>
      <c r="B937" s="2">
        <v>180000</v>
      </c>
      <c r="C937" s="2">
        <f t="shared" ref="C937:C942" si="181">0.0175*B937</f>
        <v>3150.0000000000005</v>
      </c>
      <c r="D937" s="44">
        <v>45497</v>
      </c>
      <c r="E937" s="3" t="s">
        <v>24</v>
      </c>
      <c r="F937" s="3" t="s">
        <v>28</v>
      </c>
      <c r="G937" s="3"/>
      <c r="H937" s="16" t="s">
        <v>2647</v>
      </c>
      <c r="I937" s="21" t="s">
        <v>30</v>
      </c>
    </row>
    <row r="938" spans="1:10">
      <c r="A938" s="16" t="s">
        <v>2972</v>
      </c>
      <c r="B938" s="2">
        <v>75000</v>
      </c>
      <c r="C938" s="2">
        <f t="shared" si="181"/>
        <v>1312.5000000000002</v>
      </c>
      <c r="D938" s="44">
        <v>45497</v>
      </c>
      <c r="E938" s="3" t="s">
        <v>461</v>
      </c>
      <c r="F938" s="3" t="s">
        <v>28</v>
      </c>
      <c r="G938" s="3"/>
      <c r="I938" s="21" t="s">
        <v>30</v>
      </c>
    </row>
    <row r="939" spans="1:10">
      <c r="A939" s="16" t="s">
        <v>2973</v>
      </c>
      <c r="B939" s="2">
        <v>300000</v>
      </c>
      <c r="C939" s="2">
        <f t="shared" si="181"/>
        <v>5250.0000000000009</v>
      </c>
      <c r="D939" s="44">
        <v>45497</v>
      </c>
      <c r="E939" s="3" t="s">
        <v>11</v>
      </c>
      <c r="F939" s="3" t="s">
        <v>28</v>
      </c>
      <c r="G939" s="3"/>
      <c r="I939" s="21" t="s">
        <v>30</v>
      </c>
    </row>
    <row r="940" spans="1:10">
      <c r="A940" s="16" t="s">
        <v>2580</v>
      </c>
      <c r="B940" s="2">
        <v>200000</v>
      </c>
      <c r="C940" s="2">
        <f t="shared" si="181"/>
        <v>3500.0000000000005</v>
      </c>
      <c r="D940" s="44">
        <v>45497</v>
      </c>
      <c r="E940" s="3" t="s">
        <v>60</v>
      </c>
      <c r="F940" s="3" t="s">
        <v>144</v>
      </c>
      <c r="G940" s="3"/>
    </row>
    <row r="941" spans="1:10">
      <c r="A941" s="16" t="s">
        <v>2974</v>
      </c>
      <c r="B941" s="2">
        <v>300000</v>
      </c>
      <c r="C941" s="2">
        <f t="shared" si="181"/>
        <v>5250.0000000000009</v>
      </c>
      <c r="D941" s="44">
        <v>45497</v>
      </c>
      <c r="E941" s="3" t="s">
        <v>60</v>
      </c>
      <c r="F941" s="3" t="s">
        <v>28</v>
      </c>
      <c r="G941" s="3"/>
      <c r="I941" s="21" t="s">
        <v>30</v>
      </c>
    </row>
    <row r="942" spans="1:10">
      <c r="A942" s="16" t="s">
        <v>2975</v>
      </c>
      <c r="B942" s="2">
        <v>500000</v>
      </c>
      <c r="C942" s="2">
        <f t="shared" si="181"/>
        <v>8750</v>
      </c>
      <c r="D942" s="44">
        <v>45497</v>
      </c>
      <c r="E942" s="3" t="s">
        <v>210</v>
      </c>
      <c r="F942" s="3" t="s">
        <v>28</v>
      </c>
      <c r="G942" s="3"/>
      <c r="H942" s="16" t="s">
        <v>1008</v>
      </c>
      <c r="I942" s="21" t="s">
        <v>30</v>
      </c>
    </row>
    <row r="943" spans="1:10">
      <c r="A943" s="16" t="s">
        <v>2976</v>
      </c>
      <c r="B943" s="2">
        <v>350000</v>
      </c>
      <c r="C943" s="2">
        <f>0.0175*340000</f>
        <v>5950.0000000000009</v>
      </c>
      <c r="D943" s="44">
        <v>45497</v>
      </c>
      <c r="E943" s="3" t="s">
        <v>24</v>
      </c>
      <c r="F943" s="3" t="s">
        <v>28</v>
      </c>
      <c r="G943" s="3"/>
      <c r="H943" s="16" t="s">
        <v>2647</v>
      </c>
      <c r="I943" s="21" t="s">
        <v>30</v>
      </c>
    </row>
    <row r="944" spans="1:10">
      <c r="A944" s="16" t="s">
        <v>2977</v>
      </c>
      <c r="B944" s="2">
        <v>50000</v>
      </c>
      <c r="C944" s="2">
        <f>0.0175*B944</f>
        <v>875.00000000000011</v>
      </c>
      <c r="D944" s="44">
        <v>45498</v>
      </c>
      <c r="E944" s="3" t="s">
        <v>73</v>
      </c>
      <c r="F944" s="3" t="s">
        <v>28</v>
      </c>
      <c r="G944" s="3"/>
      <c r="I944" s="21" t="s">
        <v>30</v>
      </c>
    </row>
    <row r="945" spans="1:10">
      <c r="A945" s="16" t="s">
        <v>723</v>
      </c>
      <c r="B945" s="2">
        <v>15000</v>
      </c>
      <c r="C945" s="2">
        <f t="shared" ref="C945:C946" si="182">0.0125*B945</f>
        <v>187.5</v>
      </c>
      <c r="D945" s="44">
        <v>45498</v>
      </c>
      <c r="E945" s="3" t="s">
        <v>15</v>
      </c>
      <c r="F945" s="3" t="s">
        <v>12</v>
      </c>
      <c r="G945" s="3"/>
      <c r="H945" s="16" t="s">
        <v>16</v>
      </c>
      <c r="J945" s="16">
        <v>60</v>
      </c>
    </row>
    <row r="946" spans="1:10">
      <c r="A946" s="16" t="s">
        <v>196</v>
      </c>
      <c r="B946" s="2">
        <v>72500</v>
      </c>
      <c r="C946" s="2">
        <f t="shared" si="182"/>
        <v>906.25</v>
      </c>
      <c r="D946" s="44">
        <v>45498</v>
      </c>
      <c r="E946" s="3" t="s">
        <v>197</v>
      </c>
      <c r="F946" s="3" t="s">
        <v>12</v>
      </c>
      <c r="G946" s="3"/>
      <c r="H946" s="16" t="s">
        <v>22</v>
      </c>
    </row>
    <row r="947" spans="1:10">
      <c r="A947" s="16" t="s">
        <v>2978</v>
      </c>
      <c r="B947" s="2">
        <v>225000</v>
      </c>
      <c r="C947" s="2">
        <f t="shared" ref="C947:C948" si="183">0.0175*B947</f>
        <v>3937.5000000000005</v>
      </c>
      <c r="D947" s="44">
        <v>45498</v>
      </c>
      <c r="E947" s="3" t="s">
        <v>92</v>
      </c>
      <c r="F947" s="3" t="s">
        <v>28</v>
      </c>
      <c r="G947" s="3"/>
      <c r="I947" s="21" t="s">
        <v>30</v>
      </c>
    </row>
    <row r="948" spans="1:10">
      <c r="A948" s="16" t="s">
        <v>2979</v>
      </c>
      <c r="B948" s="2">
        <v>130000</v>
      </c>
      <c r="C948" s="2">
        <f t="shared" si="183"/>
        <v>2275</v>
      </c>
      <c r="D948" s="44">
        <v>45498</v>
      </c>
      <c r="E948" s="3" t="s">
        <v>2157</v>
      </c>
      <c r="F948" s="3" t="s">
        <v>28</v>
      </c>
      <c r="G948" s="3"/>
      <c r="H948" s="16" t="s">
        <v>13</v>
      </c>
      <c r="I948" s="21" t="s">
        <v>30</v>
      </c>
    </row>
    <row r="949" spans="1:10">
      <c r="A949" s="16" t="s">
        <v>2980</v>
      </c>
      <c r="B949" s="17">
        <v>50000</v>
      </c>
      <c r="C949" s="2">
        <f t="shared" ref="C949:C953" si="184">0.0125*B949</f>
        <v>625</v>
      </c>
      <c r="D949" s="44">
        <v>45498</v>
      </c>
      <c r="E949" s="3" t="s">
        <v>60</v>
      </c>
      <c r="F949" s="3" t="s">
        <v>12</v>
      </c>
      <c r="G949" s="3"/>
    </row>
    <row r="950" spans="1:10">
      <c r="A950" s="16" t="s">
        <v>2981</v>
      </c>
      <c r="B950" s="17">
        <v>55000</v>
      </c>
      <c r="C950" s="2">
        <f t="shared" si="184"/>
        <v>687.5</v>
      </c>
      <c r="D950" s="44">
        <v>45498</v>
      </c>
      <c r="E950" s="3" t="s">
        <v>11</v>
      </c>
      <c r="F950" s="3" t="s">
        <v>12</v>
      </c>
      <c r="G950" s="3"/>
    </row>
    <row r="951" spans="1:10">
      <c r="A951" s="16" t="s">
        <v>2174</v>
      </c>
      <c r="B951" s="17">
        <v>100000</v>
      </c>
      <c r="C951" s="2">
        <f t="shared" si="184"/>
        <v>1250</v>
      </c>
      <c r="D951" s="44">
        <v>45498</v>
      </c>
      <c r="E951" s="3" t="s">
        <v>11</v>
      </c>
      <c r="F951" s="3" t="s">
        <v>12</v>
      </c>
      <c r="G951" s="3"/>
    </row>
    <row r="952" spans="1:10">
      <c r="A952" s="16" t="s">
        <v>254</v>
      </c>
      <c r="B952" s="17">
        <v>42500</v>
      </c>
      <c r="C952" s="2">
        <f t="shared" si="184"/>
        <v>531.25</v>
      </c>
      <c r="D952" s="44">
        <v>45498</v>
      </c>
      <c r="E952" s="3" t="s">
        <v>40</v>
      </c>
      <c r="F952" s="3" t="s">
        <v>12</v>
      </c>
      <c r="G952" s="3"/>
    </row>
    <row r="953" spans="1:10">
      <c r="A953" s="16" t="s">
        <v>2982</v>
      </c>
      <c r="B953" s="17">
        <v>100000</v>
      </c>
      <c r="C953" s="2">
        <f t="shared" si="184"/>
        <v>1250</v>
      </c>
      <c r="D953" s="44">
        <v>45498</v>
      </c>
      <c r="E953" s="3" t="s">
        <v>11</v>
      </c>
      <c r="F953" s="3" t="s">
        <v>12</v>
      </c>
      <c r="G953" s="3"/>
    </row>
    <row r="954" spans="1:10">
      <c r="A954" s="16" t="s">
        <v>2983</v>
      </c>
      <c r="B954" s="2">
        <v>30000</v>
      </c>
      <c r="C954" s="2">
        <f t="shared" ref="C954:C960" si="185">0.0175*B954</f>
        <v>525</v>
      </c>
      <c r="D954" s="44">
        <v>45498</v>
      </c>
      <c r="E954" s="3" t="s">
        <v>21</v>
      </c>
      <c r="F954" s="3" t="s">
        <v>28</v>
      </c>
      <c r="G954" s="3"/>
      <c r="H954" s="16" t="s">
        <v>13</v>
      </c>
      <c r="I954" s="21" t="s">
        <v>30</v>
      </c>
    </row>
    <row r="955" spans="1:10">
      <c r="A955" s="16" t="s">
        <v>2984</v>
      </c>
      <c r="B955" s="2">
        <v>150000</v>
      </c>
      <c r="C955" s="2">
        <f t="shared" si="185"/>
        <v>2625.0000000000005</v>
      </c>
      <c r="D955" s="44">
        <v>45498</v>
      </c>
      <c r="E955" s="3" t="s">
        <v>60</v>
      </c>
      <c r="F955" s="3" t="s">
        <v>28</v>
      </c>
      <c r="G955" s="3"/>
      <c r="I955" s="21" t="s">
        <v>30</v>
      </c>
    </row>
    <row r="956" spans="1:10">
      <c r="A956" s="16" t="s">
        <v>2985</v>
      </c>
      <c r="B956" s="2">
        <v>150000</v>
      </c>
      <c r="C956" s="2">
        <f t="shared" si="185"/>
        <v>2625.0000000000005</v>
      </c>
      <c r="D956" s="44">
        <v>45498</v>
      </c>
      <c r="E956" s="3" t="s">
        <v>60</v>
      </c>
      <c r="F956" s="3" t="s">
        <v>28</v>
      </c>
      <c r="G956" s="3"/>
      <c r="I956" s="21" t="s">
        <v>30</v>
      </c>
    </row>
    <row r="957" spans="1:10">
      <c r="A957" s="16" t="s">
        <v>1308</v>
      </c>
      <c r="B957" s="2">
        <v>20000</v>
      </c>
      <c r="C957" s="2">
        <f t="shared" si="185"/>
        <v>350.00000000000006</v>
      </c>
      <c r="D957" s="44">
        <v>45499</v>
      </c>
      <c r="E957" s="3" t="s">
        <v>15</v>
      </c>
      <c r="F957" s="3" t="s">
        <v>28</v>
      </c>
      <c r="G957" s="3"/>
      <c r="H957" s="16" t="s">
        <v>2126</v>
      </c>
      <c r="J957" s="16">
        <v>160</v>
      </c>
    </row>
    <row r="958" spans="1:10">
      <c r="A958" s="16" t="s">
        <v>2986</v>
      </c>
      <c r="B958" s="2">
        <v>175000</v>
      </c>
      <c r="C958" s="2">
        <f t="shared" si="185"/>
        <v>3062.5000000000005</v>
      </c>
      <c r="D958" s="44">
        <v>45499</v>
      </c>
      <c r="E958" s="3" t="s">
        <v>11</v>
      </c>
      <c r="F958" s="3" t="s">
        <v>28</v>
      </c>
      <c r="G958" s="3"/>
      <c r="I958" s="21" t="s">
        <v>30</v>
      </c>
    </row>
    <row r="959" spans="1:10">
      <c r="A959" s="16" t="s">
        <v>2987</v>
      </c>
      <c r="B959" s="2">
        <v>1250000</v>
      </c>
      <c r="C959" s="2">
        <f t="shared" si="185"/>
        <v>21875.000000000004</v>
      </c>
      <c r="D959" s="44">
        <v>45502</v>
      </c>
      <c r="E959" s="3" t="s">
        <v>60</v>
      </c>
      <c r="F959" s="3" t="s">
        <v>28</v>
      </c>
      <c r="G959" s="3"/>
      <c r="I959" s="21" t="s">
        <v>30</v>
      </c>
    </row>
    <row r="960" spans="1:10">
      <c r="A960" s="16" t="s">
        <v>2556</v>
      </c>
      <c r="B960" s="2">
        <v>20000</v>
      </c>
      <c r="C960" s="2">
        <f t="shared" si="185"/>
        <v>350.00000000000006</v>
      </c>
      <c r="D960" s="44">
        <v>45502</v>
      </c>
      <c r="E960" s="3" t="s">
        <v>15</v>
      </c>
      <c r="F960" s="3" t="s">
        <v>67</v>
      </c>
      <c r="G960" s="3"/>
      <c r="H960" s="16" t="s">
        <v>2409</v>
      </c>
      <c r="I960" s="21" t="s">
        <v>30</v>
      </c>
      <c r="J960" s="16">
        <v>40</v>
      </c>
    </row>
    <row r="961" spans="1:10">
      <c r="A961" s="16" t="s">
        <v>2988</v>
      </c>
      <c r="B961" s="2">
        <v>250000</v>
      </c>
      <c r="C961" s="2">
        <f t="shared" ref="C961:C963" si="186">0.0125*B961</f>
        <v>3125</v>
      </c>
      <c r="D961" s="44">
        <v>45502</v>
      </c>
      <c r="E961" s="3" t="s">
        <v>24</v>
      </c>
      <c r="F961" s="3" t="s">
        <v>12</v>
      </c>
      <c r="G961" s="3"/>
      <c r="H961" s="16" t="s">
        <v>2843</v>
      </c>
    </row>
    <row r="962" spans="1:10">
      <c r="A962" s="16" t="s">
        <v>259</v>
      </c>
      <c r="B962" s="2">
        <v>240000</v>
      </c>
      <c r="C962" s="2">
        <f t="shared" si="186"/>
        <v>3000</v>
      </c>
      <c r="D962" s="44">
        <v>45502</v>
      </c>
      <c r="E962" s="3" t="s">
        <v>11</v>
      </c>
      <c r="F962" s="3" t="s">
        <v>12</v>
      </c>
      <c r="G962" s="3"/>
    </row>
    <row r="963" spans="1:10">
      <c r="A963" s="16" t="s">
        <v>2111</v>
      </c>
      <c r="B963" s="2">
        <v>100000</v>
      </c>
      <c r="C963" s="2">
        <f t="shared" si="186"/>
        <v>1250</v>
      </c>
      <c r="D963" s="44">
        <v>45502</v>
      </c>
      <c r="E963" s="3" t="s">
        <v>240</v>
      </c>
      <c r="F963" s="3" t="s">
        <v>12</v>
      </c>
      <c r="G963" s="3"/>
    </row>
    <row r="964" spans="1:10">
      <c r="A964" s="16" t="s">
        <v>2989</v>
      </c>
      <c r="B964" s="2">
        <v>267500</v>
      </c>
      <c r="C964" s="2">
        <f t="shared" ref="C964:C967" si="187">0.0175*B964</f>
        <v>4681.25</v>
      </c>
      <c r="D964" s="44">
        <v>45502</v>
      </c>
      <c r="E964" s="3" t="s">
        <v>21</v>
      </c>
      <c r="F964" s="3" t="s">
        <v>28</v>
      </c>
      <c r="G964" s="3"/>
      <c r="H964" s="16" t="s">
        <v>13</v>
      </c>
      <c r="I964" s="21" t="s">
        <v>30</v>
      </c>
    </row>
    <row r="965" spans="1:10">
      <c r="A965" s="16" t="s">
        <v>2827</v>
      </c>
      <c r="B965" s="2">
        <v>100000</v>
      </c>
      <c r="C965" s="2">
        <f t="shared" si="187"/>
        <v>1750.0000000000002</v>
      </c>
      <c r="D965" s="44">
        <v>45502</v>
      </c>
      <c r="E965" s="3" t="s">
        <v>11</v>
      </c>
      <c r="F965" s="3" t="s">
        <v>28</v>
      </c>
      <c r="G965" s="3"/>
    </row>
    <row r="966" spans="1:10">
      <c r="A966" s="16" t="s">
        <v>2990</v>
      </c>
      <c r="B966" s="2">
        <v>20000</v>
      </c>
      <c r="C966" s="2">
        <f t="shared" si="187"/>
        <v>350.00000000000006</v>
      </c>
      <c r="D966" s="44">
        <v>45502</v>
      </c>
      <c r="E966" s="3" t="s">
        <v>92</v>
      </c>
      <c r="F966" s="3" t="s">
        <v>28</v>
      </c>
      <c r="G966" s="3"/>
      <c r="I966" s="21" t="s">
        <v>30</v>
      </c>
    </row>
    <row r="967" spans="1:10">
      <c r="A967" s="16" t="s">
        <v>2991</v>
      </c>
      <c r="B967" s="2">
        <v>50000</v>
      </c>
      <c r="C967" s="2">
        <f t="shared" si="187"/>
        <v>875.00000000000011</v>
      </c>
      <c r="D967" s="44">
        <v>45502</v>
      </c>
      <c r="E967" s="3" t="s">
        <v>11</v>
      </c>
      <c r="F967" s="3" t="s">
        <v>28</v>
      </c>
      <c r="G967" s="3"/>
      <c r="I967" s="21" t="s">
        <v>30</v>
      </c>
    </row>
    <row r="968" spans="1:10">
      <c r="A968" s="16" t="s">
        <v>2992</v>
      </c>
      <c r="B968" s="2">
        <v>150000</v>
      </c>
      <c r="C968" s="2">
        <f>0.0125*B968</f>
        <v>1875</v>
      </c>
      <c r="D968" s="44">
        <v>45502</v>
      </c>
      <c r="E968" s="3" t="s">
        <v>15</v>
      </c>
      <c r="F968" s="3" t="s">
        <v>12</v>
      </c>
      <c r="G968" s="3"/>
      <c r="H968" s="16" t="s">
        <v>35</v>
      </c>
      <c r="J968" s="16">
        <v>300</v>
      </c>
    </row>
    <row r="969" spans="1:10">
      <c r="A969" s="16" t="s">
        <v>2993</v>
      </c>
      <c r="B969" s="2">
        <v>90000</v>
      </c>
      <c r="C969" s="2">
        <f t="shared" ref="C969:C971" si="188">0.0175*B969</f>
        <v>1575.0000000000002</v>
      </c>
      <c r="D969" s="44">
        <v>45503</v>
      </c>
      <c r="E969" s="3" t="s">
        <v>11</v>
      </c>
      <c r="F969" s="3" t="s">
        <v>67</v>
      </c>
      <c r="G969" s="3"/>
      <c r="I969" s="21" t="s">
        <v>30</v>
      </c>
    </row>
    <row r="970" spans="1:10">
      <c r="A970" s="16" t="s">
        <v>2994</v>
      </c>
      <c r="B970" s="2">
        <v>75000</v>
      </c>
      <c r="C970" s="2">
        <f t="shared" si="188"/>
        <v>1312.5000000000002</v>
      </c>
      <c r="D970" s="44">
        <v>45503</v>
      </c>
      <c r="E970" s="3" t="s">
        <v>11</v>
      </c>
      <c r="F970" s="3" t="s">
        <v>28</v>
      </c>
      <c r="G970" s="3"/>
      <c r="I970" s="21" t="s">
        <v>30</v>
      </c>
    </row>
    <row r="971" spans="1:10">
      <c r="A971" s="16" t="s">
        <v>2995</v>
      </c>
      <c r="B971" s="2">
        <v>140000</v>
      </c>
      <c r="C971" s="2">
        <f t="shared" si="188"/>
        <v>2450.0000000000005</v>
      </c>
      <c r="D971" s="44">
        <v>45503</v>
      </c>
      <c r="E971" s="3" t="s">
        <v>60</v>
      </c>
      <c r="F971" s="3" t="s">
        <v>28</v>
      </c>
      <c r="G971" s="3"/>
    </row>
    <row r="972" spans="1:10">
      <c r="A972" s="16" t="s">
        <v>2996</v>
      </c>
      <c r="B972" s="2">
        <v>625000</v>
      </c>
      <c r="C972" s="2">
        <f t="shared" ref="C972:C973" si="189">0.0125*B972</f>
        <v>7812.5</v>
      </c>
      <c r="D972" s="44">
        <v>45503</v>
      </c>
      <c r="E972" s="3" t="s">
        <v>21</v>
      </c>
      <c r="F972" s="3" t="s">
        <v>12</v>
      </c>
      <c r="G972" s="3"/>
      <c r="H972" s="16" t="s">
        <v>22</v>
      </c>
    </row>
    <row r="973" spans="1:10">
      <c r="A973" s="16" t="s">
        <v>905</v>
      </c>
      <c r="B973" s="2">
        <v>1120000</v>
      </c>
      <c r="C973" s="2">
        <f t="shared" si="189"/>
        <v>14000</v>
      </c>
      <c r="D973" s="44">
        <v>45503</v>
      </c>
      <c r="E973" s="3" t="s">
        <v>11</v>
      </c>
      <c r="F973" s="3" t="s">
        <v>12</v>
      </c>
      <c r="G973" s="3"/>
    </row>
    <row r="974" spans="1:10">
      <c r="A974" s="16" t="s">
        <v>2997</v>
      </c>
      <c r="B974" s="2">
        <v>300000</v>
      </c>
      <c r="C974" s="2">
        <f t="shared" ref="C974:C975" si="190">0.0175*B974</f>
        <v>5250.0000000000009</v>
      </c>
      <c r="D974" s="44">
        <v>45503</v>
      </c>
      <c r="E974" s="3" t="s">
        <v>21</v>
      </c>
      <c r="F974" s="3" t="s">
        <v>28</v>
      </c>
      <c r="G974" s="3"/>
      <c r="H974" s="16" t="s">
        <v>13</v>
      </c>
    </row>
    <row r="975" spans="1:10">
      <c r="A975" s="16" t="s">
        <v>2998</v>
      </c>
      <c r="B975" s="2">
        <v>85000</v>
      </c>
      <c r="C975" s="2">
        <f t="shared" si="190"/>
        <v>1487.5000000000002</v>
      </c>
      <c r="D975" s="44">
        <v>45503</v>
      </c>
      <c r="E975" s="3" t="s">
        <v>15</v>
      </c>
      <c r="F975" s="3" t="s">
        <v>28</v>
      </c>
      <c r="G975" s="3"/>
      <c r="H975" s="16" t="s">
        <v>2253</v>
      </c>
      <c r="I975" s="21" t="s">
        <v>30</v>
      </c>
      <c r="J975" s="16">
        <v>425</v>
      </c>
    </row>
    <row r="976" spans="1:10">
      <c r="A976" s="16" t="s">
        <v>2999</v>
      </c>
      <c r="B976" s="2">
        <v>200000</v>
      </c>
      <c r="C976" s="2">
        <f t="shared" ref="C976:C977" si="191">0.0125*B976</f>
        <v>2500</v>
      </c>
      <c r="D976" s="44">
        <v>45503</v>
      </c>
      <c r="E976" s="3" t="s">
        <v>15</v>
      </c>
      <c r="F976" s="3" t="s">
        <v>12</v>
      </c>
      <c r="G976" s="3"/>
      <c r="H976" s="16" t="s">
        <v>51</v>
      </c>
      <c r="J976" s="16">
        <v>1000</v>
      </c>
    </row>
    <row r="977" spans="1:10">
      <c r="A977" s="16" t="s">
        <v>2688</v>
      </c>
      <c r="B977" s="2">
        <v>135000</v>
      </c>
      <c r="C977" s="2">
        <f t="shared" si="191"/>
        <v>1687.5</v>
      </c>
      <c r="D977" s="44">
        <v>45503</v>
      </c>
      <c r="E977" s="3" t="s">
        <v>24</v>
      </c>
      <c r="F977" s="3" t="s">
        <v>12</v>
      </c>
      <c r="G977" s="3"/>
      <c r="H977" s="16" t="s">
        <v>3000</v>
      </c>
    </row>
    <row r="978" spans="1:10">
      <c r="A978" s="16" t="s">
        <v>3001</v>
      </c>
      <c r="B978" s="2">
        <v>500000</v>
      </c>
      <c r="C978" s="2">
        <f t="shared" ref="C978:C988" si="192">0.0175*B978</f>
        <v>8750</v>
      </c>
      <c r="D978" s="44">
        <v>45503</v>
      </c>
      <c r="E978" s="3" t="s">
        <v>21</v>
      </c>
      <c r="F978" s="3" t="s">
        <v>28</v>
      </c>
      <c r="G978" s="3"/>
      <c r="H978" s="16" t="s">
        <v>3002</v>
      </c>
    </row>
    <row r="979" spans="1:10">
      <c r="A979" s="16" t="s">
        <v>3003</v>
      </c>
      <c r="B979" s="2">
        <v>750000</v>
      </c>
      <c r="C979" s="2">
        <f t="shared" si="192"/>
        <v>13125.000000000002</v>
      </c>
      <c r="D979" s="44">
        <v>45503</v>
      </c>
      <c r="E979" s="3" t="s">
        <v>15</v>
      </c>
      <c r="F979" s="3" t="s">
        <v>28</v>
      </c>
      <c r="G979" s="3"/>
      <c r="H979" s="16" t="s">
        <v>2253</v>
      </c>
      <c r="I979" s="21" t="s">
        <v>30</v>
      </c>
      <c r="J979" s="16">
        <v>3750</v>
      </c>
    </row>
    <row r="980" spans="1:10">
      <c r="A980" s="16" t="s">
        <v>3004</v>
      </c>
      <c r="B980" s="2">
        <v>150000</v>
      </c>
      <c r="C980" s="2">
        <f t="shared" si="192"/>
        <v>2625.0000000000005</v>
      </c>
      <c r="D980" s="44">
        <v>45504</v>
      </c>
      <c r="E980" s="3" t="s">
        <v>21</v>
      </c>
      <c r="F980" s="3" t="s">
        <v>28</v>
      </c>
      <c r="G980" s="3"/>
      <c r="H980" s="16" t="s">
        <v>13</v>
      </c>
    </row>
    <row r="981" spans="1:10">
      <c r="A981" s="16" t="s">
        <v>2941</v>
      </c>
      <c r="B981" s="2">
        <v>50000</v>
      </c>
      <c r="C981" s="2">
        <f t="shared" si="192"/>
        <v>875.00000000000011</v>
      </c>
      <c r="D981" s="44">
        <v>45504</v>
      </c>
      <c r="E981" s="3" t="s">
        <v>15</v>
      </c>
      <c r="F981" s="3" t="s">
        <v>67</v>
      </c>
      <c r="G981" s="3"/>
      <c r="H981" s="16" t="s">
        <v>2253</v>
      </c>
      <c r="I981" s="21" t="s">
        <v>30</v>
      </c>
      <c r="J981" s="16">
        <v>250</v>
      </c>
    </row>
    <row r="982" spans="1:10">
      <c r="A982" s="16" t="s">
        <v>3005</v>
      </c>
      <c r="B982" s="2">
        <v>20000</v>
      </c>
      <c r="C982" s="2">
        <f t="shared" si="192"/>
        <v>350.00000000000006</v>
      </c>
      <c r="D982" s="44">
        <v>45504</v>
      </c>
      <c r="E982" s="3" t="s">
        <v>135</v>
      </c>
      <c r="F982" s="3" t="s">
        <v>28</v>
      </c>
      <c r="G982" s="3"/>
      <c r="H982" s="16" t="s">
        <v>13</v>
      </c>
      <c r="I982" s="21" t="s">
        <v>30</v>
      </c>
    </row>
    <row r="983" spans="1:10">
      <c r="A983" s="16" t="s">
        <v>3006</v>
      </c>
      <c r="B983" s="17">
        <v>120000</v>
      </c>
      <c r="C983" s="2">
        <f t="shared" si="192"/>
        <v>2100</v>
      </c>
      <c r="D983" s="44">
        <v>45504</v>
      </c>
      <c r="E983" s="3" t="s">
        <v>11</v>
      </c>
      <c r="F983" s="3" t="s">
        <v>67</v>
      </c>
      <c r="G983" s="3"/>
      <c r="I983" s="21" t="s">
        <v>30</v>
      </c>
    </row>
    <row r="984" spans="1:10">
      <c r="A984" s="16" t="s">
        <v>3007</v>
      </c>
      <c r="B984" s="17">
        <v>75000</v>
      </c>
      <c r="C984" s="2">
        <f t="shared" si="192"/>
        <v>1312.5000000000002</v>
      </c>
      <c r="D984" s="44">
        <v>45504</v>
      </c>
      <c r="E984" s="3" t="s">
        <v>11</v>
      </c>
      <c r="F984" s="3" t="s">
        <v>28</v>
      </c>
      <c r="G984" s="3"/>
      <c r="I984" s="21" t="s">
        <v>30</v>
      </c>
    </row>
    <row r="985" spans="1:10">
      <c r="A985" s="16" t="s">
        <v>2548</v>
      </c>
      <c r="B985" s="2">
        <v>50000</v>
      </c>
      <c r="C985" s="2">
        <f t="shared" si="192"/>
        <v>875.00000000000011</v>
      </c>
      <c r="D985" s="44">
        <v>45504</v>
      </c>
      <c r="E985" s="3" t="s">
        <v>73</v>
      </c>
      <c r="F985" s="3" t="s">
        <v>67</v>
      </c>
      <c r="G985" s="3"/>
    </row>
    <row r="986" spans="1:10">
      <c r="A986" s="16" t="s">
        <v>704</v>
      </c>
      <c r="B986" s="2">
        <v>100000</v>
      </c>
      <c r="C986" s="2">
        <f t="shared" si="192"/>
        <v>1750.0000000000002</v>
      </c>
      <c r="D986" s="44">
        <v>45504</v>
      </c>
      <c r="E986" s="3" t="s">
        <v>11</v>
      </c>
      <c r="F986" s="3" t="s">
        <v>28</v>
      </c>
      <c r="G986" s="3"/>
    </row>
    <row r="987" spans="1:10">
      <c r="A987" s="16" t="s">
        <v>3008</v>
      </c>
      <c r="B987" s="2">
        <v>300000</v>
      </c>
      <c r="C987" s="2">
        <f t="shared" si="192"/>
        <v>5250.0000000000009</v>
      </c>
      <c r="D987" s="44">
        <v>45504</v>
      </c>
      <c r="E987" s="3" t="s">
        <v>231</v>
      </c>
      <c r="F987" s="3" t="s">
        <v>28</v>
      </c>
      <c r="G987" s="3"/>
      <c r="H987" s="16" t="s">
        <v>13</v>
      </c>
      <c r="I987" s="21" t="s">
        <v>30</v>
      </c>
    </row>
    <row r="988" spans="1:10">
      <c r="A988" s="16" t="s">
        <v>3009</v>
      </c>
      <c r="B988" s="2">
        <v>500000</v>
      </c>
      <c r="C988" s="2">
        <f t="shared" si="192"/>
        <v>8750</v>
      </c>
      <c r="D988" s="44">
        <v>45504</v>
      </c>
      <c r="E988" s="3" t="s">
        <v>730</v>
      </c>
      <c r="F988" s="3" t="s">
        <v>28</v>
      </c>
      <c r="G988" s="3"/>
    </row>
    <row r="989" spans="1:10">
      <c r="A989" s="16" t="s">
        <v>3010</v>
      </c>
      <c r="B989" s="17">
        <v>135000</v>
      </c>
      <c r="C989" s="2">
        <f t="shared" ref="C989:C990" si="193">0.0125*B989</f>
        <v>1687.5</v>
      </c>
      <c r="D989" s="44">
        <v>45504</v>
      </c>
      <c r="E989" s="3" t="s">
        <v>11</v>
      </c>
      <c r="F989" s="3" t="s">
        <v>12</v>
      </c>
      <c r="G989" s="3"/>
    </row>
    <row r="990" spans="1:10">
      <c r="A990" s="16" t="s">
        <v>3011</v>
      </c>
      <c r="B990" s="17">
        <v>25000</v>
      </c>
      <c r="C990" s="2">
        <f t="shared" si="193"/>
        <v>312.5</v>
      </c>
      <c r="D990" s="44">
        <v>45504</v>
      </c>
      <c r="E990" s="3" t="s">
        <v>11</v>
      </c>
      <c r="F990" s="3" t="s">
        <v>12</v>
      </c>
      <c r="G990" s="3"/>
    </row>
    <row r="991" spans="1:10">
      <c r="A991" s="16" t="s">
        <v>3012</v>
      </c>
      <c r="B991" s="2">
        <v>45000</v>
      </c>
      <c r="C991" s="2">
        <f t="shared" ref="C991:C993" si="194">0.0175*B991</f>
        <v>787.50000000000011</v>
      </c>
      <c r="D991" s="44">
        <v>45504</v>
      </c>
      <c r="E991" s="3" t="s">
        <v>11</v>
      </c>
      <c r="F991" s="3" t="s">
        <v>28</v>
      </c>
      <c r="G991" s="3"/>
    </row>
    <row r="992" spans="1:10">
      <c r="A992" s="16" t="s">
        <v>3013</v>
      </c>
      <c r="B992" s="2">
        <v>30000</v>
      </c>
      <c r="C992" s="2">
        <f t="shared" si="194"/>
        <v>525</v>
      </c>
      <c r="D992" s="44">
        <v>45504</v>
      </c>
      <c r="E992" s="3" t="s">
        <v>11</v>
      </c>
      <c r="F992" s="3" t="s">
        <v>28</v>
      </c>
      <c r="G992" s="3"/>
    </row>
    <row r="993" spans="1:17">
      <c r="A993" s="16" t="s">
        <v>3014</v>
      </c>
      <c r="B993" s="2">
        <v>52500</v>
      </c>
      <c r="C993" s="2">
        <f t="shared" si="194"/>
        <v>918.75000000000011</v>
      </c>
      <c r="D993" s="44">
        <v>45504</v>
      </c>
      <c r="E993" s="3" t="s">
        <v>11</v>
      </c>
      <c r="F993" s="3" t="s">
        <v>28</v>
      </c>
      <c r="G993" s="3"/>
    </row>
    <row r="994" spans="1:17">
      <c r="A994" s="23" t="s">
        <v>2274</v>
      </c>
      <c r="B994" s="54">
        <v>75000</v>
      </c>
      <c r="C994" s="54">
        <f>0.0125*B994</f>
        <v>937.5</v>
      </c>
      <c r="D994" s="55">
        <v>45504</v>
      </c>
      <c r="E994" s="56" t="s">
        <v>11</v>
      </c>
      <c r="F994" s="56" t="s">
        <v>12</v>
      </c>
      <c r="G994" s="56"/>
      <c r="H994" s="23"/>
      <c r="I994" s="23"/>
      <c r="J994" s="23"/>
      <c r="K994" s="23"/>
      <c r="L994" s="23"/>
    </row>
    <row r="995" spans="1:17">
      <c r="A995" s="57" t="s">
        <v>3015</v>
      </c>
      <c r="B995" s="54">
        <v>45000</v>
      </c>
      <c r="C995" s="54">
        <f>0.0175*35000</f>
        <v>612.50000000000011</v>
      </c>
      <c r="D995" s="55">
        <v>45504</v>
      </c>
      <c r="E995" s="3" t="s">
        <v>24</v>
      </c>
      <c r="F995" s="3" t="s">
        <v>28</v>
      </c>
      <c r="G995" s="56"/>
      <c r="H995" s="16" t="s">
        <v>2647</v>
      </c>
      <c r="I995" s="23"/>
      <c r="J995" s="23"/>
      <c r="K995" s="23"/>
      <c r="L995" s="23"/>
    </row>
    <row r="996" spans="1:17">
      <c r="A996" s="11">
        <v>45505</v>
      </c>
      <c r="B996" s="12">
        <f t="shared" ref="B996:C996" si="195">SUM(B997:B1122)</f>
        <v>32220500</v>
      </c>
      <c r="C996" s="12">
        <f t="shared" si="195"/>
        <v>475506.25</v>
      </c>
      <c r="D996" s="53"/>
      <c r="E996" s="53"/>
      <c r="F996" s="53"/>
      <c r="G996" s="53"/>
      <c r="H996" s="15"/>
      <c r="I996" s="15"/>
      <c r="J996" s="15"/>
      <c r="K996" s="15"/>
      <c r="L996" s="15"/>
    </row>
    <row r="997" spans="1:17">
      <c r="A997" s="16" t="s">
        <v>3016</v>
      </c>
      <c r="B997" s="2">
        <v>1750000</v>
      </c>
      <c r="C997" s="2">
        <f t="shared" ref="C997:C1000" si="196">0.0125*B997</f>
        <v>21875</v>
      </c>
      <c r="D997" s="44">
        <v>45505</v>
      </c>
      <c r="E997" s="3" t="s">
        <v>40</v>
      </c>
      <c r="F997" s="56" t="s">
        <v>12</v>
      </c>
      <c r="G997" s="3"/>
      <c r="H997" s="16" t="s">
        <v>22</v>
      </c>
    </row>
    <row r="998" spans="1:17">
      <c r="A998" s="16" t="s">
        <v>3017</v>
      </c>
      <c r="B998" s="2">
        <v>565000</v>
      </c>
      <c r="C998" s="2">
        <f t="shared" si="196"/>
        <v>7062.5</v>
      </c>
      <c r="D998" s="44">
        <v>45505</v>
      </c>
      <c r="E998" s="3" t="s">
        <v>11</v>
      </c>
      <c r="F998" s="56" t="s">
        <v>12</v>
      </c>
      <c r="G998" s="3"/>
      <c r="P998" s="16" t="s">
        <v>3018</v>
      </c>
      <c r="Q998" s="33">
        <v>14423.07</v>
      </c>
    </row>
    <row r="999" spans="1:17">
      <c r="A999" s="16" t="s">
        <v>972</v>
      </c>
      <c r="B999" s="17">
        <v>85000</v>
      </c>
      <c r="C999" s="2">
        <f t="shared" si="196"/>
        <v>1062.5</v>
      </c>
      <c r="D999" s="44">
        <v>45505</v>
      </c>
      <c r="E999" s="3" t="s">
        <v>11</v>
      </c>
      <c r="F999" s="56" t="s">
        <v>12</v>
      </c>
      <c r="G999" s="3"/>
      <c r="P999" s="16" t="s">
        <v>3019</v>
      </c>
      <c r="Q999" s="16">
        <v>28600</v>
      </c>
    </row>
    <row r="1000" spans="1:17">
      <c r="A1000" s="16" t="s">
        <v>2545</v>
      </c>
      <c r="B1000" s="17">
        <v>53000</v>
      </c>
      <c r="C1000" s="2">
        <f t="shared" si="196"/>
        <v>662.5</v>
      </c>
      <c r="D1000" s="44">
        <v>45505</v>
      </c>
      <c r="E1000" s="3" t="s">
        <v>15</v>
      </c>
      <c r="F1000" s="56" t="s">
        <v>12</v>
      </c>
      <c r="G1000" s="3"/>
      <c r="H1000" s="16" t="s">
        <v>51</v>
      </c>
      <c r="J1000" s="16">
        <v>265</v>
      </c>
      <c r="P1000" s="16" t="s">
        <v>3020</v>
      </c>
      <c r="Q1000" s="16">
        <v>6162.5</v>
      </c>
    </row>
    <row r="1001" spans="1:17">
      <c r="A1001" s="16" t="s">
        <v>2821</v>
      </c>
      <c r="B1001" s="2">
        <v>140000</v>
      </c>
      <c r="C1001" s="2">
        <f t="shared" ref="C1001:C1003" si="197">0.0175*B1001</f>
        <v>2450.0000000000005</v>
      </c>
      <c r="D1001" s="44">
        <v>45505</v>
      </c>
      <c r="E1001" s="3" t="s">
        <v>11</v>
      </c>
      <c r="F1001" s="3" t="s">
        <v>67</v>
      </c>
      <c r="G1001" s="3"/>
      <c r="I1001" s="21" t="s">
        <v>30</v>
      </c>
      <c r="P1001" s="16" t="s">
        <v>3021</v>
      </c>
      <c r="Q1001" s="16">
        <v>7725</v>
      </c>
    </row>
    <row r="1002" spans="1:17">
      <c r="A1002" s="16" t="s">
        <v>3022</v>
      </c>
      <c r="B1002" s="2">
        <v>300000</v>
      </c>
      <c r="C1002" s="2">
        <f t="shared" si="197"/>
        <v>5250.0000000000009</v>
      </c>
      <c r="D1002" s="44">
        <v>45505</v>
      </c>
      <c r="E1002" s="3" t="s">
        <v>15</v>
      </c>
      <c r="F1002" s="3" t="s">
        <v>28</v>
      </c>
      <c r="G1002" s="3"/>
      <c r="H1002" s="16" t="s">
        <v>2126</v>
      </c>
      <c r="I1002" s="21" t="s">
        <v>30</v>
      </c>
      <c r="J1002" s="16">
        <v>2400</v>
      </c>
      <c r="P1002" s="16" t="s">
        <v>3023</v>
      </c>
      <c r="Q1002" s="16">
        <v>5460</v>
      </c>
    </row>
    <row r="1003" spans="1:17">
      <c r="A1003" s="16" t="s">
        <v>3024</v>
      </c>
      <c r="B1003" s="2">
        <v>350000</v>
      </c>
      <c r="C1003" s="2">
        <f t="shared" si="197"/>
        <v>6125.0000000000009</v>
      </c>
      <c r="D1003" s="44">
        <v>45505</v>
      </c>
      <c r="E1003" s="3" t="s">
        <v>69</v>
      </c>
      <c r="F1003" s="3" t="s">
        <v>28</v>
      </c>
      <c r="G1003" s="3"/>
      <c r="P1003" s="16" t="s">
        <v>15</v>
      </c>
      <c r="Q1003" s="16">
        <v>15164</v>
      </c>
    </row>
    <row r="1004" spans="1:17">
      <c r="A1004" s="16" t="s">
        <v>42</v>
      </c>
      <c r="B1004" s="2">
        <v>325000</v>
      </c>
      <c r="C1004" s="2">
        <f>0.0125*B1004</f>
        <v>4062.5</v>
      </c>
      <c r="D1004" s="44">
        <v>45505</v>
      </c>
      <c r="E1004" s="3" t="s">
        <v>11</v>
      </c>
      <c r="F1004" s="56" t="s">
        <v>12</v>
      </c>
      <c r="G1004" s="3"/>
    </row>
    <row r="1005" spans="1:17">
      <c r="A1005" s="16" t="s">
        <v>3025</v>
      </c>
      <c r="B1005" s="2">
        <v>250000</v>
      </c>
      <c r="C1005" s="2">
        <f>0.0175*B1005</f>
        <v>4375</v>
      </c>
      <c r="D1005" s="44">
        <v>45505</v>
      </c>
      <c r="E1005" s="3" t="s">
        <v>24</v>
      </c>
      <c r="F1005" s="3" t="s">
        <v>28</v>
      </c>
      <c r="G1005" s="3"/>
      <c r="H1005" s="16" t="s">
        <v>2647</v>
      </c>
      <c r="I1005" s="21" t="s">
        <v>30</v>
      </c>
      <c r="P1005" s="16" t="s">
        <v>3026</v>
      </c>
      <c r="Q1005" s="16">
        <v>3500</v>
      </c>
    </row>
    <row r="1006" spans="1:17">
      <c r="A1006" s="16" t="s">
        <v>3027</v>
      </c>
      <c r="B1006" s="2">
        <v>250000</v>
      </c>
      <c r="C1006" s="2">
        <f>0.0125*B1006</f>
        <v>3125</v>
      </c>
      <c r="D1006" s="44">
        <v>45506</v>
      </c>
      <c r="E1006" s="3" t="s">
        <v>11</v>
      </c>
      <c r="F1006" s="56" t="s">
        <v>144</v>
      </c>
      <c r="G1006" s="3"/>
    </row>
    <row r="1007" spans="1:17">
      <c r="A1007" s="16" t="s">
        <v>3028</v>
      </c>
      <c r="B1007" s="2">
        <v>30000</v>
      </c>
      <c r="C1007" s="2">
        <f>0.0175*B1007</f>
        <v>525</v>
      </c>
      <c r="D1007" s="44">
        <v>45506</v>
      </c>
      <c r="E1007" s="3" t="s">
        <v>11</v>
      </c>
      <c r="F1007" s="3" t="s">
        <v>67</v>
      </c>
      <c r="G1007" s="3"/>
    </row>
    <row r="1008" spans="1:17">
      <c r="A1008" s="16" t="s">
        <v>3029</v>
      </c>
      <c r="B1008" s="2">
        <v>55000</v>
      </c>
      <c r="C1008" s="2">
        <f t="shared" ref="C1008:C1009" si="198">0.0125*B1008</f>
        <v>687.5</v>
      </c>
      <c r="D1008" s="44">
        <v>45506</v>
      </c>
      <c r="E1008" s="3" t="s">
        <v>15</v>
      </c>
      <c r="F1008" s="56" t="s">
        <v>12</v>
      </c>
      <c r="G1008" s="3"/>
      <c r="H1008" s="16" t="s">
        <v>16</v>
      </c>
      <c r="J1008" s="16">
        <v>220</v>
      </c>
    </row>
    <row r="1009" spans="1:10">
      <c r="A1009" s="16" t="s">
        <v>181</v>
      </c>
      <c r="B1009" s="2">
        <v>17000</v>
      </c>
      <c r="C1009" s="2">
        <f t="shared" si="198"/>
        <v>212.5</v>
      </c>
      <c r="D1009" s="44">
        <v>45506</v>
      </c>
      <c r="E1009" s="3" t="s">
        <v>15</v>
      </c>
      <c r="F1009" s="56" t="s">
        <v>12</v>
      </c>
      <c r="G1009" s="3"/>
      <c r="H1009" s="16" t="s">
        <v>54</v>
      </c>
      <c r="J1009" s="16">
        <v>102</v>
      </c>
    </row>
    <row r="1010" spans="1:10">
      <c r="A1010" s="16" t="s">
        <v>3030</v>
      </c>
      <c r="B1010" s="2">
        <v>500000</v>
      </c>
      <c r="C1010" s="2">
        <f>0.0175*490000</f>
        <v>8575</v>
      </c>
      <c r="D1010" s="44">
        <v>45506</v>
      </c>
      <c r="E1010" s="3" t="s">
        <v>24</v>
      </c>
      <c r="F1010" s="3" t="s">
        <v>144</v>
      </c>
      <c r="G1010" s="3"/>
      <c r="H1010" s="16" t="s">
        <v>2843</v>
      </c>
      <c r="I1010" s="21" t="s">
        <v>30</v>
      </c>
    </row>
    <row r="1011" spans="1:10">
      <c r="A1011" s="16" t="s">
        <v>3031</v>
      </c>
      <c r="B1011" s="2">
        <v>40000</v>
      </c>
      <c r="C1011" s="2">
        <f>0.0175*B1011</f>
        <v>700.00000000000011</v>
      </c>
      <c r="D1011" s="44">
        <v>45506</v>
      </c>
      <c r="E1011" s="3" t="s">
        <v>15</v>
      </c>
      <c r="F1011" s="3" t="s">
        <v>28</v>
      </c>
      <c r="G1011" s="3"/>
      <c r="H1011" s="16" t="s">
        <v>2135</v>
      </c>
      <c r="I1011" s="21" t="s">
        <v>30</v>
      </c>
      <c r="J1011" s="16">
        <v>240</v>
      </c>
    </row>
    <row r="1012" spans="1:10">
      <c r="A1012" s="16" t="s">
        <v>3032</v>
      </c>
      <c r="B1012" s="2">
        <v>410000</v>
      </c>
      <c r="C1012" s="2">
        <f t="shared" ref="C1012:C1013" si="199">0.0125*B1012</f>
        <v>5125</v>
      </c>
      <c r="D1012" s="44">
        <v>45506</v>
      </c>
      <c r="E1012" s="3" t="s">
        <v>24</v>
      </c>
      <c r="F1012" s="56" t="s">
        <v>12</v>
      </c>
      <c r="G1012" s="3"/>
      <c r="H1012" s="16" t="s">
        <v>2843</v>
      </c>
    </row>
    <row r="1013" spans="1:10">
      <c r="A1013" s="16" t="s">
        <v>3033</v>
      </c>
      <c r="B1013" s="2">
        <v>250000</v>
      </c>
      <c r="C1013" s="2">
        <f t="shared" si="199"/>
        <v>3125</v>
      </c>
      <c r="D1013" s="44">
        <v>45506</v>
      </c>
      <c r="E1013" s="3" t="s">
        <v>60</v>
      </c>
      <c r="F1013" s="56" t="s">
        <v>12</v>
      </c>
      <c r="G1013" s="3"/>
    </row>
    <row r="1014" spans="1:10">
      <c r="A1014" s="16" t="s">
        <v>1209</v>
      </c>
      <c r="B1014" s="2">
        <v>500000</v>
      </c>
      <c r="C1014" s="2">
        <f>0.0175*B1014</f>
        <v>8750</v>
      </c>
      <c r="D1014" s="44">
        <v>45506</v>
      </c>
      <c r="E1014" s="3" t="s">
        <v>210</v>
      </c>
      <c r="F1014" s="3" t="s">
        <v>28</v>
      </c>
      <c r="G1014" s="3"/>
      <c r="H1014" s="16" t="s">
        <v>13</v>
      </c>
      <c r="I1014" s="21" t="s">
        <v>30</v>
      </c>
    </row>
    <row r="1015" spans="1:10">
      <c r="A1015" s="16" t="s">
        <v>474</v>
      </c>
      <c r="B1015" s="2">
        <v>75000</v>
      </c>
      <c r="C1015" s="2">
        <f>0.0125*B1015</f>
        <v>937.5</v>
      </c>
      <c r="D1015" s="44">
        <v>45509</v>
      </c>
      <c r="E1015" s="3" t="s">
        <v>11</v>
      </c>
      <c r="F1015" s="3" t="s">
        <v>12</v>
      </c>
      <c r="G1015" s="3"/>
    </row>
    <row r="1016" spans="1:10">
      <c r="A1016" s="16" t="s">
        <v>3034</v>
      </c>
      <c r="B1016" s="2">
        <v>300000</v>
      </c>
      <c r="C1016" s="2">
        <f t="shared" ref="C1016:C1021" si="200">0.0175*B1016</f>
        <v>5250.0000000000009</v>
      </c>
      <c r="D1016" s="44">
        <v>45509</v>
      </c>
      <c r="E1016" s="3" t="s">
        <v>75</v>
      </c>
      <c r="F1016" s="3" t="s">
        <v>28</v>
      </c>
      <c r="G1016" s="3"/>
      <c r="I1016" s="21" t="s">
        <v>30</v>
      </c>
    </row>
    <row r="1017" spans="1:10">
      <c r="A1017" s="16" t="s">
        <v>3035</v>
      </c>
      <c r="B1017" s="2">
        <v>125000</v>
      </c>
      <c r="C1017" s="2">
        <f t="shared" si="200"/>
        <v>2187.5</v>
      </c>
      <c r="D1017" s="44">
        <v>45509</v>
      </c>
      <c r="E1017" s="3" t="s">
        <v>11</v>
      </c>
      <c r="F1017" s="3" t="s">
        <v>28</v>
      </c>
      <c r="G1017" s="3"/>
      <c r="I1017" s="21" t="s">
        <v>30</v>
      </c>
    </row>
    <row r="1018" spans="1:10">
      <c r="A1018" s="16" t="s">
        <v>3036</v>
      </c>
      <c r="B1018" s="2">
        <v>100000</v>
      </c>
      <c r="C1018" s="2">
        <f t="shared" si="200"/>
        <v>1750.0000000000002</v>
      </c>
      <c r="D1018" s="44">
        <v>45509</v>
      </c>
      <c r="E1018" s="3" t="s">
        <v>11</v>
      </c>
      <c r="F1018" s="3" t="s">
        <v>28</v>
      </c>
      <c r="G1018" s="3"/>
      <c r="I1018" s="21" t="s">
        <v>30</v>
      </c>
    </row>
    <row r="1019" spans="1:10">
      <c r="A1019" s="16" t="s">
        <v>3037</v>
      </c>
      <c r="B1019" s="2">
        <v>40000</v>
      </c>
      <c r="C1019" s="2">
        <f t="shared" si="200"/>
        <v>700.00000000000011</v>
      </c>
      <c r="D1019" s="44">
        <v>45510</v>
      </c>
      <c r="E1019" s="3" t="s">
        <v>60</v>
      </c>
      <c r="F1019" s="3" t="s">
        <v>28</v>
      </c>
      <c r="G1019" s="3"/>
      <c r="I1019" s="21" t="s">
        <v>30</v>
      </c>
    </row>
    <row r="1020" spans="1:10">
      <c r="A1020" s="16" t="s">
        <v>3038</v>
      </c>
      <c r="B1020" s="2">
        <v>205000</v>
      </c>
      <c r="C1020" s="2">
        <f t="shared" si="200"/>
        <v>3587.5000000000005</v>
      </c>
      <c r="D1020" s="44">
        <v>45510</v>
      </c>
      <c r="E1020" s="3" t="s">
        <v>11</v>
      </c>
      <c r="F1020" s="3" t="s">
        <v>28</v>
      </c>
      <c r="G1020" s="3"/>
    </row>
    <row r="1021" spans="1:10">
      <c r="A1021" s="16" t="s">
        <v>3039</v>
      </c>
      <c r="B1021" s="2">
        <v>800000</v>
      </c>
      <c r="C1021" s="2">
        <f t="shared" si="200"/>
        <v>14000.000000000002</v>
      </c>
      <c r="D1021" s="44">
        <v>45510</v>
      </c>
      <c r="E1021" s="3" t="s">
        <v>165</v>
      </c>
      <c r="F1021" s="3" t="s">
        <v>41</v>
      </c>
      <c r="G1021" s="3"/>
    </row>
    <row r="1022" spans="1:10">
      <c r="A1022" s="16" t="s">
        <v>2807</v>
      </c>
      <c r="B1022" s="2">
        <v>500000</v>
      </c>
      <c r="C1022" s="2">
        <f>0.0125*B1022</f>
        <v>6250</v>
      </c>
      <c r="D1022" s="44">
        <v>45510</v>
      </c>
      <c r="E1022" s="3" t="s">
        <v>165</v>
      </c>
      <c r="F1022" s="3" t="s">
        <v>144</v>
      </c>
      <c r="G1022" s="3"/>
    </row>
    <row r="1023" spans="1:10">
      <c r="A1023" s="16" t="s">
        <v>1356</v>
      </c>
      <c r="B1023" s="2">
        <v>250000</v>
      </c>
      <c r="C1023" s="2">
        <f>0.0125*240000</f>
        <v>3000</v>
      </c>
      <c r="D1023" s="44">
        <v>45510</v>
      </c>
      <c r="E1023" s="3" t="s">
        <v>24</v>
      </c>
      <c r="F1023" s="3" t="s">
        <v>12</v>
      </c>
      <c r="G1023" s="3"/>
      <c r="H1023" s="16" t="s">
        <v>2843</v>
      </c>
    </row>
    <row r="1024" spans="1:10">
      <c r="A1024" s="16" t="s">
        <v>3040</v>
      </c>
      <c r="B1024" s="2">
        <v>85000</v>
      </c>
      <c r="C1024" s="2">
        <f t="shared" ref="C1024:C1030" si="201">0.0175*B1024</f>
        <v>1487.5000000000002</v>
      </c>
      <c r="D1024" s="44">
        <v>45510</v>
      </c>
      <c r="E1024" s="3" t="s">
        <v>15</v>
      </c>
      <c r="F1024" s="3" t="s">
        <v>67</v>
      </c>
      <c r="G1024" s="3"/>
      <c r="H1024" s="16" t="s">
        <v>2135</v>
      </c>
      <c r="J1024" s="16">
        <v>510</v>
      </c>
    </row>
    <row r="1025" spans="1:10">
      <c r="A1025" s="16" t="s">
        <v>3041</v>
      </c>
      <c r="B1025" s="2">
        <v>75000</v>
      </c>
      <c r="C1025" s="2">
        <f t="shared" si="201"/>
        <v>1312.5000000000002</v>
      </c>
      <c r="D1025" s="44">
        <v>45510</v>
      </c>
      <c r="E1025" s="3" t="s">
        <v>11</v>
      </c>
      <c r="F1025" s="3" t="s">
        <v>28</v>
      </c>
      <c r="G1025" s="3"/>
      <c r="I1025" s="21" t="s">
        <v>30</v>
      </c>
    </row>
    <row r="1026" spans="1:10">
      <c r="A1026" s="16" t="s">
        <v>3042</v>
      </c>
      <c r="B1026" s="2">
        <v>60000</v>
      </c>
      <c r="C1026" s="2">
        <f t="shared" si="201"/>
        <v>1050</v>
      </c>
      <c r="D1026" s="44">
        <v>45510</v>
      </c>
      <c r="E1026" s="3" t="s">
        <v>231</v>
      </c>
      <c r="F1026" s="3" t="s">
        <v>28</v>
      </c>
      <c r="G1026" s="3"/>
    </row>
    <row r="1027" spans="1:10">
      <c r="A1027" s="16" t="s">
        <v>3043</v>
      </c>
      <c r="B1027" s="2">
        <v>125000</v>
      </c>
      <c r="C1027" s="2">
        <f t="shared" si="201"/>
        <v>2187.5</v>
      </c>
      <c r="D1027" s="44">
        <v>45511</v>
      </c>
      <c r="E1027" s="3" t="s">
        <v>11</v>
      </c>
      <c r="F1027" s="3" t="s">
        <v>28</v>
      </c>
      <c r="G1027" s="3"/>
      <c r="I1027" s="21" t="s">
        <v>30</v>
      </c>
    </row>
    <row r="1028" spans="1:10">
      <c r="A1028" s="16" t="s">
        <v>3044</v>
      </c>
      <c r="B1028" s="2">
        <v>75000</v>
      </c>
      <c r="C1028" s="2">
        <f t="shared" si="201"/>
        <v>1312.5000000000002</v>
      </c>
      <c r="D1028" s="44">
        <v>45511</v>
      </c>
      <c r="E1028" s="3" t="s">
        <v>69</v>
      </c>
      <c r="F1028" s="3" t="s">
        <v>28</v>
      </c>
      <c r="G1028" s="3"/>
      <c r="H1028" s="16" t="s">
        <v>13</v>
      </c>
      <c r="I1028" s="21" t="s">
        <v>30</v>
      </c>
    </row>
    <row r="1029" spans="1:10">
      <c r="A1029" s="16" t="s">
        <v>3045</v>
      </c>
      <c r="B1029" s="2">
        <v>25000</v>
      </c>
      <c r="C1029" s="2">
        <f t="shared" si="201"/>
        <v>437.50000000000006</v>
      </c>
      <c r="D1029" s="44">
        <v>45511</v>
      </c>
      <c r="E1029" s="3" t="s">
        <v>15</v>
      </c>
      <c r="F1029" s="3" t="s">
        <v>144</v>
      </c>
      <c r="G1029" s="3"/>
      <c r="H1029" s="16" t="s">
        <v>51</v>
      </c>
      <c r="J1029" s="16">
        <v>125</v>
      </c>
    </row>
    <row r="1030" spans="1:10">
      <c r="A1030" s="16" t="s">
        <v>3046</v>
      </c>
      <c r="B1030" s="2">
        <v>1500000</v>
      </c>
      <c r="C1030" s="2">
        <f t="shared" si="201"/>
        <v>26250.000000000004</v>
      </c>
      <c r="D1030" s="44">
        <v>45511</v>
      </c>
      <c r="E1030" s="3" t="s">
        <v>11</v>
      </c>
      <c r="F1030" s="3" t="s">
        <v>28</v>
      </c>
      <c r="G1030" s="3"/>
      <c r="I1030" s="21" t="s">
        <v>30</v>
      </c>
    </row>
    <row r="1031" spans="1:10">
      <c r="A1031" s="16" t="s">
        <v>482</v>
      </c>
      <c r="B1031" s="2">
        <v>75000</v>
      </c>
      <c r="C1031" s="2">
        <f>0.0125*B1031</f>
        <v>937.5</v>
      </c>
      <c r="D1031" s="44">
        <v>45511</v>
      </c>
      <c r="E1031" s="3" t="s">
        <v>40</v>
      </c>
      <c r="F1031" s="3" t="s">
        <v>12</v>
      </c>
      <c r="G1031" s="3"/>
    </row>
    <row r="1032" spans="1:10">
      <c r="A1032" s="16" t="s">
        <v>3047</v>
      </c>
      <c r="B1032" s="2">
        <v>200000</v>
      </c>
      <c r="C1032" s="2">
        <f t="shared" ref="C1032:C1033" si="202">0.0175*B1032</f>
        <v>3500.0000000000005</v>
      </c>
      <c r="D1032" s="44">
        <v>45512</v>
      </c>
      <c r="E1032" s="3" t="s">
        <v>24</v>
      </c>
      <c r="F1032" s="3" t="s">
        <v>28</v>
      </c>
      <c r="G1032" s="3"/>
      <c r="H1032" s="16" t="s">
        <v>2647</v>
      </c>
      <c r="I1032" s="21" t="s">
        <v>30</v>
      </c>
    </row>
    <row r="1033" spans="1:10">
      <c r="A1033" s="16" t="s">
        <v>647</v>
      </c>
      <c r="B1033" s="17">
        <v>25000</v>
      </c>
      <c r="C1033" s="2">
        <f t="shared" si="202"/>
        <v>437.50000000000006</v>
      </c>
      <c r="D1033" s="44">
        <v>45512</v>
      </c>
      <c r="E1033" s="3" t="s">
        <v>11</v>
      </c>
      <c r="F1033" s="3" t="s">
        <v>28</v>
      </c>
      <c r="G1033" s="3"/>
    </row>
    <row r="1034" spans="1:10">
      <c r="A1034" s="16" t="s">
        <v>3048</v>
      </c>
      <c r="B1034" s="17">
        <v>19000</v>
      </c>
      <c r="C1034" s="2">
        <f>0.0125*B1034</f>
        <v>237.5</v>
      </c>
      <c r="D1034" s="44">
        <v>45512</v>
      </c>
      <c r="E1034" s="3" t="s">
        <v>11</v>
      </c>
      <c r="F1034" s="3" t="s">
        <v>12</v>
      </c>
      <c r="G1034" s="3"/>
    </row>
    <row r="1035" spans="1:10">
      <c r="A1035" s="16" t="s">
        <v>2910</v>
      </c>
      <c r="B1035" s="2">
        <v>150000</v>
      </c>
      <c r="C1035" s="2">
        <f t="shared" ref="C1035:C1037" si="203">0.0175*B1035</f>
        <v>2625.0000000000005</v>
      </c>
      <c r="D1035" s="44">
        <v>45512</v>
      </c>
      <c r="E1035" s="3" t="s">
        <v>15</v>
      </c>
      <c r="F1035" s="3" t="s">
        <v>144</v>
      </c>
      <c r="G1035" s="3"/>
      <c r="H1035" s="16" t="s">
        <v>16</v>
      </c>
      <c r="J1035" s="16">
        <v>600</v>
      </c>
    </row>
    <row r="1036" spans="1:10">
      <c r="A1036" s="16" t="s">
        <v>3049</v>
      </c>
      <c r="B1036" s="2">
        <v>1350000</v>
      </c>
      <c r="C1036" s="2">
        <f t="shared" si="203"/>
        <v>23625.000000000004</v>
      </c>
      <c r="D1036" s="44">
        <v>45513</v>
      </c>
      <c r="E1036" s="3" t="s">
        <v>2157</v>
      </c>
      <c r="F1036" s="3" t="s">
        <v>28</v>
      </c>
      <c r="G1036" s="3"/>
      <c r="H1036" s="16" t="s">
        <v>3050</v>
      </c>
    </row>
    <row r="1037" spans="1:10">
      <c r="A1037" s="16" t="s">
        <v>2685</v>
      </c>
      <c r="B1037" s="2">
        <v>150000</v>
      </c>
      <c r="C1037" s="2">
        <f t="shared" si="203"/>
        <v>2625.0000000000005</v>
      </c>
      <c r="D1037" s="44">
        <v>45513</v>
      </c>
      <c r="E1037" s="3" t="s">
        <v>24</v>
      </c>
      <c r="F1037" s="3" t="s">
        <v>144</v>
      </c>
      <c r="G1037" s="3"/>
      <c r="H1037" s="16" t="s">
        <v>25</v>
      </c>
    </row>
    <row r="1038" spans="1:10">
      <c r="A1038" s="16" t="s">
        <v>3051</v>
      </c>
      <c r="B1038" s="2">
        <v>80000</v>
      </c>
      <c r="C1038" s="2">
        <f>0.0125*B1038</f>
        <v>1000</v>
      </c>
      <c r="D1038" s="44">
        <v>45513</v>
      </c>
      <c r="E1038" s="3" t="s">
        <v>11</v>
      </c>
      <c r="F1038" s="3" t="s">
        <v>12</v>
      </c>
      <c r="G1038" s="3"/>
    </row>
    <row r="1039" spans="1:10">
      <c r="A1039" s="16" t="s">
        <v>2784</v>
      </c>
      <c r="B1039" s="2">
        <v>50000</v>
      </c>
      <c r="C1039" s="2">
        <f t="shared" ref="C1039:C1040" si="204">0.0175*B1039</f>
        <v>875.00000000000011</v>
      </c>
      <c r="D1039" s="44">
        <v>45513</v>
      </c>
      <c r="E1039" s="3" t="s">
        <v>11</v>
      </c>
      <c r="F1039" s="3" t="s">
        <v>67</v>
      </c>
      <c r="G1039" s="3"/>
    </row>
    <row r="1040" spans="1:10">
      <c r="A1040" s="16" t="s">
        <v>3052</v>
      </c>
      <c r="B1040" s="2">
        <v>400000</v>
      </c>
      <c r="C1040" s="2">
        <f t="shared" si="204"/>
        <v>7000.0000000000009</v>
      </c>
      <c r="D1040" s="44">
        <v>45516</v>
      </c>
      <c r="E1040" s="3" t="s">
        <v>135</v>
      </c>
      <c r="F1040" s="3" t="s">
        <v>28</v>
      </c>
      <c r="G1040" s="3"/>
      <c r="H1040" s="16" t="s">
        <v>13</v>
      </c>
      <c r="I1040" s="21" t="s">
        <v>30</v>
      </c>
    </row>
    <row r="1041" spans="1:10">
      <c r="A1041" s="16" t="s">
        <v>2838</v>
      </c>
      <c r="B1041" s="2">
        <v>60000</v>
      </c>
      <c r="C1041" s="2">
        <f t="shared" ref="C1041:C1042" si="205">0.0125*B1041</f>
        <v>750</v>
      </c>
      <c r="D1041" s="44">
        <v>45516</v>
      </c>
      <c r="E1041" s="3" t="s">
        <v>15</v>
      </c>
      <c r="F1041" s="3" t="s">
        <v>12</v>
      </c>
      <c r="G1041" s="3"/>
      <c r="H1041" s="16" t="s">
        <v>54</v>
      </c>
      <c r="J1041" s="16">
        <v>360</v>
      </c>
    </row>
    <row r="1042" spans="1:10">
      <c r="A1042" s="16" t="s">
        <v>3053</v>
      </c>
      <c r="B1042" s="2">
        <v>17000</v>
      </c>
      <c r="C1042" s="2">
        <f t="shared" si="205"/>
        <v>212.5</v>
      </c>
      <c r="D1042" s="44">
        <v>45517</v>
      </c>
      <c r="E1042" s="3" t="s">
        <v>15</v>
      </c>
      <c r="F1042" s="3" t="s">
        <v>12</v>
      </c>
      <c r="G1042" s="3"/>
      <c r="H1042" s="16" t="s">
        <v>54</v>
      </c>
      <c r="J1042" s="16">
        <v>102</v>
      </c>
    </row>
    <row r="1043" spans="1:10">
      <c r="A1043" s="16" t="s">
        <v>2926</v>
      </c>
      <c r="B1043" s="2">
        <v>70000</v>
      </c>
      <c r="C1043" s="2">
        <f>0.0175*B1043</f>
        <v>1225.0000000000002</v>
      </c>
      <c r="D1043" s="44">
        <v>45517</v>
      </c>
      <c r="E1043" s="3" t="s">
        <v>11</v>
      </c>
      <c r="F1043" s="3" t="s">
        <v>67</v>
      </c>
      <c r="G1043" s="3"/>
    </row>
    <row r="1044" spans="1:10">
      <c r="A1044" s="16" t="s">
        <v>62</v>
      </c>
      <c r="B1044" s="2">
        <v>30000</v>
      </c>
      <c r="C1044" s="2">
        <v>0</v>
      </c>
      <c r="D1044" s="44">
        <v>45517</v>
      </c>
      <c r="E1044" s="3" t="s">
        <v>11</v>
      </c>
      <c r="F1044" s="3" t="s">
        <v>28</v>
      </c>
      <c r="G1044" s="3"/>
      <c r="H1044" s="16" t="s">
        <v>3054</v>
      </c>
    </row>
    <row r="1045" spans="1:10">
      <c r="A1045" s="16" t="s">
        <v>3055</v>
      </c>
      <c r="B1045" s="2">
        <v>800000</v>
      </c>
      <c r="C1045" s="2">
        <f>0.0175*B1045</f>
        <v>14000.000000000002</v>
      </c>
      <c r="D1045" s="44">
        <v>45517</v>
      </c>
      <c r="E1045" s="3" t="s">
        <v>15</v>
      </c>
      <c r="F1045" s="3" t="s">
        <v>28</v>
      </c>
      <c r="G1045" s="3"/>
      <c r="H1045" s="16" t="s">
        <v>2253</v>
      </c>
      <c r="I1045" s="21" t="s">
        <v>30</v>
      </c>
      <c r="J1045" s="16">
        <v>4000</v>
      </c>
    </row>
    <row r="1046" spans="1:10">
      <c r="A1046" s="16" t="s">
        <v>2111</v>
      </c>
      <c r="B1046" s="2">
        <v>145000</v>
      </c>
      <c r="C1046" s="2">
        <f>0.0125*B1046</f>
        <v>1812.5</v>
      </c>
      <c r="D1046" s="44">
        <v>45517</v>
      </c>
      <c r="E1046" s="3" t="s">
        <v>40</v>
      </c>
      <c r="F1046" s="3" t="s">
        <v>12</v>
      </c>
      <c r="G1046" s="3"/>
    </row>
    <row r="1047" spans="1:10">
      <c r="A1047" s="16" t="s">
        <v>3056</v>
      </c>
      <c r="B1047" s="2">
        <v>25000</v>
      </c>
      <c r="C1047" s="2">
        <f t="shared" ref="C1047:C1048" si="206">0.0175*B1047</f>
        <v>437.50000000000006</v>
      </c>
      <c r="D1047" s="44">
        <v>45517</v>
      </c>
      <c r="E1047" s="3" t="s">
        <v>11</v>
      </c>
      <c r="F1047" s="3" t="s">
        <v>28</v>
      </c>
      <c r="G1047" s="3"/>
    </row>
    <row r="1048" spans="1:10">
      <c r="A1048" s="16" t="s">
        <v>3057</v>
      </c>
      <c r="B1048" s="2">
        <v>100000</v>
      </c>
      <c r="C1048" s="2">
        <f t="shared" si="206"/>
        <v>1750.0000000000002</v>
      </c>
      <c r="D1048" s="44">
        <v>45518</v>
      </c>
      <c r="E1048" s="3" t="s">
        <v>15</v>
      </c>
      <c r="F1048" s="3" t="s">
        <v>28</v>
      </c>
      <c r="G1048" s="3"/>
      <c r="H1048" s="16" t="s">
        <v>2135</v>
      </c>
      <c r="I1048" s="21" t="s">
        <v>30</v>
      </c>
      <c r="J1048" s="16">
        <v>600</v>
      </c>
    </row>
    <row r="1049" spans="1:10">
      <c r="A1049" s="16" t="s">
        <v>3058</v>
      </c>
      <c r="B1049" s="2">
        <v>115000</v>
      </c>
      <c r="C1049" s="2">
        <f>0.0125*B1049</f>
        <v>1437.5</v>
      </c>
      <c r="D1049" s="44">
        <v>45518</v>
      </c>
      <c r="E1049" s="3" t="s">
        <v>11</v>
      </c>
      <c r="F1049" s="3" t="s">
        <v>12</v>
      </c>
      <c r="G1049" s="3"/>
    </row>
    <row r="1050" spans="1:10">
      <c r="A1050" s="16" t="s">
        <v>3059</v>
      </c>
      <c r="B1050" s="2">
        <v>60000</v>
      </c>
      <c r="C1050" s="2">
        <f t="shared" ref="C1050:C1052" si="207">0.0175*B1050</f>
        <v>1050</v>
      </c>
      <c r="D1050" s="44">
        <v>45518</v>
      </c>
      <c r="E1050" s="3" t="s">
        <v>60</v>
      </c>
      <c r="F1050" s="3" t="s">
        <v>28</v>
      </c>
      <c r="G1050" s="3"/>
      <c r="I1050" s="21" t="s">
        <v>30</v>
      </c>
    </row>
    <row r="1051" spans="1:10">
      <c r="A1051" s="16" t="s">
        <v>3060</v>
      </c>
      <c r="B1051" s="2">
        <v>15000</v>
      </c>
      <c r="C1051" s="2">
        <f t="shared" si="207"/>
        <v>262.5</v>
      </c>
      <c r="D1051" s="44">
        <v>45518</v>
      </c>
      <c r="E1051" s="3" t="s">
        <v>15</v>
      </c>
      <c r="F1051" s="3" t="s">
        <v>144</v>
      </c>
      <c r="G1051" s="3"/>
      <c r="H1051" s="16" t="s">
        <v>51</v>
      </c>
      <c r="J1051" s="16">
        <v>75</v>
      </c>
    </row>
    <row r="1052" spans="1:10">
      <c r="A1052" s="16" t="s">
        <v>319</v>
      </c>
      <c r="B1052" s="2">
        <v>150000</v>
      </c>
      <c r="C1052" s="2">
        <f t="shared" si="207"/>
        <v>2625.0000000000005</v>
      </c>
      <c r="D1052" s="44">
        <v>45518</v>
      </c>
      <c r="E1052" s="3" t="s">
        <v>21</v>
      </c>
      <c r="F1052" s="3" t="s">
        <v>28</v>
      </c>
      <c r="G1052" s="3"/>
      <c r="H1052" s="16" t="s">
        <v>13</v>
      </c>
    </row>
    <row r="1053" spans="1:10">
      <c r="A1053" s="16" t="s">
        <v>891</v>
      </c>
      <c r="B1053" s="2">
        <v>200000</v>
      </c>
      <c r="C1053" s="2">
        <f>0.0125*B1053</f>
        <v>2500</v>
      </c>
      <c r="D1053" s="44">
        <v>45518</v>
      </c>
      <c r="E1053" s="3" t="s">
        <v>15</v>
      </c>
      <c r="F1053" s="3" t="s">
        <v>12</v>
      </c>
      <c r="G1053" s="3"/>
      <c r="H1053" s="16" t="s">
        <v>172</v>
      </c>
      <c r="J1053" s="16">
        <v>300</v>
      </c>
    </row>
    <row r="1054" spans="1:10">
      <c r="A1054" s="16" t="s">
        <v>3061</v>
      </c>
      <c r="B1054" s="2">
        <v>60000</v>
      </c>
      <c r="C1054" s="2">
        <f t="shared" ref="C1054:C1055" si="208">0.0175*B1054</f>
        <v>1050</v>
      </c>
      <c r="D1054" s="44">
        <v>45518</v>
      </c>
      <c r="E1054" s="3" t="s">
        <v>11</v>
      </c>
      <c r="F1054" s="3" t="s">
        <v>28</v>
      </c>
      <c r="G1054" s="3"/>
      <c r="I1054" s="21" t="s">
        <v>30</v>
      </c>
    </row>
    <row r="1055" spans="1:10">
      <c r="A1055" s="16" t="s">
        <v>3062</v>
      </c>
      <c r="B1055" s="2">
        <v>100000</v>
      </c>
      <c r="C1055" s="2">
        <f t="shared" si="208"/>
        <v>1750.0000000000002</v>
      </c>
      <c r="D1055" s="44">
        <v>45518</v>
      </c>
      <c r="E1055" s="3" t="s">
        <v>135</v>
      </c>
      <c r="F1055" s="3" t="s">
        <v>144</v>
      </c>
      <c r="G1055" s="3"/>
      <c r="H1055" s="16" t="s">
        <v>22</v>
      </c>
    </row>
    <row r="1056" spans="1:10">
      <c r="A1056" s="16" t="s">
        <v>3063</v>
      </c>
      <c r="B1056" s="2">
        <v>3000000</v>
      </c>
      <c r="C1056" s="2">
        <f>0.0125*B1056</f>
        <v>37500</v>
      </c>
      <c r="D1056" s="44">
        <v>45519</v>
      </c>
      <c r="E1056" s="3" t="s">
        <v>2405</v>
      </c>
      <c r="F1056" s="3" t="s">
        <v>12</v>
      </c>
      <c r="G1056" s="3"/>
    </row>
    <row r="1057" spans="1:10">
      <c r="A1057" s="16" t="s">
        <v>3064</v>
      </c>
      <c r="B1057" s="2">
        <v>300000</v>
      </c>
      <c r="C1057" s="2">
        <f>0.0175*B1057</f>
        <v>5250.0000000000009</v>
      </c>
      <c r="D1057" s="44">
        <v>45519</v>
      </c>
      <c r="E1057" s="3" t="s">
        <v>24</v>
      </c>
      <c r="F1057" s="3" t="s">
        <v>28</v>
      </c>
      <c r="G1057" s="3"/>
      <c r="H1057" s="16" t="s">
        <v>2647</v>
      </c>
      <c r="I1057" s="21" t="s">
        <v>30</v>
      </c>
    </row>
    <row r="1058" spans="1:10">
      <c r="A1058" s="16" t="s">
        <v>3065</v>
      </c>
      <c r="B1058" s="17">
        <v>50000</v>
      </c>
      <c r="C1058" s="2">
        <f t="shared" ref="C1058:C1059" si="209">0.0125*B1058</f>
        <v>625</v>
      </c>
      <c r="D1058" s="44">
        <v>45519</v>
      </c>
      <c r="E1058" s="3" t="s">
        <v>11</v>
      </c>
      <c r="F1058" s="3" t="s">
        <v>12</v>
      </c>
      <c r="G1058" s="3"/>
    </row>
    <row r="1059" spans="1:10">
      <c r="A1059" s="16" t="s">
        <v>3066</v>
      </c>
      <c r="B1059" s="17">
        <v>375000</v>
      </c>
      <c r="C1059" s="2">
        <f t="shared" si="209"/>
        <v>4687.5</v>
      </c>
      <c r="D1059" s="44">
        <v>45519</v>
      </c>
      <c r="E1059" s="3" t="s">
        <v>11</v>
      </c>
      <c r="F1059" s="3" t="s">
        <v>12</v>
      </c>
      <c r="G1059" s="3"/>
    </row>
    <row r="1060" spans="1:10">
      <c r="A1060" s="16" t="s">
        <v>3067</v>
      </c>
      <c r="B1060" s="2">
        <v>20000</v>
      </c>
      <c r="C1060" s="2">
        <f t="shared" ref="C1060:C1065" si="210">0.0175*B1060</f>
        <v>350.00000000000006</v>
      </c>
      <c r="D1060" s="44">
        <v>45519</v>
      </c>
      <c r="E1060" s="3" t="s">
        <v>15</v>
      </c>
      <c r="F1060" s="3" t="s">
        <v>144</v>
      </c>
      <c r="G1060" s="3"/>
      <c r="H1060" s="16" t="s">
        <v>51</v>
      </c>
      <c r="J1060" s="16">
        <v>100</v>
      </c>
    </row>
    <row r="1061" spans="1:10">
      <c r="A1061" s="16" t="s">
        <v>3068</v>
      </c>
      <c r="B1061" s="2">
        <v>80000</v>
      </c>
      <c r="C1061" s="2">
        <f t="shared" si="210"/>
        <v>1400.0000000000002</v>
      </c>
      <c r="D1061" s="44">
        <v>45519</v>
      </c>
      <c r="E1061" s="3" t="s">
        <v>11</v>
      </c>
      <c r="F1061" s="3" t="s">
        <v>41</v>
      </c>
      <c r="G1061" s="3"/>
    </row>
    <row r="1062" spans="1:10">
      <c r="A1062" s="16" t="s">
        <v>3025</v>
      </c>
      <c r="B1062" s="2">
        <v>50000</v>
      </c>
      <c r="C1062" s="2">
        <f t="shared" si="210"/>
        <v>875.00000000000011</v>
      </c>
      <c r="D1062" s="44">
        <v>45519</v>
      </c>
      <c r="E1062" s="3" t="s">
        <v>24</v>
      </c>
      <c r="F1062" s="3" t="s">
        <v>67</v>
      </c>
      <c r="G1062" s="3"/>
      <c r="H1062" s="16" t="s">
        <v>924</v>
      </c>
    </row>
    <row r="1063" spans="1:10">
      <c r="A1063" s="16" t="s">
        <v>3069</v>
      </c>
      <c r="B1063" s="2">
        <v>130000</v>
      </c>
      <c r="C1063" s="2">
        <f t="shared" si="210"/>
        <v>2275</v>
      </c>
      <c r="D1063" s="44">
        <v>45520</v>
      </c>
      <c r="E1063" s="3" t="s">
        <v>11</v>
      </c>
      <c r="F1063" s="3" t="s">
        <v>28</v>
      </c>
      <c r="G1063" s="3"/>
      <c r="I1063" s="21" t="s">
        <v>30</v>
      </c>
    </row>
    <row r="1064" spans="1:10">
      <c r="A1064" s="16" t="s">
        <v>3070</v>
      </c>
      <c r="B1064" s="2">
        <v>100000</v>
      </c>
      <c r="C1064" s="2">
        <f t="shared" si="210"/>
        <v>1750.0000000000002</v>
      </c>
      <c r="D1064" s="44">
        <v>45520</v>
      </c>
      <c r="E1064" s="3" t="s">
        <v>15</v>
      </c>
      <c r="F1064" s="3" t="s">
        <v>41</v>
      </c>
      <c r="G1064" s="3"/>
      <c r="H1064" s="16" t="s">
        <v>2116</v>
      </c>
      <c r="J1064" s="16">
        <v>1200</v>
      </c>
    </row>
    <row r="1065" spans="1:10">
      <c r="A1065" s="16" t="s">
        <v>3071</v>
      </c>
      <c r="B1065" s="2">
        <v>175000</v>
      </c>
      <c r="C1065" s="2">
        <f t="shared" si="210"/>
        <v>3062.5000000000005</v>
      </c>
      <c r="D1065" s="44">
        <v>45520</v>
      </c>
      <c r="E1065" s="3" t="s">
        <v>73</v>
      </c>
      <c r="F1065" s="3" t="s">
        <v>41</v>
      </c>
      <c r="G1065" s="3"/>
    </row>
    <row r="1066" spans="1:10">
      <c r="A1066" s="16" t="s">
        <v>3072</v>
      </c>
      <c r="B1066" s="2">
        <v>185000</v>
      </c>
      <c r="C1066" s="2">
        <f t="shared" ref="C1066:C1067" si="211">0.0125*B1066</f>
        <v>2312.5</v>
      </c>
      <c r="D1066" s="44">
        <v>45520</v>
      </c>
      <c r="E1066" s="3" t="s">
        <v>15</v>
      </c>
      <c r="F1066" s="3" t="s">
        <v>12</v>
      </c>
      <c r="G1066" s="3"/>
      <c r="H1066" s="16" t="s">
        <v>16</v>
      </c>
      <c r="J1066" s="16">
        <v>740</v>
      </c>
    </row>
    <row r="1067" spans="1:10">
      <c r="A1067" s="16" t="s">
        <v>3073</v>
      </c>
      <c r="B1067" s="2">
        <v>300000</v>
      </c>
      <c r="C1067" s="2">
        <f t="shared" si="211"/>
        <v>3750</v>
      </c>
      <c r="D1067" s="44">
        <v>45523</v>
      </c>
      <c r="E1067" s="3" t="s">
        <v>60</v>
      </c>
      <c r="F1067" s="3" t="s">
        <v>12</v>
      </c>
      <c r="G1067" s="3"/>
    </row>
    <row r="1068" spans="1:10">
      <c r="A1068" s="16" t="s">
        <v>3074</v>
      </c>
      <c r="B1068" s="2">
        <v>175000</v>
      </c>
      <c r="C1068" s="2">
        <f t="shared" ref="C1068:C1069" si="212">0.0175*B1068</f>
        <v>3062.5000000000005</v>
      </c>
      <c r="D1068" s="44">
        <v>45523</v>
      </c>
      <c r="E1068" s="3" t="s">
        <v>11</v>
      </c>
      <c r="F1068" s="3" t="s">
        <v>28</v>
      </c>
      <c r="G1068" s="3"/>
      <c r="I1068" s="21" t="s">
        <v>30</v>
      </c>
    </row>
    <row r="1069" spans="1:10">
      <c r="A1069" s="16" t="s">
        <v>3075</v>
      </c>
      <c r="B1069" s="2">
        <v>250000</v>
      </c>
      <c r="C1069" s="2">
        <f t="shared" si="212"/>
        <v>4375</v>
      </c>
      <c r="D1069" s="44">
        <v>45524</v>
      </c>
      <c r="E1069" s="3" t="s">
        <v>554</v>
      </c>
      <c r="F1069" s="3" t="s">
        <v>28</v>
      </c>
      <c r="G1069" s="3"/>
      <c r="I1069" s="21" t="s">
        <v>30</v>
      </c>
    </row>
    <row r="1070" spans="1:10">
      <c r="A1070" s="16" t="s">
        <v>3076</v>
      </c>
      <c r="B1070" s="2">
        <v>600000</v>
      </c>
      <c r="C1070" s="2">
        <f>0.0175*590000</f>
        <v>10325.000000000002</v>
      </c>
      <c r="D1070" s="44">
        <v>45524</v>
      </c>
      <c r="E1070" s="3" t="s">
        <v>24</v>
      </c>
      <c r="F1070" s="3" t="s">
        <v>28</v>
      </c>
      <c r="G1070" s="3"/>
      <c r="H1070" s="16" t="s">
        <v>2647</v>
      </c>
      <c r="I1070" s="21" t="s">
        <v>30</v>
      </c>
    </row>
    <row r="1071" spans="1:10">
      <c r="A1071" s="16" t="s">
        <v>3077</v>
      </c>
      <c r="B1071" s="2">
        <v>150000</v>
      </c>
      <c r="C1071" s="2">
        <f>0.0125*140000</f>
        <v>1750</v>
      </c>
      <c r="D1071" s="44">
        <v>45524</v>
      </c>
      <c r="E1071" s="3" t="s">
        <v>24</v>
      </c>
      <c r="F1071" s="3" t="s">
        <v>12</v>
      </c>
      <c r="G1071" s="3"/>
      <c r="H1071" s="16" t="s">
        <v>2843</v>
      </c>
    </row>
    <row r="1072" spans="1:10">
      <c r="A1072" s="16" t="s">
        <v>3078</v>
      </c>
      <c r="B1072" s="2">
        <v>25000</v>
      </c>
      <c r="C1072" s="2">
        <f t="shared" ref="C1072:C1073" si="213">0.0175*B1072</f>
        <v>437.50000000000006</v>
      </c>
      <c r="D1072" s="44">
        <v>45525</v>
      </c>
      <c r="E1072" s="3" t="s">
        <v>11</v>
      </c>
      <c r="F1072" s="3" t="s">
        <v>28</v>
      </c>
      <c r="G1072" s="3"/>
      <c r="I1072" s="21" t="s">
        <v>30</v>
      </c>
    </row>
    <row r="1073" spans="1:10">
      <c r="A1073" s="16" t="s">
        <v>3079</v>
      </c>
      <c r="B1073" s="2">
        <v>50000</v>
      </c>
      <c r="C1073" s="2">
        <f t="shared" si="213"/>
        <v>875.00000000000011</v>
      </c>
      <c r="D1073" s="44">
        <v>45525</v>
      </c>
      <c r="E1073" s="3" t="s">
        <v>15</v>
      </c>
      <c r="F1073" s="3" t="s">
        <v>144</v>
      </c>
      <c r="G1073" s="3"/>
      <c r="H1073" s="16" t="s">
        <v>51</v>
      </c>
      <c r="J1073" s="16">
        <v>250</v>
      </c>
    </row>
    <row r="1074" spans="1:10">
      <c r="A1074" s="16" t="s">
        <v>3080</v>
      </c>
      <c r="B1074" s="2">
        <v>435000</v>
      </c>
      <c r="C1074" s="2">
        <f>0.0125*B1074</f>
        <v>5437.5</v>
      </c>
      <c r="D1074" s="44">
        <v>45525</v>
      </c>
      <c r="E1074" s="3" t="s">
        <v>24</v>
      </c>
      <c r="F1074" s="3" t="s">
        <v>12</v>
      </c>
      <c r="G1074" s="3"/>
      <c r="H1074" s="16" t="s">
        <v>2843</v>
      </c>
    </row>
    <row r="1075" spans="1:10">
      <c r="A1075" s="16" t="s">
        <v>3081</v>
      </c>
      <c r="B1075" s="2">
        <v>150000</v>
      </c>
      <c r="C1075" s="2">
        <f t="shared" ref="C1075:C1077" si="214">0.0175*B1075</f>
        <v>2625.0000000000005</v>
      </c>
      <c r="D1075" s="44">
        <v>45525</v>
      </c>
      <c r="E1075" s="3" t="s">
        <v>11</v>
      </c>
      <c r="F1075" s="3" t="s">
        <v>41</v>
      </c>
      <c r="G1075" s="3"/>
    </row>
    <row r="1076" spans="1:10">
      <c r="A1076" s="16" t="s">
        <v>586</v>
      </c>
      <c r="B1076" s="2">
        <v>90000</v>
      </c>
      <c r="C1076" s="2">
        <f t="shared" si="214"/>
        <v>1575.0000000000002</v>
      </c>
      <c r="D1076" s="44">
        <v>45526</v>
      </c>
      <c r="E1076" s="3" t="s">
        <v>60</v>
      </c>
      <c r="F1076" s="3" t="s">
        <v>144</v>
      </c>
      <c r="G1076" s="3"/>
    </row>
    <row r="1077" spans="1:10">
      <c r="A1077" s="16" t="s">
        <v>3082</v>
      </c>
      <c r="B1077" s="2">
        <v>30000</v>
      </c>
      <c r="C1077" s="2">
        <f t="shared" si="214"/>
        <v>525</v>
      </c>
      <c r="D1077" s="44">
        <v>45526</v>
      </c>
      <c r="E1077" s="3" t="s">
        <v>11</v>
      </c>
      <c r="F1077" s="3" t="s">
        <v>28</v>
      </c>
      <c r="G1077" s="3"/>
      <c r="I1077" s="21" t="s">
        <v>30</v>
      </c>
    </row>
    <row r="1078" spans="1:10">
      <c r="A1078" s="16" t="s">
        <v>3083</v>
      </c>
      <c r="B1078" s="2">
        <v>350000</v>
      </c>
      <c r="C1078" s="2">
        <f>0.0125*B1078</f>
        <v>4375</v>
      </c>
      <c r="D1078" s="44">
        <v>45526</v>
      </c>
      <c r="E1078" s="3" t="s">
        <v>11</v>
      </c>
      <c r="F1078" s="3" t="s">
        <v>12</v>
      </c>
      <c r="G1078" s="3"/>
    </row>
    <row r="1079" spans="1:10">
      <c r="A1079" s="16" t="s">
        <v>3084</v>
      </c>
      <c r="B1079" s="2">
        <v>300000</v>
      </c>
      <c r="C1079" s="2">
        <f>0.0175*290000</f>
        <v>5075.0000000000009</v>
      </c>
      <c r="D1079" s="44">
        <v>45526</v>
      </c>
      <c r="E1079" s="3" t="s">
        <v>24</v>
      </c>
      <c r="F1079" s="3" t="s">
        <v>28</v>
      </c>
      <c r="G1079" s="3"/>
      <c r="H1079" s="16" t="s">
        <v>2647</v>
      </c>
    </row>
    <row r="1080" spans="1:10">
      <c r="A1080" s="16" t="s">
        <v>723</v>
      </c>
      <c r="B1080" s="2">
        <v>91000</v>
      </c>
      <c r="C1080" s="2">
        <f>0.0125*B1080</f>
        <v>1137.5</v>
      </c>
      <c r="D1080" s="44">
        <v>45526</v>
      </c>
      <c r="E1080" s="3" t="s">
        <v>15</v>
      </c>
      <c r="F1080" s="3" t="s">
        <v>12</v>
      </c>
      <c r="G1080" s="3"/>
      <c r="H1080" s="16" t="s">
        <v>16</v>
      </c>
      <c r="J1080" s="16">
        <v>364</v>
      </c>
    </row>
    <row r="1081" spans="1:10">
      <c r="A1081" s="16" t="s">
        <v>3085</v>
      </c>
      <c r="B1081" s="2">
        <v>350000</v>
      </c>
      <c r="C1081" s="2">
        <f>0.0175*B1081</f>
        <v>6125.0000000000009</v>
      </c>
      <c r="D1081" s="44">
        <v>45526</v>
      </c>
      <c r="E1081" s="3" t="s">
        <v>75</v>
      </c>
      <c r="F1081" s="3" t="s">
        <v>28</v>
      </c>
      <c r="G1081" s="3"/>
      <c r="H1081" s="16" t="s">
        <v>3086</v>
      </c>
      <c r="I1081" s="21" t="s">
        <v>30</v>
      </c>
    </row>
    <row r="1082" spans="1:10">
      <c r="A1082" s="16" t="s">
        <v>3087</v>
      </c>
      <c r="B1082" s="2">
        <v>40000</v>
      </c>
      <c r="C1082" s="2">
        <f>0.0125*B1082</f>
        <v>500</v>
      </c>
      <c r="D1082" s="44">
        <v>45526</v>
      </c>
      <c r="E1082" s="3" t="s">
        <v>15</v>
      </c>
      <c r="F1082" s="3" t="s">
        <v>12</v>
      </c>
      <c r="G1082" s="3"/>
      <c r="H1082" s="16" t="s">
        <v>54</v>
      </c>
      <c r="J1082" s="16">
        <v>240</v>
      </c>
    </row>
    <row r="1083" spans="1:10">
      <c r="A1083" s="16" t="s">
        <v>883</v>
      </c>
      <c r="B1083" s="2">
        <v>150000</v>
      </c>
      <c r="C1083" s="2">
        <f>0.0175*B1083</f>
        <v>2625.0000000000005</v>
      </c>
      <c r="D1083" s="44">
        <v>45526</v>
      </c>
      <c r="E1083" s="3" t="s">
        <v>92</v>
      </c>
      <c r="F1083" s="3" t="s">
        <v>28</v>
      </c>
      <c r="G1083" s="3"/>
    </row>
    <row r="1084" spans="1:10">
      <c r="A1084" s="16" t="s">
        <v>3088</v>
      </c>
      <c r="B1084" s="2">
        <v>200000</v>
      </c>
      <c r="C1084" s="2">
        <f t="shared" ref="C1084:C1089" si="215">0.0125*B1084</f>
        <v>2500</v>
      </c>
      <c r="D1084" s="44">
        <v>45526</v>
      </c>
      <c r="E1084" s="3" t="s">
        <v>11</v>
      </c>
      <c r="F1084" s="3" t="s">
        <v>12</v>
      </c>
      <c r="G1084" s="3"/>
    </row>
    <row r="1085" spans="1:10">
      <c r="A1085" s="16" t="s">
        <v>3089</v>
      </c>
      <c r="B1085" s="2">
        <v>60000</v>
      </c>
      <c r="C1085" s="2">
        <f t="shared" si="215"/>
        <v>750</v>
      </c>
      <c r="D1085" s="44">
        <v>45526</v>
      </c>
      <c r="E1085" s="3" t="s">
        <v>11</v>
      </c>
      <c r="F1085" s="3" t="s">
        <v>12</v>
      </c>
      <c r="G1085" s="3"/>
    </row>
    <row r="1086" spans="1:10">
      <c r="A1086" s="16" t="s">
        <v>2982</v>
      </c>
      <c r="B1086" s="17">
        <v>60000</v>
      </c>
      <c r="C1086" s="2">
        <f t="shared" si="215"/>
        <v>750</v>
      </c>
      <c r="D1086" s="44">
        <v>45526</v>
      </c>
      <c r="E1086" s="3" t="s">
        <v>11</v>
      </c>
      <c r="F1086" s="3" t="s">
        <v>12</v>
      </c>
      <c r="G1086" s="3"/>
    </row>
    <row r="1087" spans="1:10">
      <c r="A1087" s="16" t="s">
        <v>3090</v>
      </c>
      <c r="B1087" s="17">
        <v>30000</v>
      </c>
      <c r="C1087" s="2">
        <f t="shared" si="215"/>
        <v>375</v>
      </c>
      <c r="D1087" s="44">
        <v>45526</v>
      </c>
      <c r="E1087" s="3" t="s">
        <v>11</v>
      </c>
      <c r="F1087" s="3" t="s">
        <v>12</v>
      </c>
      <c r="G1087" s="3"/>
    </row>
    <row r="1088" spans="1:10">
      <c r="A1088" s="16" t="s">
        <v>84</v>
      </c>
      <c r="B1088" s="2">
        <v>1120000</v>
      </c>
      <c r="C1088" s="2">
        <f t="shared" si="215"/>
        <v>14000</v>
      </c>
      <c r="D1088" s="44">
        <v>45526</v>
      </c>
      <c r="E1088" s="3" t="s">
        <v>24</v>
      </c>
      <c r="F1088" s="3" t="s">
        <v>12</v>
      </c>
      <c r="G1088" s="3"/>
      <c r="H1088" s="16" t="s">
        <v>2843</v>
      </c>
    </row>
    <row r="1089" spans="1:10">
      <c r="A1089" s="16" t="s">
        <v>239</v>
      </c>
      <c r="B1089" s="2">
        <v>810000</v>
      </c>
      <c r="C1089" s="2">
        <f t="shared" si="215"/>
        <v>10125</v>
      </c>
      <c r="D1089" s="44">
        <v>45526</v>
      </c>
      <c r="E1089" s="3" t="s">
        <v>73</v>
      </c>
      <c r="F1089" s="3" t="s">
        <v>12</v>
      </c>
      <c r="G1089" s="3"/>
    </row>
    <row r="1090" spans="1:10">
      <c r="A1090" s="16" t="s">
        <v>3091</v>
      </c>
      <c r="B1090" s="2">
        <v>75000</v>
      </c>
      <c r="C1090" s="2">
        <f t="shared" ref="C1090:C1092" si="216">0.0175*B1090</f>
        <v>1312.5000000000002</v>
      </c>
      <c r="D1090" s="44">
        <v>45527</v>
      </c>
      <c r="E1090" s="3" t="s">
        <v>15</v>
      </c>
      <c r="F1090" s="3" t="s">
        <v>28</v>
      </c>
      <c r="G1090" s="3"/>
      <c r="H1090" s="16" t="s">
        <v>2179</v>
      </c>
      <c r="I1090" s="21" t="s">
        <v>30</v>
      </c>
      <c r="J1090" s="16">
        <v>300</v>
      </c>
    </row>
    <row r="1091" spans="1:10">
      <c r="A1091" s="16" t="s">
        <v>3092</v>
      </c>
      <c r="B1091" s="2">
        <v>200000</v>
      </c>
      <c r="C1091" s="2">
        <f t="shared" si="216"/>
        <v>3500.0000000000005</v>
      </c>
      <c r="D1091" s="44">
        <v>45527</v>
      </c>
      <c r="E1091" s="3" t="s">
        <v>982</v>
      </c>
      <c r="F1091" s="3" t="s">
        <v>28</v>
      </c>
      <c r="G1091" s="3"/>
      <c r="I1091" s="21" t="s">
        <v>30</v>
      </c>
    </row>
    <row r="1092" spans="1:10">
      <c r="A1092" s="16" t="s">
        <v>3093</v>
      </c>
      <c r="B1092" s="2">
        <v>400000</v>
      </c>
      <c r="C1092" s="2">
        <f t="shared" si="216"/>
        <v>7000.0000000000009</v>
      </c>
      <c r="D1092" s="44">
        <v>45527</v>
      </c>
      <c r="E1092" s="3" t="s">
        <v>24</v>
      </c>
      <c r="F1092" s="3" t="s">
        <v>28</v>
      </c>
      <c r="G1092" s="3"/>
      <c r="H1092" s="16" t="s">
        <v>2647</v>
      </c>
      <c r="I1092" s="21" t="s">
        <v>30</v>
      </c>
    </row>
    <row r="1093" spans="1:10">
      <c r="A1093" s="16" t="s">
        <v>3094</v>
      </c>
      <c r="B1093" s="2">
        <v>625000</v>
      </c>
      <c r="C1093" s="2">
        <f>0.0125*B1093</f>
        <v>7812.5</v>
      </c>
      <c r="D1093" s="44">
        <v>45527</v>
      </c>
      <c r="E1093" s="3" t="s">
        <v>24</v>
      </c>
      <c r="F1093" s="3" t="s">
        <v>12</v>
      </c>
      <c r="G1093" s="3"/>
      <c r="H1093" s="16" t="s">
        <v>2843</v>
      </c>
    </row>
    <row r="1094" spans="1:10">
      <c r="A1094" s="16" t="s">
        <v>3095</v>
      </c>
      <c r="B1094" s="2">
        <v>75000</v>
      </c>
      <c r="C1094" s="2">
        <f t="shared" ref="C1094:C1096" si="217">0.0175*B1094</f>
        <v>1312.5000000000002</v>
      </c>
      <c r="D1094" s="44">
        <v>45527</v>
      </c>
      <c r="E1094" s="3" t="s">
        <v>15</v>
      </c>
      <c r="F1094" s="3" t="s">
        <v>28</v>
      </c>
      <c r="G1094" s="3"/>
      <c r="H1094" s="16" t="s">
        <v>2265</v>
      </c>
      <c r="I1094" s="21" t="s">
        <v>30</v>
      </c>
      <c r="J1094" s="16">
        <v>525</v>
      </c>
    </row>
    <row r="1095" spans="1:10">
      <c r="A1095" s="16" t="s">
        <v>3096</v>
      </c>
      <c r="B1095" s="2">
        <v>75000</v>
      </c>
      <c r="C1095" s="2">
        <f t="shared" si="217"/>
        <v>1312.5000000000002</v>
      </c>
      <c r="D1095" s="44">
        <v>45530</v>
      </c>
      <c r="E1095" s="3" t="s">
        <v>69</v>
      </c>
      <c r="F1095" s="3" t="s">
        <v>28</v>
      </c>
      <c r="G1095" s="3"/>
      <c r="I1095" s="21" t="s">
        <v>30</v>
      </c>
    </row>
    <row r="1096" spans="1:10">
      <c r="A1096" s="16" t="s">
        <v>3097</v>
      </c>
      <c r="B1096" s="2">
        <v>70000</v>
      </c>
      <c r="C1096" s="2">
        <f t="shared" si="217"/>
        <v>1225.0000000000002</v>
      </c>
      <c r="D1096" s="44">
        <v>45530</v>
      </c>
      <c r="E1096" s="3" t="s">
        <v>11</v>
      </c>
      <c r="F1096" s="3" t="s">
        <v>28</v>
      </c>
      <c r="G1096" s="3"/>
      <c r="I1096" s="21" t="s">
        <v>30</v>
      </c>
    </row>
    <row r="1097" spans="1:10">
      <c r="A1097" s="16" t="s">
        <v>3098</v>
      </c>
      <c r="B1097" s="2">
        <v>70000</v>
      </c>
      <c r="C1097" s="2">
        <f t="shared" ref="C1097:C1099" si="218">0.0125*B1097</f>
        <v>875</v>
      </c>
      <c r="D1097" s="44">
        <v>45530</v>
      </c>
      <c r="E1097" s="3" t="s">
        <v>11</v>
      </c>
      <c r="F1097" s="3" t="s">
        <v>12</v>
      </c>
      <c r="G1097" s="3"/>
    </row>
    <row r="1098" spans="1:10">
      <c r="A1098" s="16" t="s">
        <v>465</v>
      </c>
      <c r="B1098" s="2">
        <v>194000</v>
      </c>
      <c r="C1098" s="2">
        <f t="shared" si="218"/>
        <v>2425</v>
      </c>
      <c r="D1098" s="44">
        <v>45530</v>
      </c>
      <c r="E1098" s="3" t="s">
        <v>2534</v>
      </c>
      <c r="F1098" s="3" t="s">
        <v>12</v>
      </c>
      <c r="G1098" s="3"/>
      <c r="H1098" s="16" t="s">
        <v>16</v>
      </c>
      <c r="J1098" s="16">
        <v>776</v>
      </c>
    </row>
    <row r="1099" spans="1:10">
      <c r="A1099" s="16" t="s">
        <v>3099</v>
      </c>
      <c r="B1099" s="2">
        <v>150000</v>
      </c>
      <c r="C1099" s="2">
        <f t="shared" si="218"/>
        <v>1875</v>
      </c>
      <c r="D1099" s="44">
        <v>45531</v>
      </c>
      <c r="E1099" s="3" t="s">
        <v>15</v>
      </c>
      <c r="F1099" s="3" t="s">
        <v>12</v>
      </c>
      <c r="G1099" s="3"/>
      <c r="H1099" s="16" t="s">
        <v>282</v>
      </c>
      <c r="J1099" s="16">
        <v>150</v>
      </c>
    </row>
    <row r="1100" spans="1:10">
      <c r="A1100" s="16" t="s">
        <v>3100</v>
      </c>
      <c r="B1100" s="2">
        <v>225000</v>
      </c>
      <c r="C1100" s="2">
        <f t="shared" ref="C1100:C1101" si="219">0.0175*B1100</f>
        <v>3937.5000000000005</v>
      </c>
      <c r="D1100" s="44">
        <v>45531</v>
      </c>
      <c r="E1100" s="3" t="s">
        <v>24</v>
      </c>
      <c r="F1100" s="3" t="s">
        <v>28</v>
      </c>
      <c r="G1100" s="3"/>
      <c r="H1100" s="16" t="s">
        <v>2647</v>
      </c>
      <c r="I1100" s="21" t="s">
        <v>30</v>
      </c>
    </row>
    <row r="1101" spans="1:10">
      <c r="A1101" s="16" t="s">
        <v>3101</v>
      </c>
      <c r="B1101" s="2">
        <v>250000</v>
      </c>
      <c r="C1101" s="2">
        <f t="shared" si="219"/>
        <v>4375</v>
      </c>
      <c r="D1101" s="44">
        <v>45531</v>
      </c>
      <c r="E1101" s="3" t="s">
        <v>11</v>
      </c>
      <c r="F1101" s="3" t="s">
        <v>28</v>
      </c>
      <c r="G1101" s="3"/>
      <c r="I1101" s="21" t="s">
        <v>30</v>
      </c>
    </row>
    <row r="1102" spans="1:10">
      <c r="A1102" s="16" t="s">
        <v>3102</v>
      </c>
      <c r="B1102" s="2">
        <v>150000</v>
      </c>
      <c r="C1102" s="2">
        <f t="shared" ref="C1102:C1104" si="220">0.0125*B1102</f>
        <v>1875</v>
      </c>
      <c r="D1102" s="44">
        <v>45531</v>
      </c>
      <c r="E1102" s="3" t="s">
        <v>11</v>
      </c>
      <c r="F1102" s="3" t="s">
        <v>12</v>
      </c>
      <c r="G1102" s="3"/>
    </row>
    <row r="1103" spans="1:10">
      <c r="A1103" s="16" t="s">
        <v>52</v>
      </c>
      <c r="B1103" s="2">
        <v>1500000</v>
      </c>
      <c r="C1103" s="2">
        <f t="shared" si="220"/>
        <v>18750</v>
      </c>
      <c r="D1103" s="44">
        <v>45532</v>
      </c>
      <c r="E1103" s="3" t="s">
        <v>11</v>
      </c>
      <c r="F1103" s="3" t="s">
        <v>12</v>
      </c>
      <c r="G1103" s="3"/>
    </row>
    <row r="1104" spans="1:10">
      <c r="A1104" s="16" t="s">
        <v>3103</v>
      </c>
      <c r="B1104" s="2">
        <v>425000</v>
      </c>
      <c r="C1104" s="2">
        <f t="shared" si="220"/>
        <v>5312.5</v>
      </c>
      <c r="D1104" s="44">
        <v>45532</v>
      </c>
      <c r="E1104" s="3" t="s">
        <v>135</v>
      </c>
      <c r="F1104" s="3" t="s">
        <v>12</v>
      </c>
      <c r="G1104" s="3"/>
      <c r="H1104" s="16" t="s">
        <v>22</v>
      </c>
    </row>
    <row r="1105" spans="1:10">
      <c r="A1105" s="16" t="s">
        <v>3104</v>
      </c>
      <c r="B1105" s="2">
        <v>250000</v>
      </c>
      <c r="C1105" s="2">
        <f t="shared" ref="C1105:C1108" si="221">0.0175*B1105</f>
        <v>4375</v>
      </c>
      <c r="D1105" s="44">
        <v>45532</v>
      </c>
      <c r="E1105" s="3" t="s">
        <v>24</v>
      </c>
      <c r="F1105" s="3" t="s">
        <v>28</v>
      </c>
      <c r="G1105" s="3"/>
      <c r="H1105" s="16" t="s">
        <v>2647</v>
      </c>
      <c r="I1105" s="21" t="s">
        <v>30</v>
      </c>
    </row>
    <row r="1106" spans="1:10">
      <c r="A1106" s="16" t="s">
        <v>3105</v>
      </c>
      <c r="B1106" s="2">
        <v>10000</v>
      </c>
      <c r="C1106" s="2">
        <f t="shared" si="221"/>
        <v>175.00000000000003</v>
      </c>
      <c r="D1106" s="44">
        <v>45532</v>
      </c>
      <c r="E1106" s="3" t="s">
        <v>15</v>
      </c>
      <c r="F1106" s="3" t="s">
        <v>28</v>
      </c>
      <c r="G1106" s="3"/>
      <c r="H1106" s="16" t="s">
        <v>2116</v>
      </c>
      <c r="J1106" s="16">
        <v>120</v>
      </c>
    </row>
    <row r="1107" spans="1:10">
      <c r="A1107" s="16" t="s">
        <v>3106</v>
      </c>
      <c r="B1107" s="2">
        <v>200000</v>
      </c>
      <c r="C1107" s="2">
        <f t="shared" si="221"/>
        <v>3500.0000000000005</v>
      </c>
      <c r="D1107" s="44">
        <v>45532</v>
      </c>
      <c r="E1107" s="3" t="s">
        <v>69</v>
      </c>
      <c r="F1107" s="3" t="s">
        <v>28</v>
      </c>
      <c r="G1107" s="3"/>
      <c r="H1107" s="16" t="s">
        <v>13</v>
      </c>
      <c r="I1107" s="21" t="s">
        <v>30</v>
      </c>
    </row>
    <row r="1108" spans="1:10">
      <c r="A1108" s="16" t="s">
        <v>3107</v>
      </c>
      <c r="B1108" s="2">
        <v>50000</v>
      </c>
      <c r="C1108" s="2">
        <f t="shared" si="221"/>
        <v>875.00000000000011</v>
      </c>
      <c r="D1108" s="44">
        <v>45533</v>
      </c>
      <c r="E1108" s="3" t="s">
        <v>15</v>
      </c>
      <c r="F1108" s="3" t="s">
        <v>28</v>
      </c>
      <c r="G1108" s="3"/>
      <c r="H1108" s="16" t="s">
        <v>2135</v>
      </c>
      <c r="I1108" s="21" t="s">
        <v>30</v>
      </c>
      <c r="J1108" s="16">
        <v>300</v>
      </c>
    </row>
    <row r="1109" spans="1:10">
      <c r="A1109" s="16" t="s">
        <v>647</v>
      </c>
      <c r="B1109" s="2">
        <v>40000</v>
      </c>
      <c r="C1109" s="2">
        <f t="shared" ref="C1109:C1110" si="222">0.0125*B1109</f>
        <v>500</v>
      </c>
      <c r="D1109" s="44">
        <v>45533</v>
      </c>
      <c r="E1109" s="3" t="s">
        <v>11</v>
      </c>
      <c r="F1109" s="3" t="s">
        <v>12</v>
      </c>
      <c r="G1109" s="3"/>
    </row>
    <row r="1110" spans="1:10">
      <c r="A1110" s="16" t="s">
        <v>184</v>
      </c>
      <c r="B1110" s="2">
        <v>250000</v>
      </c>
      <c r="C1110" s="2">
        <f t="shared" si="222"/>
        <v>3125</v>
      </c>
      <c r="D1110" s="44">
        <v>45533</v>
      </c>
      <c r="E1110" s="3" t="s">
        <v>60</v>
      </c>
      <c r="F1110" s="3" t="s">
        <v>12</v>
      </c>
      <c r="G1110" s="3"/>
    </row>
    <row r="1111" spans="1:10">
      <c r="A1111" s="16" t="s">
        <v>3097</v>
      </c>
      <c r="B1111" s="2">
        <v>30000</v>
      </c>
      <c r="C1111" s="2">
        <f>0.0175*B1111</f>
        <v>525</v>
      </c>
      <c r="D1111" s="44">
        <v>45533</v>
      </c>
      <c r="E1111" s="3" t="s">
        <v>11</v>
      </c>
      <c r="F1111" s="3" t="s">
        <v>67</v>
      </c>
      <c r="G1111" s="3"/>
      <c r="I1111" s="21" t="s">
        <v>30</v>
      </c>
    </row>
    <row r="1112" spans="1:10">
      <c r="A1112" s="16" t="s">
        <v>589</v>
      </c>
      <c r="B1112" s="2">
        <v>270000</v>
      </c>
      <c r="C1112" s="2">
        <f t="shared" ref="C1112:C1113" si="223">0.0125*B1112</f>
        <v>3375</v>
      </c>
      <c r="D1112" s="44">
        <v>45534</v>
      </c>
      <c r="E1112" s="3" t="s">
        <v>73</v>
      </c>
      <c r="F1112" s="3" t="s">
        <v>12</v>
      </c>
      <c r="G1112" s="3"/>
    </row>
    <row r="1113" spans="1:10">
      <c r="A1113" s="16" t="s">
        <v>150</v>
      </c>
      <c r="B1113" s="2">
        <v>10000</v>
      </c>
      <c r="C1113" s="2">
        <f t="shared" si="223"/>
        <v>125</v>
      </c>
      <c r="D1113" s="44">
        <v>45534</v>
      </c>
      <c r="E1113" s="3" t="s">
        <v>11</v>
      </c>
      <c r="F1113" s="3" t="s">
        <v>12</v>
      </c>
      <c r="G1113" s="3"/>
    </row>
    <row r="1114" spans="1:10">
      <c r="A1114" s="16" t="s">
        <v>3108</v>
      </c>
      <c r="B1114" s="2">
        <v>50000</v>
      </c>
      <c r="C1114" s="2">
        <f>0.0175*B1114</f>
        <v>875.00000000000011</v>
      </c>
      <c r="D1114" s="44">
        <v>45534</v>
      </c>
      <c r="E1114" s="3" t="s">
        <v>11</v>
      </c>
      <c r="F1114" s="3" t="s">
        <v>28</v>
      </c>
      <c r="G1114" s="3"/>
      <c r="I1114" s="21" t="s">
        <v>30</v>
      </c>
    </row>
    <row r="1115" spans="1:10">
      <c r="A1115" s="16" t="s">
        <v>42</v>
      </c>
      <c r="B1115" s="2">
        <v>265000</v>
      </c>
      <c r="C1115" s="2">
        <f t="shared" ref="C1115:C1116" si="224">0.0125*B1115</f>
        <v>3312.5</v>
      </c>
      <c r="D1115" s="44">
        <v>45534</v>
      </c>
      <c r="E1115" s="3" t="s">
        <v>11</v>
      </c>
      <c r="F1115" s="3" t="s">
        <v>12</v>
      </c>
      <c r="G1115" s="3"/>
    </row>
    <row r="1116" spans="1:10">
      <c r="A1116" s="16" t="s">
        <v>3109</v>
      </c>
      <c r="B1116" s="2">
        <v>400000</v>
      </c>
      <c r="C1116" s="2">
        <f t="shared" si="224"/>
        <v>5000</v>
      </c>
      <c r="D1116" s="44">
        <v>45534</v>
      </c>
      <c r="E1116" s="3" t="s">
        <v>11</v>
      </c>
      <c r="F1116" s="3" t="s">
        <v>12</v>
      </c>
      <c r="G1116" s="3"/>
    </row>
    <row r="1117" spans="1:10">
      <c r="A1117" s="16" t="s">
        <v>3110</v>
      </c>
      <c r="B1117" s="2">
        <v>400000</v>
      </c>
      <c r="C1117" s="2">
        <f>0.0175*B1117</f>
        <v>7000.0000000000009</v>
      </c>
      <c r="D1117" s="44">
        <v>45534</v>
      </c>
      <c r="E1117" s="3" t="s">
        <v>11</v>
      </c>
      <c r="F1117" s="3" t="s">
        <v>28</v>
      </c>
      <c r="G1117" s="3"/>
      <c r="I1117" s="21" t="s">
        <v>30</v>
      </c>
    </row>
    <row r="1118" spans="1:10">
      <c r="A1118" s="16" t="s">
        <v>2610</v>
      </c>
      <c r="B1118" s="2">
        <v>190000</v>
      </c>
      <c r="C1118" s="2">
        <f t="shared" ref="C1118:C1121" si="225">0.0125*B1118</f>
        <v>2375</v>
      </c>
      <c r="D1118" s="44">
        <v>45534</v>
      </c>
      <c r="E1118" s="3" t="s">
        <v>1277</v>
      </c>
      <c r="F1118" s="3" t="s">
        <v>12</v>
      </c>
      <c r="G1118" s="3"/>
      <c r="H1118" s="16" t="s">
        <v>22</v>
      </c>
    </row>
    <row r="1119" spans="1:10">
      <c r="A1119" s="16" t="s">
        <v>2667</v>
      </c>
      <c r="B1119" s="2">
        <v>100000</v>
      </c>
      <c r="C1119" s="2">
        <f t="shared" si="225"/>
        <v>1250</v>
      </c>
      <c r="D1119" s="44">
        <v>45534</v>
      </c>
      <c r="E1119" s="3" t="s">
        <v>15</v>
      </c>
      <c r="F1119" s="3" t="s">
        <v>12</v>
      </c>
      <c r="G1119" s="3"/>
      <c r="H1119" s="16" t="s">
        <v>35</v>
      </c>
      <c r="J1119" s="16">
        <v>200</v>
      </c>
    </row>
    <row r="1120" spans="1:10">
      <c r="A1120" s="16" t="s">
        <v>3111</v>
      </c>
      <c r="B1120" s="2">
        <v>200000</v>
      </c>
      <c r="C1120" s="2">
        <f t="shared" si="225"/>
        <v>2500</v>
      </c>
      <c r="D1120" s="44">
        <v>45534</v>
      </c>
      <c r="E1120" s="3" t="s">
        <v>75</v>
      </c>
      <c r="F1120" s="3" t="s">
        <v>12</v>
      </c>
      <c r="G1120" s="3"/>
    </row>
    <row r="1121" spans="1:14">
      <c r="A1121" s="16" t="s">
        <v>2061</v>
      </c>
      <c r="B1121" s="2">
        <v>19500</v>
      </c>
      <c r="C1121" s="2">
        <f t="shared" si="225"/>
        <v>243.75</v>
      </c>
      <c r="D1121" s="44">
        <v>45534</v>
      </c>
      <c r="E1121" s="3" t="s">
        <v>11</v>
      </c>
      <c r="F1121" s="3" t="s">
        <v>12</v>
      </c>
      <c r="G1121" s="3"/>
    </row>
    <row r="1122" spans="1:14">
      <c r="A1122" s="16" t="s">
        <v>2802</v>
      </c>
      <c r="B1122" s="2">
        <v>65000</v>
      </c>
      <c r="C1122" s="2">
        <f>0.0175*B1122</f>
        <v>1137.5</v>
      </c>
      <c r="D1122" s="44">
        <v>45534</v>
      </c>
      <c r="E1122" s="3" t="s">
        <v>11</v>
      </c>
      <c r="F1122" s="3" t="s">
        <v>28</v>
      </c>
      <c r="G1122" s="3"/>
    </row>
    <row r="1123" spans="1:14">
      <c r="A1123" s="11">
        <v>45538</v>
      </c>
      <c r="B1123" s="12">
        <f t="shared" ref="B1123:C1123" si="226">SUM(B1124:B1246)</f>
        <v>24283800</v>
      </c>
      <c r="C1123" s="12">
        <f t="shared" si="226"/>
        <v>358060</v>
      </c>
      <c r="D1123" s="53"/>
      <c r="E1123" s="53"/>
      <c r="F1123" s="53"/>
      <c r="G1123" s="53"/>
      <c r="H1123" s="15"/>
      <c r="I1123" s="15"/>
      <c r="J1123" s="15"/>
      <c r="K1123" s="15"/>
      <c r="L1123" s="15"/>
    </row>
    <row r="1124" spans="1:14">
      <c r="A1124" s="16" t="s">
        <v>3112</v>
      </c>
      <c r="B1124" s="2">
        <v>40000</v>
      </c>
      <c r="C1124" s="2">
        <f>0.0125*B1124</f>
        <v>500</v>
      </c>
      <c r="D1124" s="44">
        <v>45538</v>
      </c>
      <c r="E1124" s="3" t="s">
        <v>11</v>
      </c>
      <c r="F1124" s="3" t="s">
        <v>12</v>
      </c>
      <c r="G1124" s="3"/>
    </row>
    <row r="1125" spans="1:14">
      <c r="A1125" s="16" t="s">
        <v>3113</v>
      </c>
      <c r="B1125" s="2">
        <v>30000</v>
      </c>
      <c r="C1125" s="2">
        <f t="shared" ref="C1125:C1128" si="227">0.0175*B1125</f>
        <v>525</v>
      </c>
      <c r="D1125" s="44">
        <v>45538</v>
      </c>
      <c r="E1125" s="3" t="s">
        <v>11</v>
      </c>
      <c r="F1125" s="3" t="s">
        <v>28</v>
      </c>
      <c r="G1125" s="3"/>
    </row>
    <row r="1126" spans="1:14">
      <c r="A1126" s="16" t="s">
        <v>3114</v>
      </c>
      <c r="B1126" s="2">
        <v>15500</v>
      </c>
      <c r="C1126" s="2">
        <f t="shared" si="227"/>
        <v>271.25</v>
      </c>
      <c r="D1126" s="44">
        <v>45538</v>
      </c>
      <c r="E1126" s="3" t="s">
        <v>15</v>
      </c>
      <c r="F1126" s="3" t="s">
        <v>67</v>
      </c>
      <c r="G1126" s="3"/>
      <c r="H1126" s="16" t="s">
        <v>51</v>
      </c>
      <c r="J1126" s="16">
        <v>77.5</v>
      </c>
    </row>
    <row r="1127" spans="1:14">
      <c r="A1127" s="16" t="s">
        <v>62</v>
      </c>
      <c r="B1127" s="2">
        <v>50000</v>
      </c>
      <c r="C1127" s="2">
        <f t="shared" si="227"/>
        <v>875.00000000000011</v>
      </c>
      <c r="D1127" s="44">
        <v>45538</v>
      </c>
      <c r="E1127" s="3" t="s">
        <v>11</v>
      </c>
      <c r="F1127" s="3" t="s">
        <v>67</v>
      </c>
      <c r="G1127" s="3"/>
      <c r="I1127" s="21" t="s">
        <v>30</v>
      </c>
    </row>
    <row r="1128" spans="1:14">
      <c r="A1128" s="16" t="s">
        <v>3115</v>
      </c>
      <c r="B1128" s="2">
        <v>70000</v>
      </c>
      <c r="C1128" s="2">
        <f t="shared" si="227"/>
        <v>1225.0000000000002</v>
      </c>
      <c r="D1128" s="44">
        <v>45538</v>
      </c>
      <c r="E1128" s="3" t="s">
        <v>60</v>
      </c>
      <c r="F1128" s="3" t="s">
        <v>28</v>
      </c>
      <c r="G1128" s="3"/>
    </row>
    <row r="1129" spans="1:14">
      <c r="A1129" s="16" t="s">
        <v>838</v>
      </c>
      <c r="B1129" s="2">
        <v>350000</v>
      </c>
      <c r="C1129" s="2">
        <f t="shared" ref="C1129:C1131" si="228">0.0125*B1129</f>
        <v>4375</v>
      </c>
      <c r="D1129" s="44">
        <v>45538</v>
      </c>
      <c r="E1129" s="3" t="s">
        <v>11</v>
      </c>
      <c r="F1129" s="3" t="s">
        <v>12</v>
      </c>
      <c r="G1129" s="3"/>
    </row>
    <row r="1130" spans="1:14">
      <c r="A1130" s="16" t="s">
        <v>3116</v>
      </c>
      <c r="B1130" s="17">
        <v>350000</v>
      </c>
      <c r="C1130" s="2">
        <f t="shared" si="228"/>
        <v>4375</v>
      </c>
      <c r="D1130" s="44">
        <v>45538</v>
      </c>
      <c r="E1130" s="3" t="s">
        <v>11</v>
      </c>
      <c r="F1130" s="3" t="s">
        <v>12</v>
      </c>
      <c r="G1130" s="3"/>
    </row>
    <row r="1131" spans="1:14">
      <c r="A1131" s="16" t="s">
        <v>3117</v>
      </c>
      <c r="B1131" s="2">
        <v>225000</v>
      </c>
      <c r="C1131" s="2">
        <f t="shared" si="228"/>
        <v>2812.5</v>
      </c>
      <c r="D1131" s="44">
        <v>45539</v>
      </c>
      <c r="E1131" s="3" t="s">
        <v>11</v>
      </c>
      <c r="F1131" s="3" t="s">
        <v>12</v>
      </c>
      <c r="G1131" s="3"/>
      <c r="N1131" s="16" t="s">
        <v>13</v>
      </c>
    </row>
    <row r="1132" spans="1:14">
      <c r="A1132" s="16" t="s">
        <v>3118</v>
      </c>
      <c r="B1132" s="2">
        <v>75000</v>
      </c>
      <c r="C1132" s="2">
        <f>0.0175*B1132</f>
        <v>1312.5000000000002</v>
      </c>
      <c r="D1132" s="44">
        <v>45539</v>
      </c>
      <c r="E1132" s="3" t="s">
        <v>24</v>
      </c>
      <c r="F1132" s="3" t="s">
        <v>28</v>
      </c>
      <c r="G1132" s="3"/>
      <c r="H1132" s="16" t="s">
        <v>2647</v>
      </c>
      <c r="I1132" s="21" t="s">
        <v>30</v>
      </c>
    </row>
    <row r="1133" spans="1:14">
      <c r="A1133" s="16" t="s">
        <v>3119</v>
      </c>
      <c r="B1133" s="2">
        <v>150000</v>
      </c>
      <c r="C1133" s="2">
        <f>0.0125*B1133</f>
        <v>1875</v>
      </c>
      <c r="D1133" s="44">
        <v>45539</v>
      </c>
      <c r="E1133" s="3" t="s">
        <v>11</v>
      </c>
      <c r="F1133" s="3" t="s">
        <v>12</v>
      </c>
      <c r="G1133" s="3"/>
      <c r="M1133" s="16">
        <v>11538.46</v>
      </c>
      <c r="N1133" s="16" t="s">
        <v>3120</v>
      </c>
    </row>
    <row r="1134" spans="1:14">
      <c r="A1134" s="16" t="s">
        <v>3121</v>
      </c>
      <c r="B1134" s="2">
        <v>350000</v>
      </c>
      <c r="C1134" s="2">
        <f>0.0175*B1134</f>
        <v>6125.0000000000009</v>
      </c>
      <c r="D1134" s="44">
        <v>45539</v>
      </c>
      <c r="E1134" s="3" t="s">
        <v>60</v>
      </c>
      <c r="F1134" s="3" t="s">
        <v>28</v>
      </c>
      <c r="G1134" s="3"/>
      <c r="I1134" s="21" t="s">
        <v>30</v>
      </c>
      <c r="L1134" s="16">
        <v>1330000</v>
      </c>
      <c r="M1134" s="16">
        <v>6650</v>
      </c>
      <c r="N1134" s="16" t="s">
        <v>3122</v>
      </c>
    </row>
    <row r="1135" spans="1:14">
      <c r="A1135" s="16" t="s">
        <v>3123</v>
      </c>
      <c r="B1135" s="17">
        <v>150000</v>
      </c>
      <c r="C1135" s="2">
        <f>0.0125*B1135</f>
        <v>1875</v>
      </c>
      <c r="D1135" s="44">
        <v>45539</v>
      </c>
      <c r="E1135" s="3" t="s">
        <v>24</v>
      </c>
      <c r="F1135" s="3" t="s">
        <v>12</v>
      </c>
      <c r="G1135" s="3"/>
      <c r="H1135" s="16" t="s">
        <v>2843</v>
      </c>
      <c r="J1135" s="16"/>
      <c r="L1135" s="16">
        <v>1365000</v>
      </c>
      <c r="M1135" s="16">
        <v>3412.5</v>
      </c>
      <c r="N1135" s="16" t="s">
        <v>3124</v>
      </c>
    </row>
    <row r="1136" spans="1:14">
      <c r="A1136" s="16" t="s">
        <v>3125</v>
      </c>
      <c r="B1136" s="17">
        <v>10000</v>
      </c>
      <c r="C1136" s="2">
        <f t="shared" ref="C1136:C1137" si="229">0.0175*B1136</f>
        <v>175.00000000000003</v>
      </c>
      <c r="D1136" s="44">
        <v>45540</v>
      </c>
      <c r="E1136" s="3" t="s">
        <v>15</v>
      </c>
      <c r="F1136" s="3" t="s">
        <v>28</v>
      </c>
      <c r="G1136" s="3"/>
      <c r="H1136" s="16" t="s">
        <v>2179</v>
      </c>
      <c r="J1136" s="16">
        <v>40</v>
      </c>
      <c r="L1136" s="16">
        <v>1075000</v>
      </c>
      <c r="M1136" s="16">
        <v>3225</v>
      </c>
      <c r="N1136" s="16" t="s">
        <v>2764</v>
      </c>
    </row>
    <row r="1137" spans="1:14">
      <c r="A1137" s="16" t="s">
        <v>3041</v>
      </c>
      <c r="B1137" s="2">
        <v>50000</v>
      </c>
      <c r="C1137" s="2">
        <f t="shared" si="229"/>
        <v>875.00000000000011</v>
      </c>
      <c r="D1137" s="44">
        <v>45540</v>
      </c>
      <c r="E1137" s="3" t="s">
        <v>11</v>
      </c>
      <c r="F1137" s="3" t="s">
        <v>67</v>
      </c>
      <c r="G1137" s="3"/>
      <c r="I1137" s="21" t="s">
        <v>30</v>
      </c>
      <c r="L1137" s="16">
        <v>2730000</v>
      </c>
      <c r="M1137" s="16">
        <v>4095</v>
      </c>
      <c r="N1137" s="16" t="s">
        <v>2765</v>
      </c>
    </row>
    <row r="1138" spans="1:14">
      <c r="A1138" s="16" t="s">
        <v>2292</v>
      </c>
      <c r="B1138" s="2">
        <v>1000000</v>
      </c>
      <c r="C1138" s="2">
        <f t="shared" ref="C1138:C1143" si="230">0.0125*B1138</f>
        <v>12500</v>
      </c>
      <c r="D1138" s="44">
        <v>45540</v>
      </c>
      <c r="E1138" s="3" t="s">
        <v>11</v>
      </c>
      <c r="F1138" s="3" t="s">
        <v>12</v>
      </c>
      <c r="G1138" s="3"/>
      <c r="M1138" s="16">
        <v>6645</v>
      </c>
      <c r="N1138" s="16" t="s">
        <v>15</v>
      </c>
    </row>
    <row r="1139" spans="1:14">
      <c r="A1139" s="16" t="s">
        <v>3126</v>
      </c>
      <c r="B1139" s="2">
        <v>225000</v>
      </c>
      <c r="C1139" s="2">
        <f t="shared" si="230"/>
        <v>2812.5</v>
      </c>
      <c r="D1139" s="44">
        <v>45540</v>
      </c>
      <c r="E1139" s="3" t="s">
        <v>15</v>
      </c>
      <c r="F1139" s="3" t="s">
        <v>12</v>
      </c>
      <c r="G1139" s="3"/>
      <c r="H1139" s="16" t="s">
        <v>16</v>
      </c>
    </row>
    <row r="1140" spans="1:14">
      <c r="A1140" s="16" t="s">
        <v>3127</v>
      </c>
      <c r="B1140" s="17">
        <v>125000</v>
      </c>
      <c r="C1140" s="2">
        <f t="shared" si="230"/>
        <v>1562.5</v>
      </c>
      <c r="D1140" s="44">
        <v>45540</v>
      </c>
      <c r="E1140" s="3" t="s">
        <v>24</v>
      </c>
      <c r="F1140" s="3" t="s">
        <v>12</v>
      </c>
      <c r="G1140" s="3"/>
      <c r="H1140" s="16" t="s">
        <v>2843</v>
      </c>
      <c r="J1140" s="16">
        <v>787.5</v>
      </c>
      <c r="L1140" s="16">
        <v>6687.5</v>
      </c>
      <c r="M1140" s="16" t="s">
        <v>3128</v>
      </c>
    </row>
    <row r="1141" spans="1:14">
      <c r="A1141" s="16" t="s">
        <v>3129</v>
      </c>
      <c r="B1141" s="17">
        <v>40000</v>
      </c>
      <c r="C1141" s="2">
        <f t="shared" si="230"/>
        <v>500</v>
      </c>
      <c r="D1141" s="44">
        <v>45540</v>
      </c>
      <c r="E1141" s="3" t="s">
        <v>11</v>
      </c>
      <c r="F1141" s="3" t="s">
        <v>12</v>
      </c>
      <c r="G1141" s="3"/>
    </row>
    <row r="1142" spans="1:14">
      <c r="A1142" s="16" t="s">
        <v>3130</v>
      </c>
      <c r="B1142" s="2">
        <v>300000</v>
      </c>
      <c r="C1142" s="2">
        <f t="shared" si="230"/>
        <v>3750</v>
      </c>
      <c r="D1142" s="44">
        <v>45540</v>
      </c>
      <c r="E1142" s="3" t="s">
        <v>24</v>
      </c>
      <c r="F1142" s="3" t="s">
        <v>12</v>
      </c>
      <c r="G1142" s="3"/>
      <c r="H1142" s="16" t="s">
        <v>2843</v>
      </c>
    </row>
    <row r="1143" spans="1:14">
      <c r="A1143" s="16" t="s">
        <v>2652</v>
      </c>
      <c r="B1143" s="2">
        <v>115000</v>
      </c>
      <c r="C1143" s="2">
        <f t="shared" si="230"/>
        <v>1437.5</v>
      </c>
      <c r="D1143" s="44">
        <v>45540</v>
      </c>
      <c r="E1143" s="3" t="s">
        <v>11</v>
      </c>
      <c r="F1143" s="3" t="s">
        <v>12</v>
      </c>
      <c r="G1143" s="3"/>
      <c r="N1143" s="16" t="s">
        <v>245</v>
      </c>
    </row>
    <row r="1144" spans="1:14">
      <c r="A1144" s="16" t="s">
        <v>834</v>
      </c>
      <c r="B1144" s="2">
        <v>35000</v>
      </c>
      <c r="C1144" s="2">
        <f t="shared" ref="C1144:C1145" si="231">0.0175*B1144</f>
        <v>612.50000000000011</v>
      </c>
      <c r="D1144" s="44">
        <v>45540</v>
      </c>
      <c r="E1144" s="3" t="s">
        <v>11</v>
      </c>
      <c r="F1144" s="3" t="s">
        <v>28</v>
      </c>
      <c r="G1144" s="3"/>
      <c r="I1144" s="21" t="s">
        <v>30</v>
      </c>
      <c r="M1144" s="16">
        <v>10096.15</v>
      </c>
      <c r="N1144" s="16" t="s">
        <v>3120</v>
      </c>
    </row>
    <row r="1145" spans="1:14">
      <c r="A1145" s="16" t="s">
        <v>1310</v>
      </c>
      <c r="B1145" s="2">
        <v>10000</v>
      </c>
      <c r="C1145" s="2">
        <f t="shared" si="231"/>
        <v>175.00000000000003</v>
      </c>
      <c r="D1145" s="44">
        <v>45541</v>
      </c>
      <c r="E1145" s="3" t="s">
        <v>15</v>
      </c>
      <c r="F1145" s="3" t="s">
        <v>28</v>
      </c>
      <c r="G1145" s="3"/>
      <c r="H1145" s="16" t="s">
        <v>2116</v>
      </c>
      <c r="J1145" s="16">
        <v>120</v>
      </c>
      <c r="M1145" s="16">
        <v>5600</v>
      </c>
      <c r="N1145" s="16" t="s">
        <v>15</v>
      </c>
    </row>
    <row r="1146" spans="1:14">
      <c r="A1146" s="16" t="s">
        <v>3131</v>
      </c>
      <c r="B1146" s="2">
        <v>305000</v>
      </c>
      <c r="C1146" s="2">
        <f t="shared" ref="C1146:C1147" si="232">0.0125*B1146</f>
        <v>3812.5</v>
      </c>
      <c r="D1146" s="44">
        <v>45541</v>
      </c>
      <c r="E1146" s="3" t="s">
        <v>11</v>
      </c>
      <c r="F1146" s="3" t="s">
        <v>12</v>
      </c>
      <c r="G1146" s="3"/>
    </row>
    <row r="1147" spans="1:14">
      <c r="A1147" s="16" t="s">
        <v>3132</v>
      </c>
      <c r="B1147" s="2">
        <v>185000</v>
      </c>
      <c r="C1147" s="2">
        <f t="shared" si="232"/>
        <v>2312.5</v>
      </c>
      <c r="D1147" s="44">
        <v>45541</v>
      </c>
      <c r="E1147" s="3" t="s">
        <v>11</v>
      </c>
      <c r="F1147" s="3" t="s">
        <v>12</v>
      </c>
      <c r="G1147" s="3"/>
    </row>
    <row r="1148" spans="1:14">
      <c r="A1148" s="16" t="s">
        <v>3133</v>
      </c>
      <c r="B1148" s="2">
        <v>250000</v>
      </c>
      <c r="C1148" s="2">
        <f>0.0175*B1148</f>
        <v>4375</v>
      </c>
      <c r="D1148" s="44">
        <v>45541</v>
      </c>
      <c r="E1148" s="3" t="s">
        <v>24</v>
      </c>
      <c r="F1148" s="3" t="s">
        <v>28</v>
      </c>
      <c r="G1148" s="3"/>
      <c r="I1148" s="21" t="s">
        <v>30</v>
      </c>
    </row>
    <row r="1149" spans="1:14">
      <c r="A1149" s="16" t="s">
        <v>277</v>
      </c>
      <c r="B1149" s="2">
        <v>500000</v>
      </c>
      <c r="C1149" s="2">
        <f>0.0125*B1149</f>
        <v>6250</v>
      </c>
      <c r="D1149" s="44">
        <v>45541</v>
      </c>
      <c r="E1149" s="3" t="s">
        <v>15</v>
      </c>
      <c r="F1149" s="3" t="s">
        <v>12</v>
      </c>
      <c r="G1149" s="3"/>
      <c r="H1149" s="16" t="s">
        <v>149</v>
      </c>
      <c r="J1149" s="16">
        <v>1250</v>
      </c>
    </row>
    <row r="1150" spans="1:14">
      <c r="A1150" s="16" t="s">
        <v>3134</v>
      </c>
      <c r="B1150" s="17">
        <v>250000</v>
      </c>
      <c r="C1150" s="2">
        <f>0.0175*B1150</f>
        <v>4375</v>
      </c>
      <c r="D1150" s="44">
        <v>45541</v>
      </c>
      <c r="E1150" s="3" t="s">
        <v>60</v>
      </c>
      <c r="F1150" s="3" t="s">
        <v>28</v>
      </c>
      <c r="G1150" s="3"/>
      <c r="I1150" s="21" t="s">
        <v>30</v>
      </c>
    </row>
    <row r="1151" spans="1:14">
      <c r="A1151" s="16" t="s">
        <v>3135</v>
      </c>
      <c r="B1151" s="17">
        <v>500000</v>
      </c>
      <c r="C1151" s="2">
        <f t="shared" ref="C1151:C1154" si="233">0.0125*B1151</f>
        <v>6250</v>
      </c>
      <c r="D1151" s="44">
        <v>45541</v>
      </c>
      <c r="E1151" s="3" t="s">
        <v>135</v>
      </c>
      <c r="F1151" s="3" t="s">
        <v>12</v>
      </c>
      <c r="G1151" s="3"/>
      <c r="H1151" s="16" t="s">
        <v>22</v>
      </c>
      <c r="I1151" s="23"/>
    </row>
    <row r="1152" spans="1:14">
      <c r="A1152" s="16" t="s">
        <v>134</v>
      </c>
      <c r="B1152" s="2">
        <v>635000</v>
      </c>
      <c r="C1152" s="2">
        <f t="shared" si="233"/>
        <v>7937.5</v>
      </c>
      <c r="D1152" s="44">
        <v>45541</v>
      </c>
      <c r="E1152" s="3" t="s">
        <v>135</v>
      </c>
      <c r="F1152" s="3" t="s">
        <v>12</v>
      </c>
      <c r="G1152" s="3"/>
      <c r="H1152" s="16" t="s">
        <v>22</v>
      </c>
    </row>
    <row r="1153" spans="1:10">
      <c r="A1153" s="16" t="s">
        <v>2934</v>
      </c>
      <c r="B1153" s="2">
        <v>45000</v>
      </c>
      <c r="C1153" s="2">
        <f t="shared" si="233"/>
        <v>562.5</v>
      </c>
      <c r="D1153" s="44">
        <v>45544</v>
      </c>
      <c r="E1153" s="3" t="s">
        <v>15</v>
      </c>
      <c r="F1153" s="3" t="s">
        <v>12</v>
      </c>
      <c r="G1153" s="3"/>
      <c r="H1153" s="16" t="s">
        <v>54</v>
      </c>
      <c r="J1153" s="16">
        <v>270</v>
      </c>
    </row>
    <row r="1154" spans="1:10">
      <c r="A1154" s="16" t="s">
        <v>3136</v>
      </c>
      <c r="B1154" s="2">
        <v>130000</v>
      </c>
      <c r="C1154" s="2">
        <f t="shared" si="233"/>
        <v>1625</v>
      </c>
      <c r="D1154" s="44">
        <v>45544</v>
      </c>
      <c r="E1154" s="3" t="s">
        <v>69</v>
      </c>
      <c r="F1154" s="3" t="s">
        <v>12</v>
      </c>
      <c r="G1154" s="3"/>
      <c r="H1154" s="16" t="s">
        <v>22</v>
      </c>
    </row>
    <row r="1155" spans="1:10">
      <c r="A1155" s="16" t="s">
        <v>3137</v>
      </c>
      <c r="B1155" s="2">
        <v>100000</v>
      </c>
      <c r="C1155" s="2">
        <f t="shared" ref="C1155:C1158" si="234">0.0175*B1155</f>
        <v>1750.0000000000002</v>
      </c>
      <c r="D1155" s="44">
        <v>45545</v>
      </c>
      <c r="E1155" s="3" t="s">
        <v>60</v>
      </c>
      <c r="F1155" s="3" t="s">
        <v>28</v>
      </c>
      <c r="G1155" s="3"/>
      <c r="I1155" s="21" t="s">
        <v>30</v>
      </c>
    </row>
    <row r="1156" spans="1:10">
      <c r="A1156" s="16" t="s">
        <v>3138</v>
      </c>
      <c r="B1156" s="2">
        <v>350000</v>
      </c>
      <c r="C1156" s="2">
        <f t="shared" si="234"/>
        <v>6125.0000000000009</v>
      </c>
      <c r="D1156" s="44">
        <v>45545</v>
      </c>
      <c r="E1156" s="3" t="s">
        <v>60</v>
      </c>
      <c r="F1156" s="3" t="s">
        <v>649</v>
      </c>
      <c r="G1156" s="3"/>
    </row>
    <row r="1157" spans="1:10">
      <c r="A1157" s="16" t="s">
        <v>3139</v>
      </c>
      <c r="B1157" s="2">
        <v>95000</v>
      </c>
      <c r="C1157" s="2">
        <f t="shared" si="234"/>
        <v>1662.5000000000002</v>
      </c>
      <c r="D1157" s="44">
        <v>45545</v>
      </c>
      <c r="E1157" s="3" t="s">
        <v>60</v>
      </c>
      <c r="F1157" s="3" t="s">
        <v>28</v>
      </c>
      <c r="G1157" s="3"/>
      <c r="I1157" s="21" t="s">
        <v>30</v>
      </c>
    </row>
    <row r="1158" spans="1:10">
      <c r="A1158" s="16" t="s">
        <v>3140</v>
      </c>
      <c r="B1158" s="2">
        <v>200000</v>
      </c>
      <c r="C1158" s="2">
        <f t="shared" si="234"/>
        <v>3500.0000000000005</v>
      </c>
      <c r="D1158" s="44">
        <v>45545</v>
      </c>
      <c r="E1158" s="3" t="s">
        <v>135</v>
      </c>
      <c r="F1158" s="3" t="s">
        <v>28</v>
      </c>
      <c r="G1158" s="3"/>
      <c r="H1158" s="16" t="s">
        <v>13</v>
      </c>
      <c r="I1158" s="21" t="s">
        <v>30</v>
      </c>
    </row>
    <row r="1159" spans="1:10">
      <c r="A1159" s="16" t="s">
        <v>2290</v>
      </c>
      <c r="B1159" s="2">
        <v>415000</v>
      </c>
      <c r="C1159" s="2">
        <f>0.0125*B1159</f>
        <v>5187.5</v>
      </c>
      <c r="D1159" s="44">
        <v>45546</v>
      </c>
      <c r="E1159" s="3" t="s">
        <v>11</v>
      </c>
      <c r="F1159" s="3" t="s">
        <v>12</v>
      </c>
      <c r="G1159" s="3"/>
    </row>
    <row r="1160" spans="1:10">
      <c r="A1160" s="16" t="s">
        <v>3141</v>
      </c>
      <c r="B1160" s="2">
        <v>112500</v>
      </c>
      <c r="C1160" s="2">
        <f t="shared" ref="C1160:C1164" si="235">0.0175*B1160</f>
        <v>1968.7500000000002</v>
      </c>
      <c r="D1160" s="44">
        <v>45546</v>
      </c>
      <c r="E1160" s="3" t="s">
        <v>60</v>
      </c>
      <c r="F1160" s="3" t="s">
        <v>28</v>
      </c>
      <c r="G1160" s="3"/>
      <c r="I1160" s="21" t="s">
        <v>30</v>
      </c>
    </row>
    <row r="1161" spans="1:10">
      <c r="A1161" s="16" t="s">
        <v>3142</v>
      </c>
      <c r="B1161" s="2">
        <v>112500</v>
      </c>
      <c r="C1161" s="2">
        <f t="shared" si="235"/>
        <v>1968.7500000000002</v>
      </c>
      <c r="D1161" s="44">
        <v>45546</v>
      </c>
      <c r="E1161" s="3" t="s">
        <v>60</v>
      </c>
      <c r="F1161" s="3" t="s">
        <v>28</v>
      </c>
      <c r="G1161" s="3"/>
      <c r="I1161" s="21" t="s">
        <v>30</v>
      </c>
    </row>
    <row r="1162" spans="1:10">
      <c r="A1162" s="16" t="s">
        <v>3143</v>
      </c>
      <c r="B1162" s="2">
        <v>250000</v>
      </c>
      <c r="C1162" s="2">
        <f t="shared" si="235"/>
        <v>4375</v>
      </c>
      <c r="D1162" s="44">
        <v>45546</v>
      </c>
      <c r="E1162" s="3" t="s">
        <v>60</v>
      </c>
      <c r="F1162" s="3" t="s">
        <v>28</v>
      </c>
      <c r="G1162" s="3"/>
      <c r="I1162" s="21" t="s">
        <v>30</v>
      </c>
    </row>
    <row r="1163" spans="1:10">
      <c r="A1163" s="16" t="s">
        <v>3144</v>
      </c>
      <c r="B1163" s="2">
        <v>300000</v>
      </c>
      <c r="C1163" s="2">
        <f t="shared" si="235"/>
        <v>5250.0000000000009</v>
      </c>
      <c r="D1163" s="44">
        <v>45546</v>
      </c>
      <c r="E1163" s="3" t="s">
        <v>60</v>
      </c>
      <c r="F1163" s="3" t="s">
        <v>28</v>
      </c>
      <c r="G1163" s="3"/>
      <c r="I1163" s="21" t="s">
        <v>30</v>
      </c>
    </row>
    <row r="1164" spans="1:10">
      <c r="A1164" s="16" t="s">
        <v>3145</v>
      </c>
      <c r="B1164" s="2">
        <v>175000</v>
      </c>
      <c r="C1164" s="2">
        <f t="shared" si="235"/>
        <v>3062.5000000000005</v>
      </c>
      <c r="D1164" s="44">
        <v>45546</v>
      </c>
      <c r="E1164" s="3" t="s">
        <v>75</v>
      </c>
      <c r="F1164" s="3" t="s">
        <v>28</v>
      </c>
      <c r="G1164" s="3"/>
      <c r="I1164" s="21" t="s">
        <v>30</v>
      </c>
    </row>
    <row r="1165" spans="1:10">
      <c r="A1165" s="16" t="s">
        <v>411</v>
      </c>
      <c r="B1165" s="17">
        <v>110000</v>
      </c>
      <c r="C1165" s="2">
        <f t="shared" ref="C1165:C1169" si="236">0.0125*B1165</f>
        <v>1375</v>
      </c>
      <c r="D1165" s="44">
        <v>45547</v>
      </c>
      <c r="E1165" s="3" t="s">
        <v>11</v>
      </c>
      <c r="F1165" s="3" t="s">
        <v>12</v>
      </c>
      <c r="G1165" s="3"/>
    </row>
    <row r="1166" spans="1:10">
      <c r="A1166" s="16" t="s">
        <v>81</v>
      </c>
      <c r="B1166" s="17">
        <v>35000</v>
      </c>
      <c r="C1166" s="2">
        <f t="shared" si="236"/>
        <v>437.5</v>
      </c>
      <c r="D1166" s="44">
        <v>45547</v>
      </c>
      <c r="E1166" s="3" t="s">
        <v>11</v>
      </c>
      <c r="F1166" s="3" t="s">
        <v>12</v>
      </c>
      <c r="G1166" s="3"/>
    </row>
    <row r="1167" spans="1:10">
      <c r="A1167" s="16" t="s">
        <v>528</v>
      </c>
      <c r="B1167" s="17">
        <v>20000</v>
      </c>
      <c r="C1167" s="2">
        <f t="shared" si="236"/>
        <v>250</v>
      </c>
      <c r="D1167" s="44">
        <v>45547</v>
      </c>
      <c r="E1167" s="3" t="s">
        <v>11</v>
      </c>
      <c r="F1167" s="3" t="s">
        <v>12</v>
      </c>
      <c r="G1167" s="3"/>
    </row>
    <row r="1168" spans="1:10">
      <c r="A1168" s="16" t="s">
        <v>3146</v>
      </c>
      <c r="B1168" s="17">
        <v>35000</v>
      </c>
      <c r="C1168" s="2">
        <f t="shared" si="236"/>
        <v>437.5</v>
      </c>
      <c r="D1168" s="44">
        <v>45547</v>
      </c>
      <c r="E1168" s="3" t="s">
        <v>11</v>
      </c>
      <c r="F1168" s="3" t="s">
        <v>12</v>
      </c>
      <c r="G1168" s="3"/>
    </row>
    <row r="1169" spans="1:10">
      <c r="A1169" s="16" t="s">
        <v>3147</v>
      </c>
      <c r="B1169" s="2">
        <v>575000</v>
      </c>
      <c r="C1169" s="2">
        <f t="shared" si="236"/>
        <v>7187.5</v>
      </c>
      <c r="D1169" s="44">
        <v>45547</v>
      </c>
      <c r="E1169" s="3" t="s">
        <v>24</v>
      </c>
      <c r="F1169" s="3" t="s">
        <v>12</v>
      </c>
      <c r="G1169" s="3"/>
      <c r="H1169" s="16" t="s">
        <v>2843</v>
      </c>
    </row>
    <row r="1170" spans="1:10">
      <c r="A1170" s="16" t="s">
        <v>2924</v>
      </c>
      <c r="B1170" s="2">
        <v>125000</v>
      </c>
      <c r="C1170" s="2">
        <f t="shared" ref="C1170:C1171" si="237">0.0175*B1170</f>
        <v>2187.5</v>
      </c>
      <c r="D1170" s="44">
        <v>45547</v>
      </c>
      <c r="E1170" s="3" t="s">
        <v>135</v>
      </c>
      <c r="F1170" s="3" t="s">
        <v>67</v>
      </c>
      <c r="G1170" s="3"/>
      <c r="H1170" s="16" t="s">
        <v>13</v>
      </c>
      <c r="I1170" s="21" t="s">
        <v>30</v>
      </c>
    </row>
    <row r="1171" spans="1:10">
      <c r="A1171" s="16" t="s">
        <v>2732</v>
      </c>
      <c r="B1171" s="2">
        <v>250000</v>
      </c>
      <c r="C1171" s="2">
        <f t="shared" si="237"/>
        <v>4375</v>
      </c>
      <c r="D1171" s="44">
        <v>45547</v>
      </c>
      <c r="E1171" s="3" t="s">
        <v>24</v>
      </c>
      <c r="F1171" s="3" t="s">
        <v>144</v>
      </c>
      <c r="G1171" s="3"/>
      <c r="H1171" s="16" t="s">
        <v>2843</v>
      </c>
    </row>
    <row r="1172" spans="1:10">
      <c r="A1172" s="16" t="s">
        <v>3148</v>
      </c>
      <c r="B1172" s="2">
        <v>165000</v>
      </c>
      <c r="C1172" s="2">
        <f t="shared" ref="C1172:C1173" si="238">0.0125*B1172</f>
        <v>2062.5</v>
      </c>
      <c r="D1172" s="44">
        <v>45548</v>
      </c>
      <c r="E1172" s="3" t="s">
        <v>11</v>
      </c>
      <c r="F1172" s="3" t="s">
        <v>12</v>
      </c>
      <c r="G1172" s="3"/>
    </row>
    <row r="1173" spans="1:10">
      <c r="A1173" s="16" t="s">
        <v>3149</v>
      </c>
      <c r="B1173" s="2">
        <v>100000</v>
      </c>
      <c r="C1173" s="2">
        <f t="shared" si="238"/>
        <v>1250</v>
      </c>
      <c r="D1173" s="44">
        <v>45548</v>
      </c>
      <c r="E1173" s="3" t="s">
        <v>11</v>
      </c>
      <c r="F1173" s="3" t="s">
        <v>12</v>
      </c>
      <c r="G1173" s="3"/>
    </row>
    <row r="1174" spans="1:10">
      <c r="A1174" s="16" t="s">
        <v>1213</v>
      </c>
      <c r="B1174" s="2">
        <v>250000</v>
      </c>
      <c r="C1174" s="2">
        <f>0.0175*240000</f>
        <v>4200</v>
      </c>
      <c r="D1174" s="44">
        <v>45548</v>
      </c>
      <c r="E1174" s="3" t="s">
        <v>24</v>
      </c>
      <c r="F1174" s="3" t="s">
        <v>28</v>
      </c>
      <c r="G1174" s="3"/>
      <c r="H1174" s="16" t="s">
        <v>2647</v>
      </c>
      <c r="I1174" s="21" t="s">
        <v>30</v>
      </c>
    </row>
    <row r="1175" spans="1:10">
      <c r="A1175" s="16" t="s">
        <v>3150</v>
      </c>
      <c r="B1175" s="2">
        <v>60000</v>
      </c>
      <c r="C1175" s="2">
        <f>0.0175*B1175</f>
        <v>1050</v>
      </c>
      <c r="D1175" s="44">
        <v>45551</v>
      </c>
      <c r="E1175" s="3" t="s">
        <v>11</v>
      </c>
      <c r="F1175" s="3" t="s">
        <v>28</v>
      </c>
      <c r="G1175" s="3"/>
    </row>
    <row r="1176" spans="1:10">
      <c r="A1176" s="16" t="s">
        <v>137</v>
      </c>
      <c r="B1176" s="2">
        <v>60000</v>
      </c>
      <c r="C1176" s="2">
        <f t="shared" ref="C1176:C1177" si="239">0.0125*B1176</f>
        <v>750</v>
      </c>
      <c r="D1176" s="44">
        <v>45551</v>
      </c>
      <c r="E1176" s="3" t="s">
        <v>15</v>
      </c>
      <c r="F1176" s="3" t="s">
        <v>12</v>
      </c>
      <c r="G1176" s="3"/>
      <c r="H1176" s="16" t="s">
        <v>16</v>
      </c>
      <c r="J1176" s="16">
        <v>240</v>
      </c>
    </row>
    <row r="1177" spans="1:10">
      <c r="A1177" s="16" t="s">
        <v>3151</v>
      </c>
      <c r="B1177" s="2">
        <v>310000</v>
      </c>
      <c r="C1177" s="2">
        <f t="shared" si="239"/>
        <v>3875</v>
      </c>
      <c r="D1177" s="44">
        <v>45551</v>
      </c>
      <c r="E1177" s="3" t="s">
        <v>11</v>
      </c>
      <c r="F1177" s="3" t="s">
        <v>12</v>
      </c>
      <c r="G1177" s="3"/>
    </row>
    <row r="1178" spans="1:10">
      <c r="A1178" s="16" t="s">
        <v>3152</v>
      </c>
      <c r="B1178" s="2">
        <v>100000</v>
      </c>
      <c r="C1178" s="2">
        <f>0.0175*B1178</f>
        <v>1750.0000000000002</v>
      </c>
      <c r="D1178" s="44">
        <v>45551</v>
      </c>
      <c r="E1178" s="3" t="s">
        <v>24</v>
      </c>
      <c r="F1178" s="3" t="s">
        <v>28</v>
      </c>
      <c r="G1178" s="3"/>
      <c r="H1178" s="16" t="s">
        <v>2647</v>
      </c>
      <c r="I1178" s="21" t="s">
        <v>30</v>
      </c>
    </row>
    <row r="1179" spans="1:10">
      <c r="A1179" s="16" t="s">
        <v>1143</v>
      </c>
      <c r="B1179" s="2">
        <v>1020000</v>
      </c>
      <c r="C1179" s="2">
        <f>0.0125*B1179</f>
        <v>12750</v>
      </c>
      <c r="D1179" s="44">
        <v>45551</v>
      </c>
      <c r="E1179" s="3" t="s">
        <v>24</v>
      </c>
      <c r="F1179" s="3" t="s">
        <v>12</v>
      </c>
      <c r="G1179" s="3"/>
      <c r="H1179" s="16" t="s">
        <v>2843</v>
      </c>
    </row>
    <row r="1180" spans="1:10">
      <c r="A1180" s="16" t="s">
        <v>3153</v>
      </c>
      <c r="B1180" s="2">
        <v>700000</v>
      </c>
      <c r="C1180" s="2">
        <f>0.0175*B1180</f>
        <v>12250.000000000002</v>
      </c>
      <c r="D1180" s="44">
        <v>45552</v>
      </c>
      <c r="E1180" s="3" t="s">
        <v>461</v>
      </c>
      <c r="F1180" s="3" t="s">
        <v>28</v>
      </c>
      <c r="G1180" s="3"/>
      <c r="I1180" s="21" t="s">
        <v>30</v>
      </c>
    </row>
    <row r="1181" spans="1:10">
      <c r="A1181" s="16" t="s">
        <v>1053</v>
      </c>
      <c r="B1181" s="2">
        <v>50000</v>
      </c>
      <c r="C1181" s="2">
        <f>0.0125*B1181</f>
        <v>625</v>
      </c>
      <c r="D1181" s="44">
        <v>45552</v>
      </c>
      <c r="E1181" s="3" t="s">
        <v>11</v>
      </c>
      <c r="F1181" s="3" t="s">
        <v>12</v>
      </c>
      <c r="G1181" s="3"/>
    </row>
    <row r="1182" spans="1:10">
      <c r="A1182" s="16" t="s">
        <v>319</v>
      </c>
      <c r="B1182" s="2">
        <v>150000</v>
      </c>
      <c r="C1182" s="2">
        <f t="shared" ref="C1182:C1186" si="240">0.0175*B1182</f>
        <v>2625.0000000000005</v>
      </c>
      <c r="D1182" s="44">
        <v>45552</v>
      </c>
      <c r="E1182" s="3" t="s">
        <v>21</v>
      </c>
      <c r="F1182" s="3" t="s">
        <v>28</v>
      </c>
      <c r="G1182" s="3"/>
      <c r="H1182" s="16" t="s">
        <v>13</v>
      </c>
    </row>
    <row r="1183" spans="1:10">
      <c r="A1183" s="16" t="s">
        <v>3154</v>
      </c>
      <c r="B1183" s="2">
        <v>150000</v>
      </c>
      <c r="C1183" s="2">
        <f t="shared" si="240"/>
        <v>2625.0000000000005</v>
      </c>
      <c r="D1183" s="44">
        <v>45552</v>
      </c>
      <c r="E1183" s="3" t="s">
        <v>60</v>
      </c>
      <c r="F1183" s="3" t="s">
        <v>28</v>
      </c>
      <c r="G1183" s="3"/>
      <c r="I1183" s="21" t="s">
        <v>30</v>
      </c>
    </row>
    <row r="1184" spans="1:10">
      <c r="A1184" s="16" t="s">
        <v>3155</v>
      </c>
      <c r="B1184" s="2">
        <v>50000</v>
      </c>
      <c r="C1184" s="2">
        <f t="shared" si="240"/>
        <v>875.00000000000011</v>
      </c>
      <c r="D1184" s="44">
        <v>45552</v>
      </c>
      <c r="E1184" s="3" t="s">
        <v>15</v>
      </c>
      <c r="F1184" s="3" t="s">
        <v>28</v>
      </c>
      <c r="G1184" s="3"/>
      <c r="H1184" s="16" t="s">
        <v>282</v>
      </c>
      <c r="I1184" s="21" t="s">
        <v>30</v>
      </c>
      <c r="J1184" s="16">
        <v>50</v>
      </c>
    </row>
    <row r="1185" spans="1:10">
      <c r="A1185" s="16" t="s">
        <v>3156</v>
      </c>
      <c r="B1185" s="2">
        <v>150000</v>
      </c>
      <c r="C1185" s="2">
        <f t="shared" si="240"/>
        <v>2625.0000000000005</v>
      </c>
      <c r="D1185" s="44">
        <v>45553</v>
      </c>
      <c r="E1185" s="3" t="s">
        <v>11</v>
      </c>
      <c r="F1185" s="3" t="s">
        <v>28</v>
      </c>
      <c r="G1185" s="3"/>
      <c r="I1185" s="21" t="s">
        <v>30</v>
      </c>
    </row>
    <row r="1186" spans="1:10">
      <c r="A1186" s="16" t="s">
        <v>3157</v>
      </c>
      <c r="B1186" s="2">
        <v>100000</v>
      </c>
      <c r="C1186" s="2">
        <f t="shared" si="240"/>
        <v>1750.0000000000002</v>
      </c>
      <c r="D1186" s="44">
        <v>45553</v>
      </c>
      <c r="E1186" s="3" t="s">
        <v>24</v>
      </c>
      <c r="F1186" s="3" t="s">
        <v>28</v>
      </c>
      <c r="G1186" s="3"/>
      <c r="H1186" s="16" t="s">
        <v>2647</v>
      </c>
      <c r="I1186" s="21" t="s">
        <v>30</v>
      </c>
    </row>
    <row r="1187" spans="1:10">
      <c r="A1187" s="16" t="s">
        <v>905</v>
      </c>
      <c r="B1187" s="2">
        <v>300000</v>
      </c>
      <c r="C1187" s="2">
        <f>0.0125*B1187</f>
        <v>3750</v>
      </c>
      <c r="D1187" s="44">
        <v>45553</v>
      </c>
      <c r="E1187" s="3" t="s">
        <v>11</v>
      </c>
      <c r="F1187" s="3" t="s">
        <v>12</v>
      </c>
      <c r="G1187" s="3"/>
    </row>
    <row r="1188" spans="1:10">
      <c r="A1188" s="16" t="s">
        <v>3158</v>
      </c>
      <c r="B1188" s="2">
        <v>2675000</v>
      </c>
      <c r="C1188" s="2">
        <f t="shared" ref="C1188:C1193" si="241">0.0175*B1188</f>
        <v>46812.500000000007</v>
      </c>
      <c r="D1188" s="44">
        <v>45553</v>
      </c>
      <c r="E1188" s="3" t="s">
        <v>40</v>
      </c>
      <c r="F1188" s="3" t="s">
        <v>28</v>
      </c>
      <c r="G1188" s="3"/>
    </row>
    <row r="1189" spans="1:10">
      <c r="A1189" s="16" t="s">
        <v>3159</v>
      </c>
      <c r="B1189" s="2">
        <v>70000</v>
      </c>
      <c r="C1189" s="2">
        <f t="shared" si="241"/>
        <v>1225.0000000000002</v>
      </c>
      <c r="D1189" s="44">
        <v>45553</v>
      </c>
      <c r="E1189" s="3" t="s">
        <v>60</v>
      </c>
      <c r="F1189" s="3" t="s">
        <v>28</v>
      </c>
      <c r="G1189" s="3"/>
      <c r="I1189" s="21" t="s">
        <v>30</v>
      </c>
    </row>
    <row r="1190" spans="1:10">
      <c r="A1190" s="16" t="s">
        <v>3160</v>
      </c>
      <c r="B1190" s="2">
        <v>100000</v>
      </c>
      <c r="C1190" s="2">
        <f t="shared" si="241"/>
        <v>1750.0000000000002</v>
      </c>
      <c r="D1190" s="44">
        <v>45553</v>
      </c>
      <c r="E1190" s="3" t="s">
        <v>24</v>
      </c>
      <c r="F1190" s="3" t="s">
        <v>28</v>
      </c>
      <c r="G1190" s="3"/>
      <c r="H1190" s="16" t="s">
        <v>2647</v>
      </c>
      <c r="I1190" s="21" t="s">
        <v>30</v>
      </c>
    </row>
    <row r="1191" spans="1:10">
      <c r="A1191" s="16" t="s">
        <v>3161</v>
      </c>
      <c r="B1191" s="2">
        <v>130000</v>
      </c>
      <c r="C1191" s="2">
        <f t="shared" si="241"/>
        <v>2275</v>
      </c>
      <c r="D1191" s="44">
        <v>45554</v>
      </c>
      <c r="E1191" s="3" t="s">
        <v>11</v>
      </c>
      <c r="F1191" s="3" t="s">
        <v>28</v>
      </c>
      <c r="G1191" s="3"/>
      <c r="I1191" s="21" t="s">
        <v>30</v>
      </c>
    </row>
    <row r="1192" spans="1:10">
      <c r="A1192" s="16" t="s">
        <v>3162</v>
      </c>
      <c r="B1192" s="2">
        <v>150000</v>
      </c>
      <c r="C1192" s="2">
        <f t="shared" si="241"/>
        <v>2625.0000000000005</v>
      </c>
      <c r="D1192" s="44">
        <v>45554</v>
      </c>
      <c r="E1192" s="3" t="s">
        <v>461</v>
      </c>
      <c r="F1192" s="3" t="s">
        <v>28</v>
      </c>
      <c r="G1192" s="3"/>
      <c r="I1192" s="21" t="s">
        <v>30</v>
      </c>
    </row>
    <row r="1193" spans="1:10">
      <c r="A1193" s="16" t="s">
        <v>3163</v>
      </c>
      <c r="B1193" s="2">
        <v>25000</v>
      </c>
      <c r="C1193" s="2">
        <f t="shared" si="241"/>
        <v>437.50000000000006</v>
      </c>
      <c r="D1193" s="44">
        <v>45554</v>
      </c>
      <c r="E1193" s="3" t="s">
        <v>15</v>
      </c>
      <c r="F1193" s="3" t="s">
        <v>28</v>
      </c>
      <c r="G1193" s="3"/>
      <c r="H1193" s="16" t="s">
        <v>54</v>
      </c>
      <c r="I1193" s="21" t="s">
        <v>30</v>
      </c>
      <c r="J1193" s="16">
        <v>150</v>
      </c>
    </row>
    <row r="1194" spans="1:10">
      <c r="A1194" s="16" t="s">
        <v>3164</v>
      </c>
      <c r="B1194" s="2">
        <v>325000</v>
      </c>
      <c r="C1194" s="2">
        <f>0.0125*B1194</f>
        <v>4062.5</v>
      </c>
      <c r="D1194" s="44">
        <v>45554</v>
      </c>
      <c r="E1194" s="3" t="s">
        <v>15</v>
      </c>
      <c r="F1194" s="3" t="s">
        <v>12</v>
      </c>
      <c r="G1194" s="3"/>
      <c r="H1194" s="16" t="s">
        <v>16</v>
      </c>
      <c r="J1194" s="16">
        <v>1300</v>
      </c>
    </row>
    <row r="1195" spans="1:10">
      <c r="A1195" s="16" t="s">
        <v>3165</v>
      </c>
      <c r="B1195" s="2">
        <v>50000</v>
      </c>
      <c r="C1195" s="2">
        <f>0.0175*B1195</f>
        <v>875.00000000000011</v>
      </c>
      <c r="D1195" s="44">
        <v>45554</v>
      </c>
      <c r="E1195" s="3" t="s">
        <v>1375</v>
      </c>
      <c r="F1195" s="3" t="s">
        <v>28</v>
      </c>
      <c r="G1195" s="3"/>
      <c r="I1195" s="21" t="s">
        <v>30</v>
      </c>
    </row>
    <row r="1196" spans="1:10">
      <c r="A1196" s="16" t="s">
        <v>473</v>
      </c>
      <c r="B1196" s="2">
        <v>115000</v>
      </c>
      <c r="C1196" s="2">
        <f t="shared" ref="C1196:C1197" si="242">0.0125*B1196</f>
        <v>1437.5</v>
      </c>
      <c r="D1196" s="44">
        <v>45555</v>
      </c>
      <c r="E1196" s="3" t="s">
        <v>3166</v>
      </c>
      <c r="F1196" s="3" t="s">
        <v>12</v>
      </c>
      <c r="G1196" s="3"/>
      <c r="H1196" s="16" t="s">
        <v>98</v>
      </c>
      <c r="J1196" s="16">
        <v>345</v>
      </c>
    </row>
    <row r="1197" spans="1:10">
      <c r="A1197" s="16" t="s">
        <v>3167</v>
      </c>
      <c r="B1197" s="2">
        <v>225000</v>
      </c>
      <c r="C1197" s="2">
        <f t="shared" si="242"/>
        <v>2812.5</v>
      </c>
      <c r="D1197" s="44">
        <v>45555</v>
      </c>
      <c r="E1197" s="3" t="s">
        <v>11</v>
      </c>
      <c r="F1197" s="3" t="s">
        <v>12</v>
      </c>
      <c r="G1197" s="3"/>
    </row>
    <row r="1198" spans="1:10">
      <c r="A1198" s="16" t="s">
        <v>3168</v>
      </c>
      <c r="B1198" s="2">
        <v>175000</v>
      </c>
      <c r="C1198" s="2">
        <f>0.0175*B1198</f>
        <v>3062.5000000000005</v>
      </c>
      <c r="D1198" s="44">
        <v>45555</v>
      </c>
      <c r="E1198" s="3" t="s">
        <v>231</v>
      </c>
      <c r="F1198" s="3" t="s">
        <v>28</v>
      </c>
      <c r="G1198" s="3"/>
      <c r="H1198" s="16" t="s">
        <v>13</v>
      </c>
      <c r="I1198" s="21" t="s">
        <v>30</v>
      </c>
    </row>
    <row r="1199" spans="1:10">
      <c r="A1199" s="16" t="s">
        <v>3169</v>
      </c>
      <c r="B1199" s="2">
        <v>55000</v>
      </c>
      <c r="C1199" s="2">
        <f t="shared" ref="C1199:C1200" si="243">0.0125*B1199</f>
        <v>687.5</v>
      </c>
      <c r="D1199" s="44">
        <v>45555</v>
      </c>
      <c r="E1199" s="3" t="s">
        <v>11</v>
      </c>
      <c r="F1199" s="3" t="s">
        <v>12</v>
      </c>
      <c r="G1199" s="3"/>
    </row>
    <row r="1200" spans="1:10">
      <c r="A1200" s="16" t="s">
        <v>901</v>
      </c>
      <c r="B1200" s="2">
        <v>275000</v>
      </c>
      <c r="C1200" s="2">
        <f t="shared" si="243"/>
        <v>3437.5</v>
      </c>
      <c r="D1200" s="44">
        <v>45555</v>
      </c>
      <c r="E1200" s="3" t="s">
        <v>902</v>
      </c>
      <c r="F1200" s="3" t="s">
        <v>12</v>
      </c>
      <c r="G1200" s="3"/>
    </row>
    <row r="1201" spans="1:10">
      <c r="A1201" s="16" t="s">
        <v>3170</v>
      </c>
      <c r="B1201" s="2">
        <v>122000</v>
      </c>
      <c r="C1201" s="2">
        <f t="shared" ref="C1201:C1202" si="244">0.0175*B1201</f>
        <v>2135</v>
      </c>
      <c r="D1201" s="44">
        <v>45555</v>
      </c>
      <c r="E1201" s="3" t="s">
        <v>60</v>
      </c>
      <c r="F1201" s="3" t="s">
        <v>28</v>
      </c>
      <c r="G1201" s="3"/>
      <c r="I1201" s="21" t="s">
        <v>30</v>
      </c>
    </row>
    <row r="1202" spans="1:10">
      <c r="A1202" s="16" t="s">
        <v>3171</v>
      </c>
      <c r="B1202" s="2">
        <v>95000</v>
      </c>
      <c r="C1202" s="2">
        <f t="shared" si="244"/>
        <v>1662.5000000000002</v>
      </c>
      <c r="D1202" s="44">
        <v>45558</v>
      </c>
      <c r="E1202" s="3" t="s">
        <v>15</v>
      </c>
      <c r="F1202" s="3" t="s">
        <v>28</v>
      </c>
      <c r="G1202" s="3"/>
      <c r="H1202" s="16" t="s">
        <v>282</v>
      </c>
      <c r="I1202" s="21" t="s">
        <v>30</v>
      </c>
      <c r="J1202" s="16">
        <v>95</v>
      </c>
    </row>
    <row r="1203" spans="1:10">
      <c r="A1203" s="16" t="s">
        <v>217</v>
      </c>
      <c r="B1203" s="2">
        <v>190000</v>
      </c>
      <c r="C1203" s="2">
        <f>0.0125*B1203</f>
        <v>2375</v>
      </c>
      <c r="D1203" s="44">
        <v>45558</v>
      </c>
      <c r="E1203" s="3" t="s">
        <v>11</v>
      </c>
      <c r="F1203" s="3" t="s">
        <v>12</v>
      </c>
      <c r="G1203" s="3"/>
    </row>
    <row r="1204" spans="1:10">
      <c r="A1204" s="16" t="s">
        <v>3172</v>
      </c>
      <c r="B1204" s="2">
        <v>200000</v>
      </c>
      <c r="C1204" s="2">
        <f t="shared" ref="C1204:C1206" si="245">0.0175*B1204</f>
        <v>3500.0000000000005</v>
      </c>
      <c r="D1204" s="44">
        <v>45558</v>
      </c>
      <c r="E1204" s="3" t="s">
        <v>11</v>
      </c>
      <c r="F1204" s="3" t="s">
        <v>28</v>
      </c>
      <c r="G1204" s="3"/>
      <c r="I1204" s="21" t="s">
        <v>30</v>
      </c>
    </row>
    <row r="1205" spans="1:10">
      <c r="A1205" s="16" t="s">
        <v>3173</v>
      </c>
      <c r="B1205" s="2">
        <v>45000</v>
      </c>
      <c r="C1205" s="2">
        <f t="shared" si="245"/>
        <v>787.50000000000011</v>
      </c>
      <c r="D1205" s="44">
        <v>45558</v>
      </c>
      <c r="E1205" s="3" t="s">
        <v>135</v>
      </c>
      <c r="F1205" s="3" t="s">
        <v>28</v>
      </c>
      <c r="G1205" s="3"/>
      <c r="H1205" s="16" t="s">
        <v>13</v>
      </c>
    </row>
    <row r="1206" spans="1:10">
      <c r="A1206" s="16" t="s">
        <v>3174</v>
      </c>
      <c r="B1206" s="2">
        <v>50000</v>
      </c>
      <c r="C1206" s="2">
        <f t="shared" si="245"/>
        <v>875.00000000000011</v>
      </c>
      <c r="D1206" s="44">
        <v>45558</v>
      </c>
      <c r="E1206" s="3" t="s">
        <v>15</v>
      </c>
      <c r="F1206" s="3" t="s">
        <v>28</v>
      </c>
      <c r="G1206" s="3"/>
      <c r="H1206" s="16" t="s">
        <v>54</v>
      </c>
      <c r="J1206" s="16">
        <v>300</v>
      </c>
    </row>
    <row r="1207" spans="1:10">
      <c r="A1207" s="16" t="s">
        <v>3175</v>
      </c>
      <c r="B1207" s="2">
        <v>310000</v>
      </c>
      <c r="C1207" s="2">
        <f>0.0125*B1207</f>
        <v>3875</v>
      </c>
      <c r="D1207" s="44">
        <v>45558</v>
      </c>
      <c r="E1207" s="3" t="s">
        <v>24</v>
      </c>
      <c r="F1207" s="3" t="s">
        <v>12</v>
      </c>
      <c r="G1207" s="3"/>
      <c r="H1207" s="16" t="s">
        <v>2843</v>
      </c>
    </row>
    <row r="1208" spans="1:10">
      <c r="A1208" s="16" t="s">
        <v>3176</v>
      </c>
      <c r="B1208" s="2">
        <v>30000</v>
      </c>
      <c r="C1208" s="2">
        <f>0.0175*B1208</f>
        <v>525</v>
      </c>
      <c r="D1208" s="44">
        <v>45559</v>
      </c>
      <c r="E1208" s="3" t="s">
        <v>11</v>
      </c>
      <c r="F1208" s="3" t="s">
        <v>28</v>
      </c>
      <c r="G1208" s="3"/>
      <c r="I1208" s="21" t="s">
        <v>30</v>
      </c>
    </row>
    <row r="1209" spans="1:10">
      <c r="A1209" s="16" t="s">
        <v>2581</v>
      </c>
      <c r="B1209" s="2">
        <v>190000</v>
      </c>
      <c r="C1209" s="2">
        <f t="shared" ref="C1209:C1212" si="246">0.0125*B1209</f>
        <v>2375</v>
      </c>
      <c r="D1209" s="44">
        <v>45559</v>
      </c>
      <c r="E1209" s="3" t="s">
        <v>11</v>
      </c>
      <c r="F1209" s="3" t="s">
        <v>12</v>
      </c>
      <c r="G1209" s="3"/>
    </row>
    <row r="1210" spans="1:10">
      <c r="A1210" s="16" t="s">
        <v>3083</v>
      </c>
      <c r="B1210" s="2">
        <v>100000</v>
      </c>
      <c r="C1210" s="2">
        <f t="shared" si="246"/>
        <v>1250</v>
      </c>
      <c r="D1210" s="44">
        <v>45559</v>
      </c>
      <c r="E1210" s="3" t="s">
        <v>11</v>
      </c>
      <c r="F1210" s="3" t="s">
        <v>12</v>
      </c>
      <c r="G1210" s="3"/>
    </row>
    <row r="1211" spans="1:10">
      <c r="A1211" s="16" t="s">
        <v>2111</v>
      </c>
      <c r="B1211" s="2">
        <v>300000</v>
      </c>
      <c r="C1211" s="2">
        <f t="shared" si="246"/>
        <v>3750</v>
      </c>
      <c r="D1211" s="44">
        <v>45559</v>
      </c>
      <c r="E1211" s="3" t="s">
        <v>40</v>
      </c>
      <c r="F1211" s="3" t="s">
        <v>12</v>
      </c>
      <c r="G1211" s="3"/>
    </row>
    <row r="1212" spans="1:10">
      <c r="A1212" s="16" t="s">
        <v>3177</v>
      </c>
      <c r="B1212" s="2">
        <v>52000</v>
      </c>
      <c r="C1212" s="2">
        <f t="shared" si="246"/>
        <v>650</v>
      </c>
      <c r="D1212" s="44">
        <v>45559</v>
      </c>
      <c r="E1212" s="3" t="s">
        <v>2399</v>
      </c>
      <c r="F1212" s="3" t="s">
        <v>12</v>
      </c>
      <c r="G1212" s="3"/>
    </row>
    <row r="1213" spans="1:10">
      <c r="A1213" s="16" t="s">
        <v>3178</v>
      </c>
      <c r="B1213" s="2">
        <v>160000</v>
      </c>
      <c r="C1213" s="2">
        <f>0.0175*B1213</f>
        <v>2800.0000000000005</v>
      </c>
      <c r="D1213" s="44">
        <v>45559</v>
      </c>
      <c r="E1213" s="3" t="s">
        <v>60</v>
      </c>
      <c r="F1213" s="3" t="s">
        <v>28</v>
      </c>
      <c r="G1213" s="3"/>
      <c r="I1213" s="21" t="s">
        <v>30</v>
      </c>
    </row>
    <row r="1214" spans="1:10">
      <c r="A1214" s="16" t="s">
        <v>454</v>
      </c>
      <c r="B1214" s="2">
        <v>130000</v>
      </c>
      <c r="C1214" s="2">
        <f>0.0125*B1214</f>
        <v>1625</v>
      </c>
      <c r="D1214" s="44">
        <v>45559</v>
      </c>
      <c r="E1214" s="3" t="s">
        <v>11</v>
      </c>
      <c r="F1214" s="3" t="s">
        <v>12</v>
      </c>
      <c r="G1214" s="3"/>
    </row>
    <row r="1215" spans="1:10">
      <c r="A1215" s="20" t="s">
        <v>3179</v>
      </c>
      <c r="B1215" s="2">
        <v>75000</v>
      </c>
      <c r="C1215" s="2">
        <f t="shared" ref="C1215:C1217" si="247">0.0175*B1215</f>
        <v>1312.5000000000002</v>
      </c>
      <c r="D1215" s="44">
        <v>45559</v>
      </c>
      <c r="E1215" s="3" t="s">
        <v>69</v>
      </c>
      <c r="F1215" s="3" t="s">
        <v>28</v>
      </c>
      <c r="G1215" s="3"/>
      <c r="H1215" s="16" t="s">
        <v>13</v>
      </c>
      <c r="I1215" s="21" t="s">
        <v>30</v>
      </c>
    </row>
    <row r="1216" spans="1:10">
      <c r="A1216" s="16" t="s">
        <v>3180</v>
      </c>
      <c r="B1216" s="2">
        <v>200000</v>
      </c>
      <c r="C1216" s="2">
        <f t="shared" si="247"/>
        <v>3500.0000000000005</v>
      </c>
      <c r="D1216" s="44">
        <v>45560</v>
      </c>
      <c r="E1216" s="3" t="s">
        <v>24</v>
      </c>
      <c r="F1216" s="3" t="s">
        <v>28</v>
      </c>
      <c r="G1216" s="3"/>
      <c r="H1216" s="16" t="s">
        <v>2647</v>
      </c>
      <c r="I1216" s="21" t="s">
        <v>30</v>
      </c>
    </row>
    <row r="1217" spans="1:10">
      <c r="A1217" s="16" t="s">
        <v>3181</v>
      </c>
      <c r="B1217" s="2">
        <v>325000</v>
      </c>
      <c r="C1217" s="2">
        <f t="shared" si="247"/>
        <v>5687.5000000000009</v>
      </c>
      <c r="D1217" s="44">
        <v>45560</v>
      </c>
      <c r="E1217" s="3" t="s">
        <v>69</v>
      </c>
      <c r="F1217" s="3" t="s">
        <v>28</v>
      </c>
      <c r="G1217" s="3"/>
      <c r="H1217" s="16" t="s">
        <v>13</v>
      </c>
      <c r="I1217" s="21" t="s">
        <v>30</v>
      </c>
    </row>
    <row r="1218" spans="1:10">
      <c r="A1218" s="16" t="s">
        <v>3182</v>
      </c>
      <c r="B1218" s="2">
        <v>55000</v>
      </c>
      <c r="C1218" s="2">
        <f>0.0125*B1218</f>
        <v>687.5</v>
      </c>
      <c r="D1218" s="44">
        <v>45560</v>
      </c>
      <c r="E1218" s="3" t="s">
        <v>60</v>
      </c>
      <c r="F1218" s="3" t="s">
        <v>12</v>
      </c>
      <c r="G1218" s="3"/>
      <c r="H1218" s="16" t="s">
        <v>3183</v>
      </c>
    </row>
    <row r="1219" spans="1:10">
      <c r="A1219" s="16" t="s">
        <v>2159</v>
      </c>
      <c r="B1219" s="2">
        <v>100000</v>
      </c>
      <c r="C1219" s="2">
        <f>0.0175*B1219</f>
        <v>1750.0000000000002</v>
      </c>
      <c r="D1219" s="44">
        <v>45560</v>
      </c>
      <c r="E1219" s="3" t="s">
        <v>11</v>
      </c>
      <c r="F1219" s="3" t="s">
        <v>12</v>
      </c>
      <c r="G1219" s="3"/>
    </row>
    <row r="1220" spans="1:10">
      <c r="A1220" s="16" t="s">
        <v>3184</v>
      </c>
      <c r="B1220" s="2">
        <v>500000</v>
      </c>
      <c r="C1220" s="2">
        <f>0.0125*B1220</f>
        <v>6250</v>
      </c>
      <c r="D1220" s="44">
        <v>45560</v>
      </c>
      <c r="E1220" s="3" t="s">
        <v>461</v>
      </c>
      <c r="F1220" s="3" t="s">
        <v>12</v>
      </c>
      <c r="G1220" s="3"/>
    </row>
    <row r="1221" spans="1:10">
      <c r="A1221" s="16" t="s">
        <v>852</v>
      </c>
      <c r="B1221" s="2">
        <v>100000</v>
      </c>
      <c r="C1221" s="2">
        <f>0.0175*B1221</f>
        <v>1750.0000000000002</v>
      </c>
      <c r="D1221" s="44">
        <v>45561</v>
      </c>
      <c r="E1221" s="3" t="s">
        <v>11</v>
      </c>
      <c r="F1221" s="3" t="s">
        <v>28</v>
      </c>
      <c r="G1221" s="3"/>
    </row>
    <row r="1222" spans="1:10">
      <c r="A1222" s="16" t="s">
        <v>3185</v>
      </c>
      <c r="B1222" s="2">
        <v>10000</v>
      </c>
      <c r="C1222" s="2">
        <f t="shared" ref="C1222:C1227" si="248">0.0125*B1222</f>
        <v>125</v>
      </c>
      <c r="D1222" s="44">
        <v>45561</v>
      </c>
      <c r="E1222" s="3" t="s">
        <v>73</v>
      </c>
      <c r="F1222" s="3" t="s">
        <v>12</v>
      </c>
      <c r="G1222" s="3"/>
    </row>
    <row r="1223" spans="1:10">
      <c r="A1223" s="16" t="s">
        <v>3186</v>
      </c>
      <c r="B1223" s="2">
        <v>100000</v>
      </c>
      <c r="C1223" s="2">
        <f t="shared" si="248"/>
        <v>1250</v>
      </c>
      <c r="D1223" s="44">
        <v>45561</v>
      </c>
      <c r="E1223" s="3" t="s">
        <v>2157</v>
      </c>
      <c r="F1223" s="3" t="s">
        <v>12</v>
      </c>
      <c r="G1223" s="3"/>
      <c r="H1223" s="16" t="s">
        <v>22</v>
      </c>
    </row>
    <row r="1224" spans="1:10">
      <c r="A1224" s="16" t="s">
        <v>254</v>
      </c>
      <c r="B1224" s="17">
        <v>10000</v>
      </c>
      <c r="C1224" s="2">
        <f t="shared" si="248"/>
        <v>125</v>
      </c>
      <c r="D1224" s="44">
        <v>45561</v>
      </c>
      <c r="E1224" s="3" t="s">
        <v>11</v>
      </c>
      <c r="F1224" s="3" t="s">
        <v>12</v>
      </c>
      <c r="G1224" s="3"/>
    </row>
    <row r="1225" spans="1:10">
      <c r="A1225" s="16" t="s">
        <v>201</v>
      </c>
      <c r="B1225" s="17">
        <v>35000</v>
      </c>
      <c r="C1225" s="2">
        <f t="shared" si="248"/>
        <v>437.5</v>
      </c>
      <c r="D1225" s="44">
        <v>45561</v>
      </c>
      <c r="E1225" s="3" t="s">
        <v>11</v>
      </c>
      <c r="F1225" s="3" t="s">
        <v>12</v>
      </c>
      <c r="G1225" s="3"/>
    </row>
    <row r="1226" spans="1:10">
      <c r="A1226" s="16" t="s">
        <v>3187</v>
      </c>
      <c r="B1226" s="17">
        <v>45000</v>
      </c>
      <c r="C1226" s="2">
        <f t="shared" si="248"/>
        <v>562.5</v>
      </c>
      <c r="D1226" s="44">
        <v>45561</v>
      </c>
      <c r="E1226" s="3" t="s">
        <v>11</v>
      </c>
      <c r="F1226" s="3" t="s">
        <v>12</v>
      </c>
      <c r="G1226" s="3"/>
    </row>
    <row r="1227" spans="1:10">
      <c r="A1227" s="16" t="s">
        <v>3188</v>
      </c>
      <c r="B1227" s="17">
        <v>90000</v>
      </c>
      <c r="C1227" s="2">
        <f t="shared" si="248"/>
        <v>1125</v>
      </c>
      <c r="D1227" s="44">
        <v>45561</v>
      </c>
      <c r="E1227" s="3" t="s">
        <v>11</v>
      </c>
      <c r="F1227" s="3" t="s">
        <v>12</v>
      </c>
      <c r="G1227" s="3"/>
    </row>
    <row r="1228" spans="1:10">
      <c r="A1228" s="16" t="s">
        <v>3189</v>
      </c>
      <c r="B1228" s="2">
        <v>250000</v>
      </c>
      <c r="C1228" s="2">
        <f t="shared" ref="C1228:C1233" si="249">0.0175*B1228</f>
        <v>4375</v>
      </c>
      <c r="D1228" s="44">
        <v>45561</v>
      </c>
      <c r="E1228" s="3" t="s">
        <v>60</v>
      </c>
      <c r="F1228" s="3" t="s">
        <v>28</v>
      </c>
      <c r="G1228" s="3"/>
      <c r="I1228" s="21" t="s">
        <v>30</v>
      </c>
    </row>
    <row r="1229" spans="1:10">
      <c r="A1229" s="16" t="s">
        <v>3190</v>
      </c>
      <c r="B1229" s="2">
        <v>30000</v>
      </c>
      <c r="C1229" s="2">
        <f t="shared" si="249"/>
        <v>525</v>
      </c>
      <c r="D1229" s="44">
        <v>45561</v>
      </c>
      <c r="E1229" s="3" t="s">
        <v>15</v>
      </c>
      <c r="F1229" s="3" t="s">
        <v>28</v>
      </c>
      <c r="G1229" s="3"/>
      <c r="H1229" s="16" t="s">
        <v>16</v>
      </c>
      <c r="I1229" s="21" t="s">
        <v>30</v>
      </c>
      <c r="J1229" s="16">
        <v>120</v>
      </c>
    </row>
    <row r="1230" spans="1:10">
      <c r="A1230" s="16" t="s">
        <v>3191</v>
      </c>
      <c r="B1230" s="2">
        <v>60000</v>
      </c>
      <c r="C1230" s="2">
        <f t="shared" si="249"/>
        <v>1050</v>
      </c>
      <c r="D1230" s="44">
        <v>45561</v>
      </c>
      <c r="E1230" s="3" t="s">
        <v>11</v>
      </c>
      <c r="F1230" s="3" t="s">
        <v>28</v>
      </c>
      <c r="G1230" s="3"/>
      <c r="I1230" s="21" t="s">
        <v>30</v>
      </c>
    </row>
    <row r="1231" spans="1:10">
      <c r="A1231" s="16" t="s">
        <v>3192</v>
      </c>
      <c r="B1231" s="2">
        <v>45000</v>
      </c>
      <c r="C1231" s="2">
        <f t="shared" si="249"/>
        <v>787.50000000000011</v>
      </c>
      <c r="D1231" s="44">
        <v>45561</v>
      </c>
      <c r="E1231" s="3" t="s">
        <v>15</v>
      </c>
      <c r="F1231" s="3" t="s">
        <v>28</v>
      </c>
      <c r="G1231" s="3"/>
      <c r="H1231" s="16" t="s">
        <v>16</v>
      </c>
      <c r="I1231" s="21" t="s">
        <v>30</v>
      </c>
      <c r="J1231" s="16">
        <v>180</v>
      </c>
    </row>
    <row r="1232" spans="1:10">
      <c r="A1232" s="16" t="s">
        <v>3193</v>
      </c>
      <c r="B1232" s="2">
        <v>120000</v>
      </c>
      <c r="C1232" s="2">
        <f t="shared" si="249"/>
        <v>2100</v>
      </c>
      <c r="D1232" s="44">
        <v>45561</v>
      </c>
      <c r="E1232" s="3" t="s">
        <v>69</v>
      </c>
      <c r="F1232" s="3" t="s">
        <v>28</v>
      </c>
      <c r="G1232" s="3"/>
      <c r="H1232" s="16" t="s">
        <v>13</v>
      </c>
      <c r="I1232" s="21" t="s">
        <v>30</v>
      </c>
    </row>
    <row r="1233" spans="1:12">
      <c r="A1233" s="16" t="s">
        <v>3194</v>
      </c>
      <c r="B1233" s="2">
        <v>40000</v>
      </c>
      <c r="C1233" s="2">
        <f t="shared" si="249"/>
        <v>700.00000000000011</v>
      </c>
      <c r="D1233" s="44">
        <v>45561</v>
      </c>
      <c r="E1233" s="3" t="s">
        <v>2157</v>
      </c>
      <c r="F1233" s="3" t="s">
        <v>28</v>
      </c>
      <c r="G1233" s="3"/>
      <c r="H1233" s="16" t="s">
        <v>13</v>
      </c>
      <c r="I1233" s="21" t="s">
        <v>30</v>
      </c>
    </row>
    <row r="1234" spans="1:12">
      <c r="A1234" s="16" t="s">
        <v>820</v>
      </c>
      <c r="B1234" s="2">
        <v>300000</v>
      </c>
      <c r="C1234" s="2">
        <f>0.0125*B1234</f>
        <v>3750</v>
      </c>
      <c r="D1234" s="44">
        <v>45561</v>
      </c>
      <c r="E1234" s="3" t="s">
        <v>75</v>
      </c>
      <c r="F1234" s="3" t="s">
        <v>12</v>
      </c>
      <c r="G1234" s="3"/>
    </row>
    <row r="1235" spans="1:12">
      <c r="A1235" s="16" t="s">
        <v>3195</v>
      </c>
      <c r="B1235" s="2">
        <v>175000</v>
      </c>
      <c r="C1235" s="2">
        <f>0.0175*B1235</f>
        <v>3062.5000000000005</v>
      </c>
      <c r="D1235" s="44">
        <v>45562</v>
      </c>
      <c r="E1235" s="3" t="s">
        <v>11</v>
      </c>
      <c r="F1235" s="3" t="s">
        <v>28</v>
      </c>
      <c r="G1235" s="3"/>
      <c r="I1235" s="21" t="s">
        <v>30</v>
      </c>
    </row>
    <row r="1236" spans="1:12">
      <c r="A1236" s="16" t="s">
        <v>3196</v>
      </c>
      <c r="B1236" s="2">
        <v>250000</v>
      </c>
      <c r="C1236" s="2">
        <f>0.0125*B1236</f>
        <v>3125</v>
      </c>
      <c r="D1236" s="44">
        <v>45562</v>
      </c>
      <c r="E1236" s="3" t="s">
        <v>11</v>
      </c>
      <c r="F1236" s="3" t="s">
        <v>12</v>
      </c>
      <c r="G1236" s="3"/>
    </row>
    <row r="1237" spans="1:12">
      <c r="A1237" s="16" t="s">
        <v>3159</v>
      </c>
      <c r="B1237" s="2">
        <v>50000</v>
      </c>
      <c r="C1237" s="2">
        <f>0.0175*B1237</f>
        <v>875.00000000000011</v>
      </c>
      <c r="D1237" s="44">
        <v>45562</v>
      </c>
      <c r="E1237" s="3" t="s">
        <v>60</v>
      </c>
      <c r="F1237" s="3" t="s">
        <v>67</v>
      </c>
      <c r="G1237" s="3"/>
      <c r="I1237" s="21" t="s">
        <v>30</v>
      </c>
    </row>
    <row r="1238" spans="1:12">
      <c r="A1238" s="16" t="s">
        <v>3197</v>
      </c>
      <c r="B1238" s="2">
        <v>65000</v>
      </c>
      <c r="C1238" s="2">
        <f t="shared" ref="C1238:C1239" si="250">0.0125*B1238</f>
        <v>812.5</v>
      </c>
      <c r="D1238" s="44">
        <v>45562</v>
      </c>
      <c r="E1238" s="3" t="s">
        <v>15</v>
      </c>
      <c r="F1238" s="3" t="s">
        <v>12</v>
      </c>
      <c r="G1238" s="3"/>
      <c r="H1238" s="16" t="s">
        <v>51</v>
      </c>
      <c r="J1238" s="16">
        <v>325</v>
      </c>
    </row>
    <row r="1239" spans="1:12">
      <c r="A1239" s="16" t="s">
        <v>3198</v>
      </c>
      <c r="B1239" s="2">
        <v>750000</v>
      </c>
      <c r="C1239" s="2">
        <f t="shared" si="250"/>
        <v>9375</v>
      </c>
      <c r="D1239" s="44">
        <v>45562</v>
      </c>
      <c r="E1239" s="3" t="s">
        <v>75</v>
      </c>
      <c r="F1239" s="3" t="s">
        <v>12</v>
      </c>
      <c r="G1239" s="3"/>
    </row>
    <row r="1240" spans="1:12">
      <c r="A1240" s="16" t="s">
        <v>2977</v>
      </c>
      <c r="B1240" s="2">
        <v>40000</v>
      </c>
      <c r="C1240" s="2">
        <f t="shared" ref="C1240:C1241" si="251">0.0175*B1240</f>
        <v>700.00000000000011</v>
      </c>
      <c r="D1240" s="44">
        <v>45562</v>
      </c>
      <c r="E1240" s="3" t="s">
        <v>3199</v>
      </c>
      <c r="F1240" s="3" t="s">
        <v>12</v>
      </c>
      <c r="G1240" s="3"/>
      <c r="H1240" s="16" t="s">
        <v>98</v>
      </c>
      <c r="J1240" s="16">
        <v>120</v>
      </c>
    </row>
    <row r="1241" spans="1:12">
      <c r="A1241" s="16" t="s">
        <v>3200</v>
      </c>
      <c r="B1241" s="2">
        <v>200000</v>
      </c>
      <c r="C1241" s="2">
        <f t="shared" si="251"/>
        <v>3500.0000000000005</v>
      </c>
      <c r="D1241" s="44">
        <v>45562</v>
      </c>
      <c r="E1241" s="3" t="s">
        <v>15</v>
      </c>
      <c r="F1241" s="3" t="s">
        <v>28</v>
      </c>
      <c r="G1241" s="3"/>
      <c r="H1241" s="16" t="s">
        <v>98</v>
      </c>
      <c r="I1241" s="21" t="s">
        <v>30</v>
      </c>
      <c r="J1241" s="16">
        <v>600</v>
      </c>
    </row>
    <row r="1242" spans="1:12">
      <c r="A1242" s="16" t="s">
        <v>718</v>
      </c>
      <c r="B1242" s="2">
        <v>110000</v>
      </c>
      <c r="C1242" s="2">
        <f t="shared" ref="C1242:C1243" si="252">0.0125*B1242</f>
        <v>1375</v>
      </c>
      <c r="D1242" s="44">
        <v>45565</v>
      </c>
      <c r="E1242" s="3" t="s">
        <v>3199</v>
      </c>
      <c r="F1242" s="3" t="s">
        <v>12</v>
      </c>
      <c r="G1242" s="3"/>
      <c r="H1242" s="16" t="s">
        <v>149</v>
      </c>
      <c r="J1242" s="16">
        <v>275</v>
      </c>
    </row>
    <row r="1243" spans="1:12">
      <c r="A1243" s="16" t="s">
        <v>3201</v>
      </c>
      <c r="B1243" s="2">
        <v>100000</v>
      </c>
      <c r="C1243" s="2">
        <f t="shared" si="252"/>
        <v>1250</v>
      </c>
      <c r="D1243" s="44">
        <v>45565</v>
      </c>
      <c r="E1243" s="3" t="s">
        <v>11</v>
      </c>
      <c r="F1243" s="3" t="s">
        <v>12</v>
      </c>
      <c r="G1243" s="3"/>
    </row>
    <row r="1244" spans="1:12">
      <c r="A1244" s="16" t="s">
        <v>3202</v>
      </c>
      <c r="B1244" s="2">
        <v>75000</v>
      </c>
      <c r="C1244" s="2">
        <f>0.0175*B1244</f>
        <v>1312.5000000000002</v>
      </c>
      <c r="D1244" s="44">
        <v>45565</v>
      </c>
      <c r="E1244" s="3" t="s">
        <v>69</v>
      </c>
      <c r="F1244" s="3" t="s">
        <v>28</v>
      </c>
      <c r="G1244" s="3"/>
      <c r="H1244" s="16" t="s">
        <v>13</v>
      </c>
    </row>
    <row r="1245" spans="1:12">
      <c r="A1245" s="16" t="s">
        <v>501</v>
      </c>
      <c r="B1245" s="17">
        <v>24300</v>
      </c>
      <c r="C1245" s="2">
        <f t="shared" ref="C1245:C1246" si="253">0.0125*B1245</f>
        <v>303.75</v>
      </c>
      <c r="D1245" s="44">
        <v>45565</v>
      </c>
      <c r="E1245" s="3" t="s">
        <v>11</v>
      </c>
      <c r="F1245" s="3" t="s">
        <v>12</v>
      </c>
      <c r="G1245" s="3"/>
    </row>
    <row r="1246" spans="1:12">
      <c r="A1246" s="16" t="s">
        <v>791</v>
      </c>
      <c r="B1246" s="17">
        <v>70000</v>
      </c>
      <c r="C1246" s="2">
        <f t="shared" si="253"/>
        <v>875</v>
      </c>
      <c r="D1246" s="44">
        <v>45565</v>
      </c>
      <c r="E1246" s="3" t="s">
        <v>11</v>
      </c>
      <c r="F1246" s="3" t="s">
        <v>12</v>
      </c>
      <c r="G1246" s="3"/>
    </row>
    <row r="1247" spans="1:12">
      <c r="A1247" s="11">
        <v>45566</v>
      </c>
      <c r="B1247" s="12">
        <f t="shared" ref="B1247:C1247" si="254">SUM(B1248:B1388)</f>
        <v>29098000</v>
      </c>
      <c r="C1247" s="12">
        <f t="shared" si="254"/>
        <v>434335</v>
      </c>
      <c r="D1247" s="53"/>
      <c r="E1247" s="53"/>
      <c r="F1247" s="53"/>
      <c r="G1247" s="53"/>
      <c r="H1247" s="15"/>
      <c r="I1247" s="15"/>
      <c r="J1247" s="15"/>
      <c r="K1247" s="15"/>
      <c r="L1247" s="15"/>
    </row>
    <row r="1248" spans="1:12">
      <c r="A1248" s="16" t="s">
        <v>3203</v>
      </c>
      <c r="B1248" s="2">
        <v>270000</v>
      </c>
      <c r="C1248" s="2">
        <f>0.0125*B1248</f>
        <v>3375</v>
      </c>
      <c r="D1248" s="44">
        <v>45566</v>
      </c>
      <c r="E1248" s="3" t="s">
        <v>60</v>
      </c>
      <c r="F1248" s="3" t="s">
        <v>12</v>
      </c>
      <c r="G1248" s="3"/>
    </row>
    <row r="1249" spans="1:15">
      <c r="A1249" s="16" t="s">
        <v>3204</v>
      </c>
      <c r="B1249" s="2">
        <v>100000</v>
      </c>
      <c r="C1249" s="2">
        <f t="shared" ref="C1249:C1251" si="255">0.0175*B1249</f>
        <v>1750.0000000000002</v>
      </c>
      <c r="D1249" s="44">
        <v>45566</v>
      </c>
      <c r="E1249" s="3" t="s">
        <v>11</v>
      </c>
      <c r="F1249" s="3" t="s">
        <v>28</v>
      </c>
      <c r="G1249" s="3"/>
      <c r="I1249" s="21" t="s">
        <v>30</v>
      </c>
    </row>
    <row r="1250" spans="1:15">
      <c r="A1250" s="16" t="s">
        <v>3205</v>
      </c>
      <c r="B1250" s="2">
        <v>100000</v>
      </c>
      <c r="C1250" s="2">
        <f t="shared" si="255"/>
        <v>1750.0000000000002</v>
      </c>
      <c r="D1250" s="44">
        <v>45566</v>
      </c>
      <c r="E1250" s="3" t="s">
        <v>11</v>
      </c>
      <c r="F1250" s="3" t="s">
        <v>28</v>
      </c>
      <c r="G1250" s="3"/>
      <c r="I1250" s="21" t="s">
        <v>30</v>
      </c>
      <c r="O1250" s="16" t="s">
        <v>13</v>
      </c>
    </row>
    <row r="1251" spans="1:15">
      <c r="A1251" s="16" t="s">
        <v>3206</v>
      </c>
      <c r="B1251" s="2">
        <v>150000</v>
      </c>
      <c r="C1251" s="2">
        <f t="shared" si="255"/>
        <v>2625.0000000000005</v>
      </c>
      <c r="D1251" s="44">
        <v>45566</v>
      </c>
      <c r="E1251" s="3" t="s">
        <v>2130</v>
      </c>
      <c r="F1251" s="3" t="s">
        <v>28</v>
      </c>
      <c r="G1251" s="3"/>
      <c r="I1251" s="21" t="s">
        <v>30</v>
      </c>
    </row>
    <row r="1252" spans="1:15">
      <c r="A1252" s="16" t="s">
        <v>3207</v>
      </c>
      <c r="B1252" s="2">
        <v>175000</v>
      </c>
      <c r="C1252" s="2">
        <f t="shared" ref="C1252:C1256" si="256">0.0125*B1252</f>
        <v>2187.5</v>
      </c>
      <c r="D1252" s="44">
        <v>45566</v>
      </c>
      <c r="E1252" s="3" t="s">
        <v>2157</v>
      </c>
      <c r="F1252" s="3" t="s">
        <v>12</v>
      </c>
      <c r="G1252" s="3"/>
      <c r="H1252" s="16" t="s">
        <v>22</v>
      </c>
      <c r="N1252" s="16">
        <v>11538.46</v>
      </c>
      <c r="O1252" s="16" t="s">
        <v>3120</v>
      </c>
    </row>
    <row r="1253" spans="1:15">
      <c r="A1253" s="16" t="s">
        <v>248</v>
      </c>
      <c r="B1253" s="2">
        <v>55000</v>
      </c>
      <c r="C1253" s="2">
        <f t="shared" si="256"/>
        <v>687.5</v>
      </c>
      <c r="D1253" s="44">
        <v>45566</v>
      </c>
      <c r="E1253" s="3" t="s">
        <v>15</v>
      </c>
      <c r="F1253" s="3" t="s">
        <v>12</v>
      </c>
      <c r="G1253" s="3"/>
      <c r="H1253" s="16" t="s">
        <v>16</v>
      </c>
      <c r="J1253" s="16">
        <v>220</v>
      </c>
      <c r="N1253" s="16">
        <v>25400</v>
      </c>
      <c r="O1253" s="16" t="s">
        <v>3122</v>
      </c>
    </row>
    <row r="1254" spans="1:15">
      <c r="A1254" s="16" t="s">
        <v>3208</v>
      </c>
      <c r="B1254" s="2">
        <v>50000</v>
      </c>
      <c r="C1254" s="2">
        <f t="shared" si="256"/>
        <v>625</v>
      </c>
      <c r="D1254" s="44">
        <v>45566</v>
      </c>
      <c r="E1254" s="3" t="s">
        <v>11</v>
      </c>
      <c r="F1254" s="3" t="s">
        <v>12</v>
      </c>
      <c r="G1254" s="3"/>
      <c r="N1254" s="16">
        <v>7450</v>
      </c>
      <c r="O1254" s="16" t="s">
        <v>3124</v>
      </c>
    </row>
    <row r="1255" spans="1:15">
      <c r="A1255" s="16" t="s">
        <v>3209</v>
      </c>
      <c r="B1255" s="2">
        <v>750000</v>
      </c>
      <c r="C1255" s="2">
        <f t="shared" si="256"/>
        <v>9375</v>
      </c>
      <c r="D1255" s="44">
        <v>45566</v>
      </c>
      <c r="E1255" s="3" t="s">
        <v>11</v>
      </c>
      <c r="F1255" s="3" t="s">
        <v>12</v>
      </c>
      <c r="G1255" s="3"/>
      <c r="N1255" s="16">
        <v>3351</v>
      </c>
      <c r="O1255" s="16" t="s">
        <v>2764</v>
      </c>
    </row>
    <row r="1256" spans="1:15">
      <c r="A1256" s="16" t="s">
        <v>3210</v>
      </c>
      <c r="B1256" s="2">
        <v>100000</v>
      </c>
      <c r="C1256" s="2">
        <f t="shared" si="256"/>
        <v>1250</v>
      </c>
      <c r="D1256" s="44">
        <v>45567</v>
      </c>
      <c r="E1256" s="3" t="s">
        <v>24</v>
      </c>
      <c r="F1256" s="3" t="s">
        <v>12</v>
      </c>
      <c r="G1256" s="3"/>
      <c r="H1256" s="16" t="s">
        <v>2843</v>
      </c>
      <c r="N1256" s="16">
        <v>5520</v>
      </c>
      <c r="O1256" s="16" t="s">
        <v>2765</v>
      </c>
    </row>
    <row r="1257" spans="1:15">
      <c r="A1257" s="16" t="s">
        <v>3211</v>
      </c>
      <c r="B1257" s="2">
        <v>150000</v>
      </c>
      <c r="C1257" s="2">
        <f t="shared" ref="C1257:C1259" si="257">0.0175*B1257</f>
        <v>2625.0000000000005</v>
      </c>
      <c r="D1257" s="44">
        <v>45567</v>
      </c>
      <c r="E1257" s="3" t="s">
        <v>15</v>
      </c>
      <c r="F1257" s="3" t="s">
        <v>28</v>
      </c>
      <c r="G1257" s="3"/>
      <c r="H1257" s="16" t="s">
        <v>220</v>
      </c>
      <c r="J1257" s="16">
        <v>525</v>
      </c>
      <c r="N1257" s="16">
        <v>19432</v>
      </c>
      <c r="O1257" s="16" t="s">
        <v>15</v>
      </c>
    </row>
    <row r="1258" spans="1:15">
      <c r="A1258" s="16" t="s">
        <v>3212</v>
      </c>
      <c r="B1258" s="2">
        <v>175000</v>
      </c>
      <c r="C1258" s="2">
        <f t="shared" si="257"/>
        <v>3062.5000000000005</v>
      </c>
      <c r="D1258" s="44">
        <v>45567</v>
      </c>
      <c r="E1258" s="3" t="s">
        <v>11</v>
      </c>
      <c r="F1258" s="3" t="s">
        <v>28</v>
      </c>
      <c r="G1258" s="3"/>
      <c r="I1258" s="21" t="s">
        <v>30</v>
      </c>
    </row>
    <row r="1259" spans="1:15">
      <c r="A1259" s="16" t="s">
        <v>3213</v>
      </c>
      <c r="B1259" s="2">
        <v>85000</v>
      </c>
      <c r="C1259" s="2">
        <f t="shared" si="257"/>
        <v>1487.5000000000002</v>
      </c>
      <c r="D1259" s="44">
        <v>45567</v>
      </c>
      <c r="E1259" s="3" t="s">
        <v>69</v>
      </c>
      <c r="F1259" s="3" t="s">
        <v>28</v>
      </c>
      <c r="G1259" s="3"/>
      <c r="H1259" s="16" t="s">
        <v>13</v>
      </c>
      <c r="I1259" s="21" t="s">
        <v>30</v>
      </c>
    </row>
    <row r="1260" spans="1:15">
      <c r="A1260" s="16" t="s">
        <v>3214</v>
      </c>
      <c r="B1260" s="2">
        <v>45000</v>
      </c>
      <c r="C1260" s="2">
        <f t="shared" ref="C1260:C1261" si="258">0.0125*B1260</f>
        <v>562.5</v>
      </c>
      <c r="D1260" s="44">
        <v>45567</v>
      </c>
      <c r="E1260" s="3" t="s">
        <v>11</v>
      </c>
      <c r="F1260" s="3" t="s">
        <v>12</v>
      </c>
      <c r="G1260" s="3"/>
      <c r="O1260" s="16" t="s">
        <v>245</v>
      </c>
    </row>
    <row r="1261" spans="1:15">
      <c r="A1261" s="16" t="s">
        <v>3215</v>
      </c>
      <c r="B1261" s="2">
        <v>100000</v>
      </c>
      <c r="C1261" s="2">
        <f t="shared" si="258"/>
        <v>1250</v>
      </c>
      <c r="D1261" s="44">
        <v>45567</v>
      </c>
      <c r="E1261" s="3" t="s">
        <v>24</v>
      </c>
      <c r="F1261" s="3" t="s">
        <v>12</v>
      </c>
      <c r="G1261" s="3"/>
      <c r="H1261" s="16" t="s">
        <v>2843</v>
      </c>
    </row>
    <row r="1262" spans="1:15">
      <c r="A1262" s="16" t="s">
        <v>3216</v>
      </c>
      <c r="B1262" s="2">
        <v>75000</v>
      </c>
      <c r="C1262" s="2">
        <f>0.0175*B1262</f>
        <v>1312.5000000000002</v>
      </c>
      <c r="D1262" s="44">
        <v>45567</v>
      </c>
      <c r="E1262" s="3" t="s">
        <v>21</v>
      </c>
      <c r="F1262" s="3" t="s">
        <v>28</v>
      </c>
      <c r="G1262" s="3"/>
      <c r="H1262" s="16" t="s">
        <v>13</v>
      </c>
      <c r="I1262" s="21" t="s">
        <v>30</v>
      </c>
      <c r="N1262" s="16">
        <v>11538.46</v>
      </c>
      <c r="O1262" s="16" t="s">
        <v>3120</v>
      </c>
    </row>
    <row r="1263" spans="1:15">
      <c r="A1263" s="16" t="s">
        <v>143</v>
      </c>
      <c r="B1263" s="2">
        <v>250000</v>
      </c>
      <c r="C1263" s="2">
        <f t="shared" ref="C1263:C1264" si="259">0.0125*B1263</f>
        <v>3125</v>
      </c>
      <c r="D1263" s="44">
        <v>45568</v>
      </c>
      <c r="E1263" s="3" t="s">
        <v>24</v>
      </c>
      <c r="F1263" s="3" t="s">
        <v>12</v>
      </c>
      <c r="G1263" s="3"/>
      <c r="H1263" s="16" t="s">
        <v>2843</v>
      </c>
      <c r="N1263" s="16">
        <v>31702</v>
      </c>
      <c r="O1263" s="16" t="s">
        <v>3217</v>
      </c>
    </row>
    <row r="1264" spans="1:15">
      <c r="A1264" s="16" t="s">
        <v>3218</v>
      </c>
      <c r="B1264" s="2">
        <v>300000</v>
      </c>
      <c r="C1264" s="2">
        <f t="shared" si="259"/>
        <v>3750</v>
      </c>
      <c r="D1264" s="44">
        <v>45568</v>
      </c>
      <c r="E1264" s="3" t="s">
        <v>69</v>
      </c>
      <c r="F1264" s="3" t="s">
        <v>12</v>
      </c>
      <c r="G1264" s="3"/>
      <c r="H1264" s="16" t="s">
        <v>22</v>
      </c>
    </row>
    <row r="1265" spans="1:10">
      <c r="A1265" s="16" t="s">
        <v>2971</v>
      </c>
      <c r="B1265" s="2">
        <v>100000</v>
      </c>
      <c r="C1265" s="2">
        <f t="shared" ref="C1265:C1272" si="260">0.0175*B1265</f>
        <v>1750.0000000000002</v>
      </c>
      <c r="D1265" s="44">
        <v>45568</v>
      </c>
      <c r="E1265" s="3" t="s">
        <v>24</v>
      </c>
      <c r="F1265" s="3" t="s">
        <v>2842</v>
      </c>
      <c r="G1265" s="3"/>
      <c r="H1265" s="16" t="s">
        <v>25</v>
      </c>
    </row>
    <row r="1266" spans="1:10">
      <c r="A1266" s="16" t="s">
        <v>3219</v>
      </c>
      <c r="B1266" s="2">
        <v>100000</v>
      </c>
      <c r="C1266" s="2">
        <f t="shared" si="260"/>
        <v>1750.0000000000002</v>
      </c>
      <c r="D1266" s="44">
        <v>45568</v>
      </c>
      <c r="E1266" s="3" t="s">
        <v>15</v>
      </c>
      <c r="F1266" s="3" t="s">
        <v>28</v>
      </c>
      <c r="G1266" s="3"/>
      <c r="H1266" s="16" t="s">
        <v>16</v>
      </c>
      <c r="J1266" s="16">
        <v>400</v>
      </c>
    </row>
    <row r="1267" spans="1:10">
      <c r="A1267" s="16" t="s">
        <v>3220</v>
      </c>
      <c r="B1267" s="2">
        <v>175000</v>
      </c>
      <c r="C1267" s="2">
        <f t="shared" si="260"/>
        <v>3062.5000000000005</v>
      </c>
      <c r="D1267" s="44">
        <v>45568</v>
      </c>
      <c r="E1267" s="3" t="s">
        <v>11</v>
      </c>
      <c r="F1267" s="3" t="s">
        <v>28</v>
      </c>
      <c r="G1267" s="3"/>
      <c r="I1267" s="21" t="s">
        <v>30</v>
      </c>
    </row>
    <row r="1268" spans="1:10">
      <c r="A1268" s="16" t="s">
        <v>3221</v>
      </c>
      <c r="B1268" s="2">
        <v>60000</v>
      </c>
      <c r="C1268" s="2">
        <f t="shared" si="260"/>
        <v>1050</v>
      </c>
      <c r="D1268" s="44">
        <v>45568</v>
      </c>
      <c r="E1268" s="3" t="s">
        <v>11</v>
      </c>
      <c r="F1268" s="3" t="s">
        <v>28</v>
      </c>
      <c r="G1268" s="3"/>
      <c r="I1268" s="21" t="s">
        <v>30</v>
      </c>
    </row>
    <row r="1269" spans="1:10">
      <c r="A1269" s="16" t="s">
        <v>3222</v>
      </c>
      <c r="B1269" s="2">
        <v>125000</v>
      </c>
      <c r="C1269" s="2">
        <f t="shared" si="260"/>
        <v>2187.5</v>
      </c>
      <c r="D1269" s="44">
        <v>45568</v>
      </c>
      <c r="E1269" s="3" t="s">
        <v>60</v>
      </c>
      <c r="F1269" s="3" t="s">
        <v>28</v>
      </c>
      <c r="G1269" s="3"/>
      <c r="I1269" s="21" t="s">
        <v>30</v>
      </c>
    </row>
    <row r="1270" spans="1:10">
      <c r="A1270" s="16" t="s">
        <v>3223</v>
      </c>
      <c r="B1270" s="2">
        <v>15000</v>
      </c>
      <c r="C1270" s="2">
        <f t="shared" si="260"/>
        <v>262.5</v>
      </c>
      <c r="D1270" s="44">
        <v>45568</v>
      </c>
      <c r="E1270" s="3" t="s">
        <v>11</v>
      </c>
      <c r="F1270" s="3" t="s">
        <v>28</v>
      </c>
      <c r="G1270" s="3"/>
      <c r="I1270" s="21" t="s">
        <v>30</v>
      </c>
    </row>
    <row r="1271" spans="1:10">
      <c r="A1271" s="16" t="s">
        <v>3224</v>
      </c>
      <c r="B1271" s="2">
        <v>130000</v>
      </c>
      <c r="C1271" s="2">
        <f t="shared" si="260"/>
        <v>2275</v>
      </c>
      <c r="D1271" s="44">
        <v>45568</v>
      </c>
      <c r="E1271" s="3" t="s">
        <v>60</v>
      </c>
      <c r="F1271" s="3" t="s">
        <v>28</v>
      </c>
      <c r="G1271" s="3"/>
      <c r="I1271" s="21" t="s">
        <v>30</v>
      </c>
    </row>
    <row r="1272" spans="1:10">
      <c r="A1272" s="16" t="s">
        <v>3225</v>
      </c>
      <c r="B1272" s="2">
        <v>60000</v>
      </c>
      <c r="C1272" s="2">
        <f t="shared" si="260"/>
        <v>1050</v>
      </c>
      <c r="D1272" s="44">
        <v>45568</v>
      </c>
      <c r="E1272" s="3" t="s">
        <v>24</v>
      </c>
      <c r="F1272" s="3" t="s">
        <v>28</v>
      </c>
      <c r="G1272" s="3"/>
      <c r="H1272" s="16" t="s">
        <v>2647</v>
      </c>
    </row>
    <row r="1273" spans="1:10">
      <c r="A1273" s="16" t="s">
        <v>3226</v>
      </c>
      <c r="B1273" s="2">
        <v>40000</v>
      </c>
      <c r="C1273" s="2">
        <f t="shared" ref="C1273:C1274" si="261">0.0125*B1273</f>
        <v>500</v>
      </c>
      <c r="D1273" s="44">
        <v>45569</v>
      </c>
      <c r="E1273" s="3" t="s">
        <v>15</v>
      </c>
      <c r="F1273" s="3" t="s">
        <v>12</v>
      </c>
      <c r="G1273" s="3"/>
      <c r="H1273" s="16" t="s">
        <v>16</v>
      </c>
      <c r="J1273" s="16">
        <v>160</v>
      </c>
    </row>
    <row r="1274" spans="1:10">
      <c r="A1274" s="16" t="s">
        <v>583</v>
      </c>
      <c r="B1274" s="2">
        <v>60000</v>
      </c>
      <c r="C1274" s="2">
        <f t="shared" si="261"/>
        <v>750</v>
      </c>
      <c r="D1274" s="44">
        <v>45569</v>
      </c>
      <c r="E1274" s="3" t="s">
        <v>11</v>
      </c>
      <c r="F1274" s="3" t="s">
        <v>12</v>
      </c>
      <c r="G1274" s="3"/>
    </row>
    <row r="1275" spans="1:10">
      <c r="A1275" s="16" t="s">
        <v>2845</v>
      </c>
      <c r="B1275" s="2">
        <v>150000</v>
      </c>
      <c r="C1275" s="2">
        <f>0.0175*B1275</f>
        <v>2625.0000000000005</v>
      </c>
      <c r="D1275" s="44">
        <v>45569</v>
      </c>
      <c r="E1275" s="3" t="s">
        <v>24</v>
      </c>
      <c r="F1275" s="3" t="s">
        <v>2842</v>
      </c>
      <c r="G1275" s="3"/>
      <c r="H1275" s="16" t="s">
        <v>2843</v>
      </c>
    </row>
    <row r="1276" spans="1:10">
      <c r="A1276" s="16" t="s">
        <v>3227</v>
      </c>
      <c r="B1276" s="2">
        <v>90000</v>
      </c>
      <c r="C1276" s="2">
        <f t="shared" ref="C1276:C1277" si="262">0.0125*B1276</f>
        <v>1125</v>
      </c>
      <c r="D1276" s="44">
        <v>45569</v>
      </c>
      <c r="E1276" s="3" t="s">
        <v>11</v>
      </c>
      <c r="F1276" s="3" t="s">
        <v>12</v>
      </c>
      <c r="G1276" s="3"/>
    </row>
    <row r="1277" spans="1:10">
      <c r="A1277" s="16" t="s">
        <v>3228</v>
      </c>
      <c r="B1277" s="2">
        <v>500000</v>
      </c>
      <c r="C1277" s="2">
        <f t="shared" si="262"/>
        <v>6250</v>
      </c>
      <c r="D1277" s="44">
        <v>45569</v>
      </c>
      <c r="E1277" s="3" t="s">
        <v>40</v>
      </c>
      <c r="F1277" s="3" t="s">
        <v>12</v>
      </c>
      <c r="G1277" s="3"/>
    </row>
    <row r="1278" spans="1:10">
      <c r="A1278" s="16" t="s">
        <v>3229</v>
      </c>
      <c r="B1278" s="2">
        <v>150000</v>
      </c>
      <c r="C1278" s="2">
        <f t="shared" ref="C1278:C1279" si="263">0.0175*B1278</f>
        <v>2625.0000000000005</v>
      </c>
      <c r="D1278" s="44">
        <v>45569</v>
      </c>
      <c r="E1278" s="3" t="s">
        <v>11</v>
      </c>
      <c r="F1278" s="3" t="s">
        <v>28</v>
      </c>
      <c r="G1278" s="3"/>
      <c r="I1278" s="21" t="s">
        <v>30</v>
      </c>
    </row>
    <row r="1279" spans="1:10">
      <c r="A1279" s="16" t="s">
        <v>3230</v>
      </c>
      <c r="B1279" s="2">
        <v>100000</v>
      </c>
      <c r="C1279" s="2">
        <f t="shared" si="263"/>
        <v>1750.0000000000002</v>
      </c>
      <c r="D1279" s="44">
        <v>45572</v>
      </c>
      <c r="E1279" s="3" t="s">
        <v>24</v>
      </c>
      <c r="F1279" s="3" t="s">
        <v>41</v>
      </c>
      <c r="G1279" s="3"/>
      <c r="H1279" s="16" t="s">
        <v>2647</v>
      </c>
      <c r="I1279" s="21" t="s">
        <v>30</v>
      </c>
    </row>
    <row r="1280" spans="1:10">
      <c r="A1280" s="16" t="s">
        <v>3231</v>
      </c>
      <c r="B1280" s="2">
        <v>100000</v>
      </c>
      <c r="C1280" s="2">
        <f t="shared" ref="C1280:C1282" si="264">0.0125*B1280</f>
        <v>1250</v>
      </c>
      <c r="D1280" s="44">
        <v>45572</v>
      </c>
      <c r="E1280" s="3" t="s">
        <v>60</v>
      </c>
      <c r="F1280" s="3" t="s">
        <v>12</v>
      </c>
      <c r="G1280" s="3"/>
    </row>
    <row r="1281" spans="1:10">
      <c r="A1281" s="16" t="s">
        <v>2657</v>
      </c>
      <c r="B1281" s="2">
        <v>215000</v>
      </c>
      <c r="C1281" s="2">
        <f t="shared" si="264"/>
        <v>2687.5</v>
      </c>
      <c r="D1281" s="44">
        <v>45572</v>
      </c>
      <c r="E1281" s="3" t="s">
        <v>11</v>
      </c>
      <c r="F1281" s="3" t="s">
        <v>12</v>
      </c>
      <c r="G1281" s="3"/>
    </row>
    <row r="1282" spans="1:10">
      <c r="A1282" s="16" t="s">
        <v>643</v>
      </c>
      <c r="B1282" s="2">
        <v>350000</v>
      </c>
      <c r="C1282" s="2">
        <f t="shared" si="264"/>
        <v>4375</v>
      </c>
      <c r="D1282" s="44">
        <v>45572</v>
      </c>
      <c r="E1282" s="3" t="s">
        <v>11</v>
      </c>
      <c r="F1282" s="3" t="s">
        <v>12</v>
      </c>
      <c r="G1282" s="3"/>
    </row>
    <row r="1283" spans="1:10">
      <c r="A1283" s="16" t="s">
        <v>132</v>
      </c>
      <c r="B1283" s="2">
        <v>50000</v>
      </c>
      <c r="C1283" s="2">
        <f t="shared" ref="C1283:C1284" si="265">0.0175*B1283</f>
        <v>875.00000000000011</v>
      </c>
      <c r="D1283" s="44">
        <v>45572</v>
      </c>
      <c r="E1283" s="3" t="s">
        <v>11</v>
      </c>
      <c r="F1283" s="3" t="s">
        <v>28</v>
      </c>
      <c r="G1283" s="3"/>
      <c r="I1283" s="21" t="s">
        <v>30</v>
      </c>
    </row>
    <row r="1284" spans="1:10">
      <c r="A1284" s="16" t="s">
        <v>3232</v>
      </c>
      <c r="B1284" s="2">
        <v>150000</v>
      </c>
      <c r="C1284" s="2">
        <f t="shared" si="265"/>
        <v>2625.0000000000005</v>
      </c>
      <c r="D1284" s="44">
        <v>45573</v>
      </c>
      <c r="E1284" s="3" t="s">
        <v>11</v>
      </c>
      <c r="F1284" s="3" t="s">
        <v>28</v>
      </c>
      <c r="G1284" s="3"/>
      <c r="I1284" s="21" t="s">
        <v>30</v>
      </c>
    </row>
    <row r="1285" spans="1:10">
      <c r="A1285" s="16" t="s">
        <v>687</v>
      </c>
      <c r="B1285" s="2">
        <v>1000000</v>
      </c>
      <c r="C1285" s="2">
        <f>0.0125*B1285</f>
        <v>12500</v>
      </c>
      <c r="D1285" s="44">
        <v>45573</v>
      </c>
      <c r="E1285" s="3" t="s">
        <v>15</v>
      </c>
      <c r="F1285" s="3" t="s">
        <v>12</v>
      </c>
      <c r="G1285" s="3"/>
      <c r="H1285" s="16" t="s">
        <v>220</v>
      </c>
      <c r="J1285" s="16">
        <v>3500</v>
      </c>
    </row>
    <row r="1286" spans="1:10">
      <c r="A1286" s="16" t="s">
        <v>3233</v>
      </c>
      <c r="B1286" s="2">
        <v>80000</v>
      </c>
      <c r="C1286" s="2">
        <f t="shared" ref="C1286:C1289" si="266">0.0175*B1286</f>
        <v>1400.0000000000002</v>
      </c>
      <c r="D1286" s="44">
        <v>45573</v>
      </c>
      <c r="E1286" s="3" t="s">
        <v>73</v>
      </c>
      <c r="F1286" s="3" t="s">
        <v>41</v>
      </c>
      <c r="G1286" s="3"/>
    </row>
    <row r="1287" spans="1:10">
      <c r="A1287" s="16" t="s">
        <v>3234</v>
      </c>
      <c r="B1287" s="2">
        <v>10000</v>
      </c>
      <c r="C1287" s="2">
        <f t="shared" si="266"/>
        <v>175.00000000000003</v>
      </c>
      <c r="D1287" s="44">
        <v>45573</v>
      </c>
      <c r="E1287" s="3" t="s">
        <v>15</v>
      </c>
      <c r="F1287" s="3" t="s">
        <v>28</v>
      </c>
      <c r="G1287" s="3"/>
      <c r="H1287" s="16" t="s">
        <v>54</v>
      </c>
      <c r="J1287" s="16">
        <v>60</v>
      </c>
    </row>
    <row r="1288" spans="1:10">
      <c r="A1288" s="16" t="s">
        <v>3235</v>
      </c>
      <c r="B1288" s="2">
        <v>50000</v>
      </c>
      <c r="C1288" s="2">
        <f t="shared" si="266"/>
        <v>875.00000000000011</v>
      </c>
      <c r="D1288" s="44">
        <v>45573</v>
      </c>
      <c r="E1288" s="3" t="s">
        <v>11</v>
      </c>
      <c r="F1288" s="3" t="s">
        <v>28</v>
      </c>
      <c r="G1288" s="3"/>
    </row>
    <row r="1289" spans="1:10">
      <c r="A1289" s="16" t="s">
        <v>2826</v>
      </c>
      <c r="B1289" s="2">
        <v>150000</v>
      </c>
      <c r="C1289" s="2">
        <f t="shared" si="266"/>
        <v>2625.0000000000005</v>
      </c>
      <c r="D1289" s="44">
        <v>45573</v>
      </c>
      <c r="E1289" s="3" t="s">
        <v>11</v>
      </c>
      <c r="F1289" s="3" t="s">
        <v>28</v>
      </c>
      <c r="G1289" s="3"/>
    </row>
    <row r="1290" spans="1:10">
      <c r="A1290" s="16" t="s">
        <v>3236</v>
      </c>
      <c r="B1290" s="2">
        <v>150000</v>
      </c>
      <c r="C1290" s="2">
        <f>0.0125*B1290</f>
        <v>1875</v>
      </c>
      <c r="D1290" s="44">
        <v>45573</v>
      </c>
      <c r="E1290" s="3" t="s">
        <v>11</v>
      </c>
      <c r="F1290" s="3" t="s">
        <v>12</v>
      </c>
      <c r="G1290" s="3"/>
    </row>
    <row r="1291" spans="1:10">
      <c r="A1291" s="16" t="s">
        <v>3237</v>
      </c>
      <c r="B1291" s="2">
        <v>2500000</v>
      </c>
      <c r="C1291" s="2">
        <f t="shared" ref="C1291:C1293" si="267">0.0175*B1291</f>
        <v>43750.000000000007</v>
      </c>
      <c r="D1291" s="44">
        <v>45573</v>
      </c>
      <c r="E1291" s="3" t="s">
        <v>15</v>
      </c>
      <c r="F1291" s="3" t="s">
        <v>28</v>
      </c>
      <c r="G1291" s="3"/>
      <c r="H1291" s="16" t="s">
        <v>149</v>
      </c>
      <c r="J1291" s="16">
        <v>6250</v>
      </c>
    </row>
    <row r="1292" spans="1:10">
      <c r="A1292" s="16" t="s">
        <v>3238</v>
      </c>
      <c r="B1292" s="2">
        <v>250000</v>
      </c>
      <c r="C1292" s="2">
        <f t="shared" si="267"/>
        <v>4375</v>
      </c>
      <c r="D1292" s="44">
        <v>45574</v>
      </c>
      <c r="E1292" s="3" t="s">
        <v>982</v>
      </c>
      <c r="F1292" s="3" t="s">
        <v>28</v>
      </c>
      <c r="G1292" s="3"/>
    </row>
    <row r="1293" spans="1:10">
      <c r="A1293" s="16" t="s">
        <v>813</v>
      </c>
      <c r="B1293" s="2">
        <v>100000</v>
      </c>
      <c r="C1293" s="2">
        <f t="shared" si="267"/>
        <v>1750.0000000000002</v>
      </c>
      <c r="D1293" s="44">
        <v>45574</v>
      </c>
      <c r="E1293" s="3" t="s">
        <v>11</v>
      </c>
      <c r="F1293" s="3" t="s">
        <v>28</v>
      </c>
      <c r="G1293" s="3"/>
    </row>
    <row r="1294" spans="1:10">
      <c r="A1294" s="16" t="s">
        <v>3239</v>
      </c>
      <c r="B1294" s="17">
        <v>150000</v>
      </c>
      <c r="C1294" s="2">
        <f t="shared" ref="C1294:C1296" si="268">0.0125*B1294</f>
        <v>1875</v>
      </c>
      <c r="D1294" s="44">
        <v>45575</v>
      </c>
      <c r="E1294" s="3" t="s">
        <v>11</v>
      </c>
      <c r="F1294" s="3" t="s">
        <v>12</v>
      </c>
      <c r="G1294" s="3"/>
    </row>
    <row r="1295" spans="1:10">
      <c r="A1295" s="16" t="s">
        <v>3240</v>
      </c>
      <c r="B1295" s="17">
        <v>50000</v>
      </c>
      <c r="C1295" s="2">
        <f t="shared" si="268"/>
        <v>625</v>
      </c>
      <c r="D1295" s="44">
        <v>45575</v>
      </c>
      <c r="E1295" s="3" t="s">
        <v>11</v>
      </c>
      <c r="F1295" s="3" t="s">
        <v>12</v>
      </c>
      <c r="G1295" s="3"/>
    </row>
    <row r="1296" spans="1:10">
      <c r="A1296" s="16" t="s">
        <v>3241</v>
      </c>
      <c r="B1296" s="17">
        <v>60000</v>
      </c>
      <c r="C1296" s="2">
        <f t="shared" si="268"/>
        <v>750</v>
      </c>
      <c r="D1296" s="44">
        <v>45575</v>
      </c>
      <c r="E1296" s="3" t="s">
        <v>11</v>
      </c>
      <c r="F1296" s="3" t="s">
        <v>12</v>
      </c>
      <c r="G1296" s="3"/>
    </row>
    <row r="1297" spans="1:10">
      <c r="A1297" s="16" t="s">
        <v>3242</v>
      </c>
      <c r="B1297" s="2">
        <v>150000</v>
      </c>
      <c r="C1297" s="2">
        <f t="shared" ref="C1297:C1298" si="269">0.0175*B1297</f>
        <v>2625.0000000000005</v>
      </c>
      <c r="D1297" s="44">
        <v>45575</v>
      </c>
      <c r="E1297" s="3" t="s">
        <v>60</v>
      </c>
      <c r="F1297" s="3" t="s">
        <v>28</v>
      </c>
      <c r="G1297" s="3"/>
      <c r="I1297" s="21" t="s">
        <v>30</v>
      </c>
    </row>
    <row r="1298" spans="1:10">
      <c r="A1298" s="16" t="s">
        <v>3243</v>
      </c>
      <c r="B1298" s="2">
        <v>25000</v>
      </c>
      <c r="C1298" s="2">
        <f t="shared" si="269"/>
        <v>437.50000000000006</v>
      </c>
      <c r="D1298" s="44">
        <v>45575</v>
      </c>
      <c r="E1298" s="3" t="s">
        <v>15</v>
      </c>
      <c r="F1298" s="3" t="s">
        <v>28</v>
      </c>
      <c r="G1298" s="3"/>
      <c r="H1298" s="16" t="s">
        <v>54</v>
      </c>
      <c r="J1298" s="16">
        <v>150</v>
      </c>
    </row>
    <row r="1299" spans="1:10">
      <c r="A1299" s="16" t="s">
        <v>23</v>
      </c>
      <c r="B1299" s="2">
        <v>250000</v>
      </c>
      <c r="C1299" s="2">
        <f>0.0125*B1299</f>
        <v>3125</v>
      </c>
      <c r="D1299" s="44">
        <v>45575</v>
      </c>
      <c r="E1299" s="3" t="s">
        <v>24</v>
      </c>
      <c r="F1299" s="3" t="s">
        <v>12</v>
      </c>
      <c r="G1299" s="3"/>
      <c r="H1299" s="16" t="s">
        <v>2843</v>
      </c>
    </row>
    <row r="1300" spans="1:10">
      <c r="A1300" s="16" t="s">
        <v>62</v>
      </c>
      <c r="B1300" s="2">
        <v>40000</v>
      </c>
      <c r="C1300" s="2">
        <v>0</v>
      </c>
      <c r="D1300" s="44">
        <v>45576</v>
      </c>
      <c r="E1300" s="3" t="s">
        <v>11</v>
      </c>
      <c r="F1300" s="3" t="s">
        <v>67</v>
      </c>
      <c r="G1300" s="3"/>
      <c r="H1300" s="16" t="s">
        <v>3244</v>
      </c>
    </row>
    <row r="1301" spans="1:10">
      <c r="A1301" s="16" t="s">
        <v>3245</v>
      </c>
      <c r="B1301" s="2">
        <v>70000</v>
      </c>
      <c r="C1301" s="2">
        <f t="shared" ref="C1301:C1306" si="270">0.0125*B1301</f>
        <v>875</v>
      </c>
      <c r="D1301" s="44">
        <v>45576</v>
      </c>
      <c r="E1301" s="3" t="s">
        <v>15</v>
      </c>
      <c r="F1301" s="3" t="s">
        <v>12</v>
      </c>
      <c r="G1301" s="3"/>
      <c r="H1301" s="16" t="s">
        <v>98</v>
      </c>
      <c r="J1301" s="16">
        <v>210</v>
      </c>
    </row>
    <row r="1302" spans="1:10">
      <c r="A1302" s="16" t="s">
        <v>3246</v>
      </c>
      <c r="B1302" s="2">
        <v>160000</v>
      </c>
      <c r="C1302" s="2">
        <f t="shared" si="270"/>
        <v>2000</v>
      </c>
      <c r="D1302" s="44">
        <v>45576</v>
      </c>
      <c r="E1302" s="3" t="s">
        <v>11</v>
      </c>
      <c r="F1302" s="3" t="s">
        <v>41</v>
      </c>
      <c r="G1302" s="3"/>
    </row>
    <row r="1303" spans="1:10">
      <c r="A1303" s="16" t="s">
        <v>104</v>
      </c>
      <c r="B1303" s="2">
        <v>85000</v>
      </c>
      <c r="C1303" s="2">
        <f t="shared" si="270"/>
        <v>1062.5</v>
      </c>
      <c r="D1303" s="44">
        <v>45576</v>
      </c>
      <c r="E1303" s="3" t="s">
        <v>69</v>
      </c>
      <c r="F1303" s="3" t="s">
        <v>12</v>
      </c>
      <c r="G1303" s="3"/>
      <c r="H1303" s="16" t="s">
        <v>22</v>
      </c>
    </row>
    <row r="1304" spans="1:10">
      <c r="A1304" s="16" t="s">
        <v>2503</v>
      </c>
      <c r="B1304" s="2">
        <v>210000</v>
      </c>
      <c r="C1304" s="2">
        <f t="shared" si="270"/>
        <v>2625</v>
      </c>
      <c r="D1304" s="44">
        <v>45576</v>
      </c>
      <c r="E1304" s="3" t="s">
        <v>11</v>
      </c>
      <c r="F1304" s="3" t="s">
        <v>12</v>
      </c>
      <c r="G1304" s="3"/>
    </row>
    <row r="1305" spans="1:10">
      <c r="A1305" s="16" t="s">
        <v>3247</v>
      </c>
      <c r="B1305" s="2">
        <v>100000</v>
      </c>
      <c r="C1305" s="2">
        <f t="shared" si="270"/>
        <v>1250</v>
      </c>
      <c r="D1305" s="44">
        <v>45576</v>
      </c>
      <c r="E1305" s="3" t="s">
        <v>3248</v>
      </c>
      <c r="F1305" s="3" t="s">
        <v>12</v>
      </c>
      <c r="G1305" s="3"/>
      <c r="H1305" s="16" t="s">
        <v>149</v>
      </c>
      <c r="J1305" s="16">
        <v>250</v>
      </c>
    </row>
    <row r="1306" spans="1:10">
      <c r="A1306" s="16" t="s">
        <v>2688</v>
      </c>
      <c r="B1306" s="2">
        <v>320000</v>
      </c>
      <c r="C1306" s="2">
        <f t="shared" si="270"/>
        <v>4000</v>
      </c>
      <c r="D1306" s="44">
        <v>45580</v>
      </c>
      <c r="E1306" s="3" t="s">
        <v>24</v>
      </c>
      <c r="F1306" s="3" t="s">
        <v>12</v>
      </c>
      <c r="G1306" s="3"/>
      <c r="H1306" s="16" t="s">
        <v>2843</v>
      </c>
    </row>
    <row r="1307" spans="1:10">
      <c r="A1307" s="16" t="s">
        <v>3249</v>
      </c>
      <c r="B1307" s="2">
        <v>257000</v>
      </c>
      <c r="C1307" s="2">
        <f>0.0175*B1307</f>
        <v>4497.5</v>
      </c>
      <c r="D1307" s="44">
        <v>45580</v>
      </c>
      <c r="E1307" s="3" t="s">
        <v>24</v>
      </c>
      <c r="F1307" s="3" t="s">
        <v>28</v>
      </c>
      <c r="G1307" s="3"/>
      <c r="H1307" s="16" t="s">
        <v>2647</v>
      </c>
      <c r="I1307" s="21" t="s">
        <v>30</v>
      </c>
    </row>
    <row r="1308" spans="1:10">
      <c r="A1308" s="16" t="s">
        <v>3250</v>
      </c>
      <c r="B1308" s="2">
        <v>85000</v>
      </c>
      <c r="C1308" s="2">
        <f>0.0125*B1308</f>
        <v>1062.5</v>
      </c>
      <c r="D1308" s="44">
        <v>45580</v>
      </c>
      <c r="E1308" s="3" t="s">
        <v>11</v>
      </c>
      <c r="F1308" s="3" t="s">
        <v>12</v>
      </c>
      <c r="G1308" s="3"/>
    </row>
    <row r="1309" spans="1:10">
      <c r="A1309" s="16" t="s">
        <v>3251</v>
      </c>
      <c r="B1309" s="2">
        <v>300000</v>
      </c>
      <c r="C1309" s="2">
        <f>0.0175*B1309</f>
        <v>5250.0000000000009</v>
      </c>
      <c r="D1309" s="44">
        <v>45580</v>
      </c>
      <c r="E1309" s="3" t="s">
        <v>11</v>
      </c>
      <c r="F1309" s="3" t="s">
        <v>28</v>
      </c>
      <c r="G1309" s="3"/>
    </row>
    <row r="1310" spans="1:10">
      <c r="A1310" s="16" t="s">
        <v>3252</v>
      </c>
      <c r="B1310" s="2">
        <v>300000</v>
      </c>
      <c r="C1310" s="2">
        <f t="shared" ref="C1310:C1312" si="271">0.0125*B1310</f>
        <v>3750</v>
      </c>
      <c r="D1310" s="44">
        <v>45580</v>
      </c>
      <c r="E1310" s="3" t="s">
        <v>11</v>
      </c>
      <c r="F1310" s="3" t="s">
        <v>12</v>
      </c>
      <c r="G1310" s="3"/>
    </row>
    <row r="1311" spans="1:10">
      <c r="A1311" s="16" t="s">
        <v>1239</v>
      </c>
      <c r="B1311" s="2">
        <v>400000</v>
      </c>
      <c r="C1311" s="2">
        <f t="shared" si="271"/>
        <v>5000</v>
      </c>
      <c r="D1311" s="44">
        <v>45580</v>
      </c>
      <c r="E1311" s="3" t="s">
        <v>11</v>
      </c>
      <c r="F1311" s="3" t="s">
        <v>12</v>
      </c>
      <c r="G1311" s="3"/>
    </row>
    <row r="1312" spans="1:10">
      <c r="A1312" s="16" t="s">
        <v>3253</v>
      </c>
      <c r="B1312" s="2">
        <v>60000</v>
      </c>
      <c r="C1312" s="2">
        <f t="shared" si="271"/>
        <v>750</v>
      </c>
      <c r="D1312" s="44">
        <v>45580</v>
      </c>
      <c r="E1312" s="3" t="s">
        <v>15</v>
      </c>
      <c r="F1312" s="3" t="s">
        <v>12</v>
      </c>
      <c r="G1312" s="3"/>
      <c r="H1312" s="16" t="s">
        <v>282</v>
      </c>
      <c r="J1312" s="16">
        <v>60</v>
      </c>
    </row>
    <row r="1313" spans="1:10">
      <c r="A1313" s="16" t="s">
        <v>3254</v>
      </c>
      <c r="B1313" s="2">
        <v>75000</v>
      </c>
      <c r="C1313" s="2">
        <f>0.0175*B1313</f>
        <v>1312.5000000000002</v>
      </c>
      <c r="D1313" s="44">
        <v>45580</v>
      </c>
      <c r="E1313" s="3" t="s">
        <v>15</v>
      </c>
      <c r="F1313" s="3" t="s">
        <v>28</v>
      </c>
      <c r="G1313" s="3"/>
      <c r="H1313" s="16" t="s">
        <v>35</v>
      </c>
      <c r="I1313" s="21" t="s">
        <v>30</v>
      </c>
      <c r="J1313" s="16">
        <v>150</v>
      </c>
    </row>
    <row r="1314" spans="1:10">
      <c r="A1314" s="16" t="s">
        <v>2345</v>
      </c>
      <c r="B1314" s="2">
        <v>360000</v>
      </c>
      <c r="C1314" s="2">
        <f t="shared" ref="C1314:C1317" si="272">0.0125*B1314</f>
        <v>4500</v>
      </c>
      <c r="D1314" s="44">
        <v>45580</v>
      </c>
      <c r="E1314" s="3" t="s">
        <v>2346</v>
      </c>
      <c r="F1314" s="3" t="s">
        <v>12</v>
      </c>
      <c r="G1314" s="3"/>
      <c r="H1314" s="16" t="s">
        <v>22</v>
      </c>
    </row>
    <row r="1315" spans="1:10">
      <c r="A1315" s="16" t="s">
        <v>450</v>
      </c>
      <c r="B1315" s="2">
        <v>900000</v>
      </c>
      <c r="C1315" s="2">
        <f t="shared" si="272"/>
        <v>11250</v>
      </c>
      <c r="D1315" s="44">
        <v>45580</v>
      </c>
      <c r="E1315" s="3" t="s">
        <v>24</v>
      </c>
      <c r="F1315" s="3" t="s">
        <v>12</v>
      </c>
      <c r="G1315" s="3"/>
      <c r="H1315" s="16" t="s">
        <v>2843</v>
      </c>
    </row>
    <row r="1316" spans="1:10">
      <c r="A1316" s="16" t="s">
        <v>3255</v>
      </c>
      <c r="B1316" s="2">
        <v>16500</v>
      </c>
      <c r="C1316" s="2">
        <f t="shared" si="272"/>
        <v>206.25</v>
      </c>
      <c r="D1316" s="44">
        <v>45581</v>
      </c>
      <c r="E1316" s="34" t="s">
        <v>15</v>
      </c>
      <c r="F1316" s="3" t="s">
        <v>12</v>
      </c>
      <c r="G1316" s="3"/>
      <c r="H1316" s="16" t="s">
        <v>3256</v>
      </c>
      <c r="J1316" s="16">
        <v>0</v>
      </c>
    </row>
    <row r="1317" spans="1:10">
      <c r="A1317" s="16" t="s">
        <v>2838</v>
      </c>
      <c r="B1317" s="2">
        <v>60000</v>
      </c>
      <c r="C1317" s="2">
        <f t="shared" si="272"/>
        <v>750</v>
      </c>
      <c r="D1317" s="44">
        <v>45581</v>
      </c>
      <c r="E1317" s="34" t="s">
        <v>15</v>
      </c>
      <c r="F1317" s="3" t="s">
        <v>12</v>
      </c>
      <c r="G1317" s="3"/>
      <c r="H1317" s="16" t="s">
        <v>54</v>
      </c>
      <c r="J1317" s="16">
        <v>360</v>
      </c>
    </row>
    <row r="1318" spans="1:10">
      <c r="A1318" s="16" t="s">
        <v>3257</v>
      </c>
      <c r="B1318" s="2">
        <v>150000</v>
      </c>
      <c r="C1318" s="2">
        <f t="shared" ref="C1318:C1320" si="273">0.0175*B1318</f>
        <v>2625.0000000000005</v>
      </c>
      <c r="D1318" s="44">
        <v>45581</v>
      </c>
      <c r="E1318" s="3" t="s">
        <v>24</v>
      </c>
      <c r="F1318" s="3" t="s">
        <v>28</v>
      </c>
      <c r="G1318" s="3"/>
      <c r="H1318" s="16" t="s">
        <v>2647</v>
      </c>
      <c r="I1318" s="21" t="s">
        <v>30</v>
      </c>
    </row>
    <row r="1319" spans="1:10">
      <c r="A1319" s="16" t="s">
        <v>3258</v>
      </c>
      <c r="B1319" s="2">
        <v>300000</v>
      </c>
      <c r="C1319" s="2">
        <f t="shared" si="273"/>
        <v>5250.0000000000009</v>
      </c>
      <c r="D1319" s="44">
        <v>45581</v>
      </c>
      <c r="E1319" s="34" t="s">
        <v>15</v>
      </c>
      <c r="F1319" s="3" t="s">
        <v>28</v>
      </c>
      <c r="G1319" s="3"/>
      <c r="H1319" s="16" t="s">
        <v>98</v>
      </c>
      <c r="I1319" s="23"/>
      <c r="J1319" s="16">
        <v>900</v>
      </c>
    </row>
    <row r="1320" spans="1:10">
      <c r="A1320" s="16" t="s">
        <v>3259</v>
      </c>
      <c r="B1320" s="2">
        <v>50000</v>
      </c>
      <c r="C1320" s="2">
        <f t="shared" si="273"/>
        <v>875.00000000000011</v>
      </c>
      <c r="D1320" s="44">
        <v>45581</v>
      </c>
      <c r="E1320" s="3" t="s">
        <v>11</v>
      </c>
      <c r="F1320" s="3" t="s">
        <v>28</v>
      </c>
      <c r="G1320" s="3"/>
      <c r="I1320" s="21" t="s">
        <v>30</v>
      </c>
    </row>
    <row r="1321" spans="1:10">
      <c r="A1321" s="16" t="s">
        <v>3260</v>
      </c>
      <c r="B1321" s="2">
        <v>170000</v>
      </c>
      <c r="C1321" s="2">
        <f t="shared" ref="C1321:C1325" si="274">0.0125*B1321</f>
        <v>2125</v>
      </c>
      <c r="D1321" s="44">
        <v>45581</v>
      </c>
      <c r="E1321" s="3" t="s">
        <v>11</v>
      </c>
      <c r="F1321" s="3" t="s">
        <v>12</v>
      </c>
      <c r="G1321" s="3"/>
    </row>
    <row r="1322" spans="1:10">
      <c r="A1322" s="16" t="s">
        <v>921</v>
      </c>
      <c r="B1322" s="2">
        <v>300000</v>
      </c>
      <c r="C1322" s="2">
        <f t="shared" si="274"/>
        <v>3750</v>
      </c>
      <c r="D1322" s="44">
        <v>45581</v>
      </c>
      <c r="E1322" s="3" t="s">
        <v>75</v>
      </c>
      <c r="F1322" s="3" t="s">
        <v>12</v>
      </c>
      <c r="G1322" s="3"/>
    </row>
    <row r="1323" spans="1:10">
      <c r="A1323" s="16" t="s">
        <v>38</v>
      </c>
      <c r="B1323" s="2">
        <v>100000</v>
      </c>
      <c r="C1323" s="2">
        <f t="shared" si="274"/>
        <v>1250</v>
      </c>
      <c r="D1323" s="44">
        <v>45582</v>
      </c>
      <c r="E1323" s="3" t="s">
        <v>21</v>
      </c>
      <c r="F1323" s="3" t="s">
        <v>12</v>
      </c>
      <c r="G1323" s="3"/>
      <c r="H1323" s="16" t="s">
        <v>22</v>
      </c>
    </row>
    <row r="1324" spans="1:10">
      <c r="A1324" s="16" t="s">
        <v>2448</v>
      </c>
      <c r="B1324" s="2">
        <v>40000</v>
      </c>
      <c r="C1324" s="2">
        <f t="shared" si="274"/>
        <v>500</v>
      </c>
      <c r="D1324" s="44">
        <v>45582</v>
      </c>
      <c r="E1324" s="3" t="s">
        <v>11</v>
      </c>
      <c r="F1324" s="3" t="s">
        <v>12</v>
      </c>
      <c r="G1324" s="3"/>
    </row>
    <row r="1325" spans="1:10">
      <c r="A1325" s="16" t="s">
        <v>723</v>
      </c>
      <c r="B1325" s="2">
        <v>26000</v>
      </c>
      <c r="C1325" s="2">
        <f t="shared" si="274"/>
        <v>325</v>
      </c>
      <c r="D1325" s="44">
        <v>45582</v>
      </c>
      <c r="E1325" s="34" t="s">
        <v>15</v>
      </c>
      <c r="F1325" s="3" t="s">
        <v>12</v>
      </c>
      <c r="G1325" s="3"/>
      <c r="H1325" s="16" t="s">
        <v>51</v>
      </c>
      <c r="J1325" s="16">
        <v>130</v>
      </c>
    </row>
    <row r="1326" spans="1:10">
      <c r="A1326" s="16" t="s">
        <v>3261</v>
      </c>
      <c r="B1326" s="2">
        <v>100000</v>
      </c>
      <c r="C1326" s="2">
        <f t="shared" ref="C1326:C1330" si="275">0.0175*B1326</f>
        <v>1750.0000000000002</v>
      </c>
      <c r="D1326" s="44">
        <v>45582</v>
      </c>
      <c r="E1326" s="3" t="s">
        <v>60</v>
      </c>
      <c r="F1326" s="3" t="s">
        <v>28</v>
      </c>
      <c r="G1326" s="3"/>
      <c r="I1326" s="21" t="s">
        <v>30</v>
      </c>
    </row>
    <row r="1327" spans="1:10">
      <c r="A1327" s="16" t="s">
        <v>3262</v>
      </c>
      <c r="B1327" s="2">
        <v>130000</v>
      </c>
      <c r="C1327" s="2">
        <f t="shared" si="275"/>
        <v>2275</v>
      </c>
      <c r="D1327" s="44">
        <v>45582</v>
      </c>
      <c r="E1327" s="3" t="s">
        <v>60</v>
      </c>
      <c r="F1327" s="3" t="s">
        <v>28</v>
      </c>
      <c r="G1327" s="3"/>
      <c r="I1327" s="21" t="s">
        <v>30</v>
      </c>
    </row>
    <row r="1328" spans="1:10">
      <c r="A1328" s="16" t="s">
        <v>3263</v>
      </c>
      <c r="B1328" s="2">
        <v>65000</v>
      </c>
      <c r="C1328" s="2">
        <f t="shared" si="275"/>
        <v>1137.5</v>
      </c>
      <c r="D1328" s="44">
        <v>45582</v>
      </c>
      <c r="E1328" s="3" t="s">
        <v>60</v>
      </c>
      <c r="F1328" s="3" t="s">
        <v>28</v>
      </c>
      <c r="G1328" s="3"/>
      <c r="I1328" s="21" t="s">
        <v>30</v>
      </c>
    </row>
    <row r="1329" spans="1:10">
      <c r="A1329" s="16" t="s">
        <v>3264</v>
      </c>
      <c r="B1329" s="2">
        <v>150000</v>
      </c>
      <c r="C1329" s="2">
        <f t="shared" si="275"/>
        <v>2625.0000000000005</v>
      </c>
      <c r="D1329" s="44">
        <v>45583</v>
      </c>
      <c r="E1329" s="34" t="s">
        <v>15</v>
      </c>
      <c r="F1329" s="3" t="s">
        <v>28</v>
      </c>
      <c r="G1329" s="3"/>
      <c r="H1329" s="16" t="s">
        <v>16</v>
      </c>
      <c r="J1329" s="16">
        <v>600</v>
      </c>
    </row>
    <row r="1330" spans="1:10">
      <c r="A1330" s="16" t="s">
        <v>3265</v>
      </c>
      <c r="B1330" s="2">
        <v>100000</v>
      </c>
      <c r="C1330" s="2">
        <f t="shared" si="275"/>
        <v>1750.0000000000002</v>
      </c>
      <c r="D1330" s="44">
        <v>45583</v>
      </c>
      <c r="E1330" s="3" t="s">
        <v>3248</v>
      </c>
      <c r="F1330" s="3" t="s">
        <v>28</v>
      </c>
      <c r="G1330" s="3"/>
    </row>
    <row r="1331" spans="1:10">
      <c r="A1331" s="16" t="s">
        <v>3164</v>
      </c>
      <c r="B1331" s="2">
        <v>280000</v>
      </c>
      <c r="C1331" s="2">
        <f t="shared" ref="C1331:C1332" si="276">0.0125*B1331</f>
        <v>3500</v>
      </c>
      <c r="D1331" s="44">
        <v>45583</v>
      </c>
      <c r="E1331" s="34" t="s">
        <v>15</v>
      </c>
      <c r="F1331" s="3" t="s">
        <v>12</v>
      </c>
      <c r="G1331" s="3"/>
      <c r="H1331" s="16" t="s">
        <v>16</v>
      </c>
      <c r="J1331" s="16">
        <v>1120</v>
      </c>
    </row>
    <row r="1332" spans="1:10">
      <c r="A1332" s="16" t="s">
        <v>3147</v>
      </c>
      <c r="B1332" s="2">
        <v>300000</v>
      </c>
      <c r="C1332" s="2">
        <f t="shared" si="276"/>
        <v>3750</v>
      </c>
      <c r="D1332" s="44">
        <v>45583</v>
      </c>
      <c r="E1332" s="3" t="s">
        <v>24</v>
      </c>
      <c r="F1332" s="3" t="s">
        <v>12</v>
      </c>
      <c r="G1332" s="3"/>
      <c r="H1332" s="16" t="s">
        <v>2843</v>
      </c>
    </row>
    <row r="1333" spans="1:10">
      <c r="A1333" s="16" t="s">
        <v>3266</v>
      </c>
      <c r="B1333" s="2">
        <v>30000</v>
      </c>
      <c r="C1333" s="2">
        <f>0.0175*B1333</f>
        <v>525</v>
      </c>
      <c r="D1333" s="44">
        <v>45583</v>
      </c>
      <c r="E1333" s="3" t="s">
        <v>11</v>
      </c>
      <c r="F1333" s="3" t="s">
        <v>28</v>
      </c>
      <c r="G1333" s="3"/>
      <c r="I1333" s="21" t="s">
        <v>30</v>
      </c>
    </row>
    <row r="1334" spans="1:10">
      <c r="A1334" s="16" t="s">
        <v>1356</v>
      </c>
      <c r="B1334" s="2">
        <v>200000</v>
      </c>
      <c r="C1334" s="2">
        <f>0.0125*B1334</f>
        <v>2500</v>
      </c>
      <c r="D1334" s="44">
        <v>45583</v>
      </c>
      <c r="E1334" s="3" t="s">
        <v>24</v>
      </c>
      <c r="F1334" s="3" t="s">
        <v>12</v>
      </c>
      <c r="G1334" s="3"/>
      <c r="H1334" s="16" t="s">
        <v>2843</v>
      </c>
    </row>
    <row r="1335" spans="1:10">
      <c r="A1335" s="16" t="s">
        <v>3267</v>
      </c>
      <c r="B1335" s="2">
        <v>150000</v>
      </c>
      <c r="C1335" s="2">
        <f t="shared" ref="C1335:C1336" si="277">0.0175*B1335</f>
        <v>2625.0000000000005</v>
      </c>
      <c r="D1335" s="44">
        <v>45586</v>
      </c>
      <c r="E1335" s="3" t="s">
        <v>11</v>
      </c>
      <c r="F1335" s="3" t="s">
        <v>28</v>
      </c>
      <c r="G1335" s="3"/>
      <c r="I1335" s="21" t="s">
        <v>30</v>
      </c>
    </row>
    <row r="1336" spans="1:10">
      <c r="A1336" s="16" t="s">
        <v>3268</v>
      </c>
      <c r="B1336" s="2">
        <v>35000</v>
      </c>
      <c r="C1336" s="2">
        <f t="shared" si="277"/>
        <v>612.50000000000011</v>
      </c>
      <c r="D1336" s="44">
        <v>45586</v>
      </c>
      <c r="E1336" s="3" t="s">
        <v>11</v>
      </c>
      <c r="F1336" s="3" t="s">
        <v>28</v>
      </c>
      <c r="G1336" s="3"/>
      <c r="I1336" s="21" t="s">
        <v>30</v>
      </c>
    </row>
    <row r="1337" spans="1:10">
      <c r="A1337" s="16" t="s">
        <v>3269</v>
      </c>
      <c r="B1337" s="2">
        <v>17500</v>
      </c>
      <c r="C1337" s="2">
        <f t="shared" ref="C1337:C1338" si="278">0.0125*B1337</f>
        <v>218.75</v>
      </c>
      <c r="D1337" s="44">
        <v>45586</v>
      </c>
      <c r="E1337" s="3" t="s">
        <v>11</v>
      </c>
      <c r="F1337" s="3" t="s">
        <v>12</v>
      </c>
      <c r="G1337" s="3"/>
    </row>
    <row r="1338" spans="1:10">
      <c r="A1338" s="16" t="s">
        <v>93</v>
      </c>
      <c r="B1338" s="2">
        <v>400000</v>
      </c>
      <c r="C1338" s="2">
        <f t="shared" si="278"/>
        <v>5000</v>
      </c>
      <c r="D1338" s="44">
        <v>45587</v>
      </c>
      <c r="E1338" s="3" t="s">
        <v>11</v>
      </c>
      <c r="F1338" s="3" t="s">
        <v>12</v>
      </c>
      <c r="G1338" s="3"/>
    </row>
    <row r="1339" spans="1:10">
      <c r="A1339" s="16" t="s">
        <v>3270</v>
      </c>
      <c r="B1339" s="2">
        <v>50000</v>
      </c>
      <c r="C1339" s="2">
        <f>0.0175*B1339</f>
        <v>875.00000000000011</v>
      </c>
      <c r="D1339" s="44">
        <v>45587</v>
      </c>
      <c r="E1339" s="3" t="s">
        <v>11</v>
      </c>
      <c r="F1339" s="3" t="s">
        <v>28</v>
      </c>
      <c r="G1339" s="3"/>
    </row>
    <row r="1340" spans="1:10">
      <c r="A1340" s="16" t="s">
        <v>3271</v>
      </c>
      <c r="B1340" s="2">
        <v>600000</v>
      </c>
      <c r="C1340" s="2">
        <f>0.0125*B1340</f>
        <v>7500</v>
      </c>
      <c r="D1340" s="44">
        <v>45587</v>
      </c>
      <c r="E1340" s="3" t="s">
        <v>24</v>
      </c>
      <c r="F1340" s="3" t="s">
        <v>12</v>
      </c>
      <c r="G1340" s="3"/>
      <c r="H1340" s="16" t="s">
        <v>2843</v>
      </c>
    </row>
    <row r="1341" spans="1:10">
      <c r="A1341" s="16" t="s">
        <v>3272</v>
      </c>
      <c r="B1341" s="2">
        <v>2000000</v>
      </c>
      <c r="C1341" s="2">
        <f t="shared" ref="C1341:C1342" si="279">0.0175*B1341</f>
        <v>35000</v>
      </c>
      <c r="D1341" s="44">
        <v>45587</v>
      </c>
      <c r="E1341" s="3" t="s">
        <v>21</v>
      </c>
      <c r="F1341" s="3" t="s">
        <v>41</v>
      </c>
      <c r="G1341" s="3"/>
      <c r="H1341" s="16" t="s">
        <v>13</v>
      </c>
    </row>
    <row r="1342" spans="1:10">
      <c r="A1342" s="16" t="s">
        <v>3273</v>
      </c>
      <c r="B1342" s="2">
        <v>400000</v>
      </c>
      <c r="C1342" s="2">
        <f t="shared" si="279"/>
        <v>7000.0000000000009</v>
      </c>
      <c r="D1342" s="44">
        <v>45587</v>
      </c>
      <c r="E1342" s="3" t="s">
        <v>11</v>
      </c>
      <c r="F1342" s="3" t="s">
        <v>28</v>
      </c>
      <c r="G1342" s="3"/>
      <c r="I1342" s="21" t="s">
        <v>30</v>
      </c>
    </row>
    <row r="1343" spans="1:10">
      <c r="A1343" s="16" t="s">
        <v>3274</v>
      </c>
      <c r="B1343" s="2">
        <v>140000</v>
      </c>
      <c r="C1343" s="2">
        <f>0.0125*B1343</f>
        <v>1750</v>
      </c>
      <c r="D1343" s="44">
        <v>45588</v>
      </c>
      <c r="E1343" s="34" t="s">
        <v>15</v>
      </c>
      <c r="F1343" s="3" t="s">
        <v>12</v>
      </c>
      <c r="G1343" s="3"/>
      <c r="H1343" s="16" t="s">
        <v>35</v>
      </c>
      <c r="J1343" s="16">
        <v>280</v>
      </c>
    </row>
    <row r="1344" spans="1:10">
      <c r="A1344" s="16" t="s">
        <v>3275</v>
      </c>
      <c r="B1344" s="17">
        <v>60000</v>
      </c>
      <c r="C1344" s="2">
        <f>0.0175*B1344</f>
        <v>1050</v>
      </c>
      <c r="D1344" s="44">
        <v>45588</v>
      </c>
      <c r="E1344" s="3" t="s">
        <v>60</v>
      </c>
      <c r="F1344" s="3" t="s">
        <v>28</v>
      </c>
      <c r="G1344" s="3"/>
      <c r="I1344" s="21" t="s">
        <v>30</v>
      </c>
    </row>
    <row r="1345" spans="1:10">
      <c r="A1345" s="16" t="s">
        <v>3276</v>
      </c>
      <c r="B1345" s="17">
        <v>90000</v>
      </c>
      <c r="C1345" s="2">
        <f>0.0125*B1345</f>
        <v>1125</v>
      </c>
      <c r="D1345" s="44">
        <v>45588</v>
      </c>
      <c r="E1345" s="3" t="s">
        <v>24</v>
      </c>
      <c r="F1345" s="3" t="s">
        <v>12</v>
      </c>
      <c r="G1345" s="3"/>
      <c r="H1345" s="16" t="s">
        <v>2843</v>
      </c>
    </row>
    <row r="1346" spans="1:10">
      <c r="A1346" s="16" t="s">
        <v>3277</v>
      </c>
      <c r="B1346" s="17">
        <v>300000</v>
      </c>
      <c r="C1346" s="2">
        <f t="shared" ref="C1346:C1347" si="280">0.0175*B1346</f>
        <v>5250.0000000000009</v>
      </c>
      <c r="D1346" s="44">
        <v>45588</v>
      </c>
      <c r="E1346" s="3" t="s">
        <v>11</v>
      </c>
      <c r="F1346" s="3" t="s">
        <v>28</v>
      </c>
      <c r="G1346" s="3"/>
      <c r="I1346" s="21" t="s">
        <v>30</v>
      </c>
    </row>
    <row r="1347" spans="1:10">
      <c r="A1347" s="16" t="s">
        <v>3278</v>
      </c>
      <c r="B1347" s="2">
        <v>150000</v>
      </c>
      <c r="C1347" s="2">
        <f t="shared" si="280"/>
        <v>2625.0000000000005</v>
      </c>
      <c r="D1347" s="44">
        <v>45588</v>
      </c>
      <c r="E1347" s="3" t="s">
        <v>24</v>
      </c>
      <c r="F1347" s="3" t="s">
        <v>28</v>
      </c>
      <c r="G1347" s="3"/>
      <c r="H1347" s="16" t="s">
        <v>2647</v>
      </c>
      <c r="I1347" s="21" t="s">
        <v>30</v>
      </c>
    </row>
    <row r="1348" spans="1:10">
      <c r="A1348" s="16" t="s">
        <v>3279</v>
      </c>
      <c r="B1348" s="2">
        <v>200000</v>
      </c>
      <c r="C1348" s="2">
        <f>0.0125*B1348</f>
        <v>2500</v>
      </c>
      <c r="D1348" s="44">
        <v>45589</v>
      </c>
      <c r="E1348" s="3" t="s">
        <v>60</v>
      </c>
      <c r="F1348" s="3" t="s">
        <v>12</v>
      </c>
      <c r="G1348" s="3"/>
    </row>
    <row r="1349" spans="1:10">
      <c r="A1349" s="16" t="s">
        <v>3280</v>
      </c>
      <c r="B1349" s="2">
        <v>300000</v>
      </c>
      <c r="C1349" s="2">
        <f t="shared" ref="C1349:C1351" si="281">0.0175*B1349</f>
        <v>5250.0000000000009</v>
      </c>
      <c r="D1349" s="44">
        <v>45589</v>
      </c>
      <c r="E1349" s="3" t="s">
        <v>60</v>
      </c>
      <c r="F1349" s="3" t="s">
        <v>28</v>
      </c>
      <c r="G1349" s="3"/>
      <c r="I1349" s="21" t="s">
        <v>30</v>
      </c>
    </row>
    <row r="1350" spans="1:10">
      <c r="A1350" s="16" t="s">
        <v>3281</v>
      </c>
      <c r="B1350" s="2">
        <v>500000</v>
      </c>
      <c r="C1350" s="2">
        <f t="shared" si="281"/>
        <v>8750</v>
      </c>
      <c r="D1350" s="44">
        <v>45589</v>
      </c>
      <c r="E1350" s="3" t="s">
        <v>60</v>
      </c>
      <c r="F1350" s="3" t="s">
        <v>28</v>
      </c>
      <c r="G1350" s="3"/>
      <c r="I1350" s="21" t="s">
        <v>30</v>
      </c>
    </row>
    <row r="1351" spans="1:10">
      <c r="A1351" s="16" t="s">
        <v>3282</v>
      </c>
      <c r="B1351" s="2">
        <v>280000</v>
      </c>
      <c r="C1351" s="2">
        <f t="shared" si="281"/>
        <v>4900.0000000000009</v>
      </c>
      <c r="D1351" s="44">
        <v>45590</v>
      </c>
      <c r="E1351" s="3" t="s">
        <v>11</v>
      </c>
      <c r="F1351" s="3" t="s">
        <v>28</v>
      </c>
      <c r="G1351" s="3"/>
      <c r="I1351" s="21" t="s">
        <v>30</v>
      </c>
    </row>
    <row r="1352" spans="1:10">
      <c r="A1352" s="16" t="s">
        <v>3283</v>
      </c>
      <c r="B1352" s="2">
        <v>100000</v>
      </c>
      <c r="C1352" s="2">
        <f>0.0125*B1352</f>
        <v>1250</v>
      </c>
      <c r="D1352" s="44">
        <v>45590</v>
      </c>
      <c r="E1352" s="3" t="s">
        <v>147</v>
      </c>
      <c r="F1352" s="3" t="s">
        <v>12</v>
      </c>
      <c r="G1352" s="3"/>
    </row>
    <row r="1353" spans="1:10">
      <c r="A1353" s="16" t="s">
        <v>3284</v>
      </c>
      <c r="B1353" s="2">
        <v>200000</v>
      </c>
      <c r="C1353" s="2">
        <f t="shared" ref="C1353:C1354" si="282">0.0175*B1353</f>
        <v>3500.0000000000005</v>
      </c>
      <c r="D1353" s="44">
        <v>45590</v>
      </c>
      <c r="E1353" s="3" t="s">
        <v>147</v>
      </c>
      <c r="F1353" s="3" t="s">
        <v>28</v>
      </c>
      <c r="G1353" s="3"/>
      <c r="I1353" s="21" t="s">
        <v>30</v>
      </c>
    </row>
    <row r="1354" spans="1:10">
      <c r="A1354" s="16" t="s">
        <v>3285</v>
      </c>
      <c r="B1354" s="17">
        <v>150000</v>
      </c>
      <c r="C1354" s="2">
        <f t="shared" si="282"/>
        <v>2625.0000000000005</v>
      </c>
      <c r="D1354" s="44">
        <v>45590</v>
      </c>
      <c r="E1354" s="3" t="s">
        <v>11</v>
      </c>
      <c r="F1354" s="3" t="s">
        <v>41</v>
      </c>
      <c r="G1354" s="3"/>
      <c r="I1354" s="21" t="s">
        <v>30</v>
      </c>
    </row>
    <row r="1355" spans="1:10">
      <c r="A1355" s="16" t="s">
        <v>3286</v>
      </c>
      <c r="B1355" s="17">
        <v>105000</v>
      </c>
      <c r="C1355" s="2">
        <f t="shared" ref="C1355:C1356" si="283">0.0125*B1355</f>
        <v>1312.5</v>
      </c>
      <c r="D1355" s="44">
        <v>45590</v>
      </c>
      <c r="E1355" s="3" t="s">
        <v>11</v>
      </c>
      <c r="F1355" s="3" t="s">
        <v>12</v>
      </c>
      <c r="G1355" s="3"/>
    </row>
    <row r="1356" spans="1:10">
      <c r="A1356" s="16" t="s">
        <v>3287</v>
      </c>
      <c r="B1356" s="2">
        <v>660000</v>
      </c>
      <c r="C1356" s="2">
        <f t="shared" si="283"/>
        <v>8250</v>
      </c>
      <c r="D1356" s="44">
        <v>45593</v>
      </c>
      <c r="E1356" s="3" t="s">
        <v>21</v>
      </c>
      <c r="F1356" s="3" t="s">
        <v>12</v>
      </c>
      <c r="G1356" s="3"/>
      <c r="H1356" s="16" t="s">
        <v>22</v>
      </c>
    </row>
    <row r="1357" spans="1:10">
      <c r="A1357" s="16" t="s">
        <v>3288</v>
      </c>
      <c r="B1357" s="2">
        <v>100000</v>
      </c>
      <c r="C1357" s="2">
        <f t="shared" ref="C1357:C1359" si="284">0.0175*B1357</f>
        <v>1750.0000000000002</v>
      </c>
      <c r="D1357" s="44">
        <v>45593</v>
      </c>
      <c r="E1357" s="3" t="s">
        <v>11</v>
      </c>
      <c r="F1357" s="3" t="s">
        <v>28</v>
      </c>
      <c r="G1357" s="3"/>
      <c r="I1357" s="21" t="s">
        <v>30</v>
      </c>
    </row>
    <row r="1358" spans="1:10">
      <c r="A1358" s="16" t="s">
        <v>66</v>
      </c>
      <c r="B1358" s="2">
        <v>200000</v>
      </c>
      <c r="C1358" s="2">
        <f t="shared" si="284"/>
        <v>3500.0000000000005</v>
      </c>
      <c r="D1358" s="44">
        <v>45593</v>
      </c>
      <c r="E1358" s="3" t="s">
        <v>11</v>
      </c>
      <c r="F1358" s="3" t="s">
        <v>28</v>
      </c>
      <c r="G1358" s="3"/>
      <c r="I1358" s="21" t="s">
        <v>30</v>
      </c>
    </row>
    <row r="1359" spans="1:10">
      <c r="A1359" s="16" t="s">
        <v>3289</v>
      </c>
      <c r="B1359" s="2">
        <v>175000</v>
      </c>
      <c r="C1359" s="2">
        <f t="shared" si="284"/>
        <v>3062.5000000000005</v>
      </c>
      <c r="D1359" s="44">
        <v>45594</v>
      </c>
      <c r="E1359" s="34" t="s">
        <v>15</v>
      </c>
      <c r="F1359" s="3" t="s">
        <v>28</v>
      </c>
      <c r="G1359" s="3"/>
      <c r="H1359" s="16" t="s">
        <v>54</v>
      </c>
      <c r="I1359" s="21" t="s">
        <v>30</v>
      </c>
      <c r="J1359" s="16">
        <v>1050</v>
      </c>
    </row>
    <row r="1360" spans="1:10">
      <c r="A1360" s="16" t="s">
        <v>3290</v>
      </c>
      <c r="B1360" s="2">
        <v>1000000</v>
      </c>
      <c r="C1360" s="2">
        <f>0.0125*B1360</f>
        <v>12500</v>
      </c>
      <c r="D1360" s="44">
        <v>45594</v>
      </c>
      <c r="E1360" s="3" t="s">
        <v>40</v>
      </c>
      <c r="F1360" s="3" t="s">
        <v>12</v>
      </c>
      <c r="G1360" s="3"/>
      <c r="H1360" s="16" t="s">
        <v>22</v>
      </c>
    </row>
    <row r="1361" spans="1:10">
      <c r="A1361" s="16" t="s">
        <v>3291</v>
      </c>
      <c r="B1361" s="2">
        <v>250000</v>
      </c>
      <c r="C1361" s="2">
        <f>0.0175*B1361</f>
        <v>4375</v>
      </c>
      <c r="D1361" s="44">
        <v>45594</v>
      </c>
      <c r="E1361" s="34" t="s">
        <v>15</v>
      </c>
      <c r="F1361" s="3" t="s">
        <v>28</v>
      </c>
      <c r="G1361" s="3"/>
      <c r="H1361" s="16" t="s">
        <v>149</v>
      </c>
      <c r="I1361" s="21" t="s">
        <v>30</v>
      </c>
      <c r="J1361" s="16">
        <v>625</v>
      </c>
    </row>
    <row r="1362" spans="1:10">
      <c r="A1362" s="16" t="s">
        <v>3292</v>
      </c>
      <c r="B1362" s="2">
        <v>300000</v>
      </c>
      <c r="C1362" s="2">
        <f>0.0125*B1362</f>
        <v>3750</v>
      </c>
      <c r="D1362" s="44">
        <v>45594</v>
      </c>
      <c r="E1362" s="3" t="s">
        <v>21</v>
      </c>
      <c r="F1362" s="3" t="s">
        <v>12</v>
      </c>
      <c r="G1362" s="3"/>
      <c r="H1362" s="16" t="s">
        <v>22</v>
      </c>
    </row>
    <row r="1363" spans="1:10">
      <c r="A1363" s="16" t="s">
        <v>3293</v>
      </c>
      <c r="B1363" s="2">
        <v>55000</v>
      </c>
      <c r="C1363" s="2">
        <f t="shared" ref="C1363:C1364" si="285">0.0175*B1363</f>
        <v>962.50000000000011</v>
      </c>
      <c r="D1363" s="44">
        <v>45594</v>
      </c>
      <c r="E1363" s="3" t="s">
        <v>21</v>
      </c>
      <c r="F1363" s="3" t="s">
        <v>28</v>
      </c>
      <c r="G1363" s="3"/>
      <c r="H1363" s="16" t="s">
        <v>13</v>
      </c>
      <c r="I1363" s="21" t="s">
        <v>30</v>
      </c>
    </row>
    <row r="1364" spans="1:10">
      <c r="A1364" s="16" t="s">
        <v>3294</v>
      </c>
      <c r="B1364" s="2">
        <v>325000</v>
      </c>
      <c r="C1364" s="2">
        <f t="shared" si="285"/>
        <v>5687.5000000000009</v>
      </c>
      <c r="D1364" s="44">
        <v>45594</v>
      </c>
      <c r="E1364" s="3" t="s">
        <v>135</v>
      </c>
      <c r="F1364" s="3" t="s">
        <v>28</v>
      </c>
      <c r="G1364" s="3"/>
      <c r="H1364" s="16" t="s">
        <v>13</v>
      </c>
      <c r="I1364" s="21" t="s">
        <v>30</v>
      </c>
    </row>
    <row r="1365" spans="1:10">
      <c r="A1365" s="16" t="s">
        <v>3295</v>
      </c>
      <c r="B1365" s="2">
        <v>54000</v>
      </c>
      <c r="C1365" s="2">
        <f>0.0125*B1365</f>
        <v>675</v>
      </c>
      <c r="D1365" s="44">
        <v>45594</v>
      </c>
      <c r="E1365" s="34" t="s">
        <v>15</v>
      </c>
      <c r="F1365" s="3" t="s">
        <v>12</v>
      </c>
      <c r="G1365" s="3"/>
      <c r="H1365" s="16" t="s">
        <v>51</v>
      </c>
      <c r="J1365" s="16">
        <v>270</v>
      </c>
    </row>
    <row r="1366" spans="1:10">
      <c r="A1366" s="16" t="s">
        <v>1020</v>
      </c>
      <c r="B1366" s="2">
        <v>100000</v>
      </c>
      <c r="C1366" s="2">
        <f>0.0175*B1366</f>
        <v>1750.0000000000002</v>
      </c>
      <c r="D1366" s="44">
        <v>45594</v>
      </c>
      <c r="E1366" s="3" t="s">
        <v>926</v>
      </c>
      <c r="F1366" s="3" t="s">
        <v>28</v>
      </c>
      <c r="G1366" s="3"/>
      <c r="I1366" s="21" t="s">
        <v>30</v>
      </c>
    </row>
    <row r="1367" spans="1:10">
      <c r="A1367" s="16" t="s">
        <v>299</v>
      </c>
      <c r="B1367" s="2">
        <v>100000</v>
      </c>
      <c r="C1367" s="2">
        <f t="shared" ref="C1367:C1370" si="286">0.0125*B1367</f>
        <v>1250</v>
      </c>
      <c r="D1367" s="44">
        <v>45594</v>
      </c>
      <c r="E1367" s="3" t="s">
        <v>11</v>
      </c>
      <c r="F1367" s="3" t="s">
        <v>12</v>
      </c>
      <c r="G1367" s="3"/>
    </row>
    <row r="1368" spans="1:10">
      <c r="A1368" s="16" t="s">
        <v>3296</v>
      </c>
      <c r="B1368" s="2">
        <v>25000</v>
      </c>
      <c r="C1368" s="2">
        <f t="shared" si="286"/>
        <v>312.5</v>
      </c>
      <c r="D1368" s="44">
        <v>45594</v>
      </c>
      <c r="E1368" s="3" t="s">
        <v>11</v>
      </c>
      <c r="F1368" s="3" t="s">
        <v>12</v>
      </c>
      <c r="G1368" s="3"/>
    </row>
    <row r="1369" spans="1:10">
      <c r="A1369" s="16" t="s">
        <v>3247</v>
      </c>
      <c r="B1369" s="2">
        <v>150000</v>
      </c>
      <c r="C1369" s="2">
        <f t="shared" si="286"/>
        <v>1875</v>
      </c>
      <c r="D1369" s="44">
        <v>45594</v>
      </c>
      <c r="E1369" s="3" t="s">
        <v>3248</v>
      </c>
      <c r="F1369" s="3" t="s">
        <v>12</v>
      </c>
      <c r="G1369" s="3"/>
      <c r="H1369" s="16" t="s">
        <v>35</v>
      </c>
      <c r="J1369" s="16">
        <v>300</v>
      </c>
    </row>
    <row r="1370" spans="1:10">
      <c r="A1370" s="16" t="s">
        <v>465</v>
      </c>
      <c r="B1370" s="2">
        <v>52000</v>
      </c>
      <c r="C1370" s="2">
        <f t="shared" si="286"/>
        <v>650</v>
      </c>
      <c r="D1370" s="44">
        <v>45595</v>
      </c>
      <c r="E1370" s="3" t="s">
        <v>3248</v>
      </c>
      <c r="F1370" s="3" t="s">
        <v>12</v>
      </c>
      <c r="G1370" s="3"/>
      <c r="H1370" s="16" t="s">
        <v>54</v>
      </c>
      <c r="J1370" s="16">
        <v>312</v>
      </c>
    </row>
    <row r="1371" spans="1:10">
      <c r="A1371" s="16" t="s">
        <v>3297</v>
      </c>
      <c r="B1371" s="2">
        <v>140000</v>
      </c>
      <c r="C1371" s="2">
        <f>0.0175*B1371</f>
        <v>2450.0000000000005</v>
      </c>
      <c r="D1371" s="44">
        <v>45595</v>
      </c>
      <c r="E1371" s="3" t="s">
        <v>11</v>
      </c>
      <c r="F1371" s="3" t="s">
        <v>28</v>
      </c>
      <c r="G1371" s="3"/>
      <c r="I1371" s="21" t="s">
        <v>30</v>
      </c>
    </row>
    <row r="1372" spans="1:10">
      <c r="A1372" s="16" t="s">
        <v>3298</v>
      </c>
      <c r="B1372" s="2">
        <v>250000</v>
      </c>
      <c r="C1372" s="2">
        <f>0.0125*B1372</f>
        <v>3125</v>
      </c>
      <c r="D1372" s="44">
        <v>45595</v>
      </c>
      <c r="E1372" s="3" t="s">
        <v>3248</v>
      </c>
      <c r="F1372" s="3" t="s">
        <v>12</v>
      </c>
      <c r="G1372" s="3"/>
      <c r="H1372" s="16" t="s">
        <v>282</v>
      </c>
      <c r="J1372" s="16">
        <v>250</v>
      </c>
    </row>
    <row r="1373" spans="1:10">
      <c r="A1373" s="16" t="s">
        <v>3299</v>
      </c>
      <c r="B1373" s="2">
        <v>225000</v>
      </c>
      <c r="C1373" s="2">
        <f t="shared" ref="C1373:C1374" si="287">0.0175*B1373</f>
        <v>3937.5000000000005</v>
      </c>
      <c r="D1373" s="44">
        <v>45595</v>
      </c>
      <c r="E1373" s="3" t="s">
        <v>60</v>
      </c>
      <c r="F1373" s="3" t="s">
        <v>28</v>
      </c>
      <c r="G1373" s="3"/>
      <c r="I1373" s="21" t="s">
        <v>30</v>
      </c>
    </row>
    <row r="1374" spans="1:10">
      <c r="A1374" s="16" t="s">
        <v>3300</v>
      </c>
      <c r="B1374" s="2">
        <v>50000</v>
      </c>
      <c r="C1374" s="2">
        <f t="shared" si="287"/>
        <v>875.00000000000011</v>
      </c>
      <c r="D1374" s="44">
        <v>45595</v>
      </c>
      <c r="E1374" s="3" t="s">
        <v>11</v>
      </c>
      <c r="F1374" s="3" t="s">
        <v>28</v>
      </c>
      <c r="G1374" s="3"/>
      <c r="I1374" s="21" t="s">
        <v>30</v>
      </c>
    </row>
    <row r="1375" spans="1:10">
      <c r="A1375" s="16" t="s">
        <v>701</v>
      </c>
      <c r="B1375" s="2">
        <v>50000</v>
      </c>
      <c r="C1375" s="2">
        <f>0.0125*B1375</f>
        <v>625</v>
      </c>
      <c r="D1375" s="44">
        <v>45595</v>
      </c>
      <c r="E1375" s="3" t="s">
        <v>3248</v>
      </c>
      <c r="F1375" s="3" t="s">
        <v>12</v>
      </c>
      <c r="G1375" s="3"/>
      <c r="H1375" s="16" t="s">
        <v>35</v>
      </c>
      <c r="J1375" s="16">
        <v>100</v>
      </c>
    </row>
    <row r="1376" spans="1:10">
      <c r="A1376" s="16" t="s">
        <v>3157</v>
      </c>
      <c r="B1376" s="2">
        <v>100000</v>
      </c>
      <c r="C1376" s="2">
        <f>0.0175*B1376</f>
        <v>1750.0000000000002</v>
      </c>
      <c r="D1376" s="44">
        <v>45595</v>
      </c>
      <c r="E1376" s="3" t="s">
        <v>24</v>
      </c>
      <c r="F1376" s="3" t="s">
        <v>144</v>
      </c>
      <c r="G1376" s="3"/>
      <c r="H1376" s="16" t="s">
        <v>497</v>
      </c>
      <c r="I1376" s="21" t="s">
        <v>30</v>
      </c>
    </row>
    <row r="1377" spans="1:17">
      <c r="A1377" s="16" t="s">
        <v>3301</v>
      </c>
      <c r="B1377" s="2">
        <v>165000</v>
      </c>
      <c r="C1377" s="2">
        <f t="shared" ref="C1377:C1379" si="288">0.0125*B1377</f>
        <v>2062.5</v>
      </c>
      <c r="D1377" s="44">
        <v>45596</v>
      </c>
      <c r="E1377" s="3" t="s">
        <v>73</v>
      </c>
      <c r="F1377" s="3" t="s">
        <v>12</v>
      </c>
      <c r="G1377" s="3"/>
    </row>
    <row r="1378" spans="1:17">
      <c r="A1378" s="16" t="s">
        <v>3302</v>
      </c>
      <c r="B1378" s="2">
        <v>165000</v>
      </c>
      <c r="C1378" s="2">
        <f t="shared" si="288"/>
        <v>2062.5</v>
      </c>
      <c r="D1378" s="44">
        <v>45596</v>
      </c>
      <c r="E1378" s="3" t="s">
        <v>73</v>
      </c>
      <c r="F1378" s="3" t="s">
        <v>12</v>
      </c>
      <c r="G1378" s="3"/>
    </row>
    <row r="1379" spans="1:17">
      <c r="A1379" s="16" t="s">
        <v>3303</v>
      </c>
      <c r="B1379" s="2">
        <v>165000</v>
      </c>
      <c r="C1379" s="2">
        <f t="shared" si="288"/>
        <v>2062.5</v>
      </c>
      <c r="D1379" s="44">
        <v>45596</v>
      </c>
      <c r="E1379" s="3" t="s">
        <v>73</v>
      </c>
      <c r="F1379" s="3" t="s">
        <v>12</v>
      </c>
      <c r="G1379" s="3"/>
    </row>
    <row r="1380" spans="1:17">
      <c r="A1380" s="16" t="s">
        <v>3304</v>
      </c>
      <c r="B1380" s="2">
        <v>25000</v>
      </c>
      <c r="C1380" s="2">
        <f>0.0175*B1380</f>
        <v>437.50000000000006</v>
      </c>
      <c r="D1380" s="44">
        <v>45596</v>
      </c>
      <c r="E1380" s="34" t="s">
        <v>15</v>
      </c>
      <c r="F1380" s="3" t="s">
        <v>28</v>
      </c>
      <c r="G1380" s="3"/>
      <c r="H1380" s="16" t="s">
        <v>54</v>
      </c>
      <c r="J1380" s="16">
        <v>150</v>
      </c>
    </row>
    <row r="1381" spans="1:17">
      <c r="A1381" s="16" t="s">
        <v>3305</v>
      </c>
      <c r="B1381" s="2">
        <v>75000</v>
      </c>
      <c r="C1381" s="2">
        <f>0.0125*B1381</f>
        <v>937.5</v>
      </c>
      <c r="D1381" s="44">
        <v>45596</v>
      </c>
      <c r="E1381" s="3" t="s">
        <v>11</v>
      </c>
      <c r="F1381" s="3" t="s">
        <v>12</v>
      </c>
      <c r="G1381" s="3"/>
    </row>
    <row r="1382" spans="1:17">
      <c r="A1382" s="16" t="s">
        <v>3306</v>
      </c>
      <c r="B1382" s="2">
        <v>130000</v>
      </c>
      <c r="C1382" s="2">
        <f t="shared" ref="C1382:C1385" si="289">0.0175*B1382</f>
        <v>2275</v>
      </c>
      <c r="D1382" s="44">
        <v>45596</v>
      </c>
      <c r="E1382" s="3" t="s">
        <v>11</v>
      </c>
      <c r="F1382" s="3" t="s">
        <v>28</v>
      </c>
      <c r="G1382" s="3"/>
      <c r="I1382" s="21" t="s">
        <v>30</v>
      </c>
    </row>
    <row r="1383" spans="1:17">
      <c r="A1383" s="16" t="s">
        <v>3307</v>
      </c>
      <c r="B1383" s="2">
        <v>100000</v>
      </c>
      <c r="C1383" s="2">
        <f t="shared" si="289"/>
        <v>1750.0000000000002</v>
      </c>
      <c r="D1383" s="44">
        <v>45596</v>
      </c>
      <c r="E1383" s="3" t="s">
        <v>11</v>
      </c>
      <c r="F1383" s="3" t="s">
        <v>28</v>
      </c>
      <c r="G1383" s="3"/>
      <c r="I1383" s="21" t="s">
        <v>30</v>
      </c>
    </row>
    <row r="1384" spans="1:17">
      <c r="A1384" s="16" t="s">
        <v>3308</v>
      </c>
      <c r="B1384" s="2">
        <v>300000</v>
      </c>
      <c r="C1384" s="2">
        <f t="shared" si="289"/>
        <v>5250.0000000000009</v>
      </c>
      <c r="D1384" s="44">
        <v>45596</v>
      </c>
      <c r="E1384" s="3" t="s">
        <v>24</v>
      </c>
      <c r="F1384" s="3" t="s">
        <v>28</v>
      </c>
      <c r="G1384" s="3"/>
      <c r="H1384" s="16" t="s">
        <v>2647</v>
      </c>
      <c r="I1384" s="21" t="s">
        <v>30</v>
      </c>
    </row>
    <row r="1385" spans="1:17">
      <c r="A1385" s="16" t="s">
        <v>3309</v>
      </c>
      <c r="B1385" s="2">
        <v>75000</v>
      </c>
      <c r="C1385" s="2">
        <f t="shared" si="289"/>
        <v>1312.5000000000002</v>
      </c>
      <c r="D1385" s="44">
        <v>45596</v>
      </c>
      <c r="E1385" s="34" t="s">
        <v>15</v>
      </c>
      <c r="F1385" s="3" t="s">
        <v>28</v>
      </c>
      <c r="G1385" s="3"/>
      <c r="H1385" s="16" t="s">
        <v>35</v>
      </c>
      <c r="I1385" s="21" t="s">
        <v>30</v>
      </c>
      <c r="J1385" s="16">
        <v>150</v>
      </c>
    </row>
    <row r="1386" spans="1:17">
      <c r="A1386" s="16" t="s">
        <v>3310</v>
      </c>
      <c r="B1386" s="2">
        <v>215000</v>
      </c>
      <c r="C1386" s="2">
        <f t="shared" ref="C1386:C1387" si="290">0.0125*B1386</f>
        <v>2687.5</v>
      </c>
      <c r="D1386" s="44">
        <v>45596</v>
      </c>
      <c r="E1386" s="3" t="s">
        <v>24</v>
      </c>
      <c r="F1386" s="3" t="s">
        <v>12</v>
      </c>
      <c r="G1386" s="3"/>
      <c r="H1386" s="16" t="s">
        <v>2843</v>
      </c>
    </row>
    <row r="1387" spans="1:17">
      <c r="A1387" s="16" t="s">
        <v>3311</v>
      </c>
      <c r="B1387" s="2">
        <v>105000</v>
      </c>
      <c r="C1387" s="2">
        <f t="shared" si="290"/>
        <v>1312.5</v>
      </c>
      <c r="D1387" s="44">
        <v>45596</v>
      </c>
      <c r="E1387" s="3" t="s">
        <v>24</v>
      </c>
      <c r="F1387" s="3" t="s">
        <v>144</v>
      </c>
      <c r="G1387" s="3"/>
      <c r="H1387" s="16" t="s">
        <v>25</v>
      </c>
    </row>
    <row r="1388" spans="1:17">
      <c r="A1388" s="16" t="s">
        <v>2447</v>
      </c>
      <c r="B1388" s="2">
        <v>75000</v>
      </c>
      <c r="C1388" s="2">
        <f>0.0175*B1388</f>
        <v>1312.5000000000002</v>
      </c>
      <c r="D1388" s="44">
        <v>45596</v>
      </c>
      <c r="E1388" s="3" t="s">
        <v>11</v>
      </c>
      <c r="F1388" s="3" t="s">
        <v>28</v>
      </c>
      <c r="G1388" s="3"/>
      <c r="I1388" s="21" t="s">
        <v>30</v>
      </c>
    </row>
    <row r="1389" spans="1:17">
      <c r="A1389" s="11">
        <v>45597</v>
      </c>
      <c r="B1389" s="12">
        <f t="shared" ref="B1389:C1389" si="291">SUM(B1390:B1500)</f>
        <v>19993000</v>
      </c>
      <c r="C1389" s="12">
        <f t="shared" si="291"/>
        <v>297257.5</v>
      </c>
      <c r="D1389" s="53"/>
      <c r="E1389" s="53"/>
      <c r="F1389" s="53"/>
      <c r="G1389" s="53"/>
      <c r="H1389" s="15"/>
      <c r="I1389" s="15"/>
      <c r="J1389" s="15"/>
      <c r="K1389" s="15"/>
    </row>
    <row r="1390" spans="1:17">
      <c r="A1390" s="16" t="s">
        <v>796</v>
      </c>
      <c r="B1390" s="2">
        <v>250000</v>
      </c>
      <c r="C1390" s="2">
        <f>0.0125*B1390</f>
        <v>3125</v>
      </c>
      <c r="D1390" s="44">
        <v>45597</v>
      </c>
      <c r="E1390" s="3" t="s">
        <v>24</v>
      </c>
      <c r="F1390" s="3" t="s">
        <v>12</v>
      </c>
      <c r="G1390" s="3"/>
      <c r="H1390" s="16" t="s">
        <v>2843</v>
      </c>
    </row>
    <row r="1391" spans="1:17">
      <c r="A1391" s="16" t="s">
        <v>3312</v>
      </c>
      <c r="B1391" s="2">
        <v>35000</v>
      </c>
      <c r="C1391" s="2">
        <f>0.0175*B1391</f>
        <v>612.50000000000011</v>
      </c>
      <c r="D1391" s="44">
        <v>45597</v>
      </c>
      <c r="E1391" s="3" t="s">
        <v>11</v>
      </c>
      <c r="F1391" s="3" t="s">
        <v>28</v>
      </c>
      <c r="G1391" s="3"/>
      <c r="I1391" s="21" t="s">
        <v>30</v>
      </c>
      <c r="P1391" s="16">
        <v>7211.54</v>
      </c>
      <c r="Q1391" s="16" t="s">
        <v>3313</v>
      </c>
    </row>
    <row r="1392" spans="1:17">
      <c r="A1392" s="16" t="s">
        <v>3314</v>
      </c>
      <c r="B1392" s="2">
        <v>85000</v>
      </c>
      <c r="C1392" s="2">
        <f>0.0125*B1392</f>
        <v>1062.5</v>
      </c>
      <c r="D1392" s="44">
        <v>45600</v>
      </c>
      <c r="E1392" s="3" t="s">
        <v>11</v>
      </c>
      <c r="F1392" s="3" t="s">
        <v>12</v>
      </c>
      <c r="G1392" s="3"/>
      <c r="P1392" s="16">
        <v>6684.75</v>
      </c>
      <c r="Q1392" s="16" t="s">
        <v>3315</v>
      </c>
    </row>
    <row r="1393" spans="1:17">
      <c r="A1393" s="16" t="s">
        <v>3316</v>
      </c>
      <c r="B1393" s="2">
        <v>155000</v>
      </c>
      <c r="C1393" s="2">
        <f t="shared" ref="C1393:C1394" si="292">0.0175*B1393</f>
        <v>2712.5000000000005</v>
      </c>
      <c r="D1393" s="44">
        <v>45600</v>
      </c>
      <c r="E1393" s="3" t="s">
        <v>60</v>
      </c>
      <c r="F1393" s="3" t="s">
        <v>28</v>
      </c>
      <c r="G1393" s="3"/>
      <c r="I1393" s="21" t="s">
        <v>30</v>
      </c>
      <c r="O1393" s="16">
        <v>2699000</v>
      </c>
      <c r="P1393" s="16">
        <v>26990</v>
      </c>
      <c r="Q1393" s="16" t="s">
        <v>3317</v>
      </c>
    </row>
    <row r="1394" spans="1:17">
      <c r="A1394" s="16" t="s">
        <v>3318</v>
      </c>
      <c r="B1394" s="2">
        <v>75000</v>
      </c>
      <c r="C1394" s="2">
        <f t="shared" si="292"/>
        <v>1312.5000000000002</v>
      </c>
      <c r="D1394" s="44">
        <v>45600</v>
      </c>
      <c r="E1394" s="3" t="s">
        <v>135</v>
      </c>
      <c r="F1394" s="3" t="s">
        <v>28</v>
      </c>
      <c r="G1394" s="3"/>
      <c r="H1394" s="16" t="s">
        <v>13</v>
      </c>
      <c r="I1394" s="21" t="s">
        <v>30</v>
      </c>
      <c r="O1394" s="16">
        <v>1715000</v>
      </c>
      <c r="P1394" s="16">
        <v>4287.5</v>
      </c>
      <c r="Q1394" s="16" t="s">
        <v>3319</v>
      </c>
    </row>
    <row r="1395" spans="1:17">
      <c r="A1395" s="16" t="s">
        <v>42</v>
      </c>
      <c r="B1395" s="2">
        <v>350000</v>
      </c>
      <c r="C1395" s="2">
        <f>0.0125*B1395</f>
        <v>4375</v>
      </c>
      <c r="D1395" s="44">
        <v>45600</v>
      </c>
      <c r="E1395" s="3" t="s">
        <v>11</v>
      </c>
      <c r="F1395" s="3" t="s">
        <v>12</v>
      </c>
      <c r="G1395" s="3"/>
      <c r="O1395" s="16">
        <v>530000</v>
      </c>
      <c r="P1395" s="16">
        <v>1590</v>
      </c>
      <c r="Q1395" s="16" t="s">
        <v>3320</v>
      </c>
    </row>
    <row r="1396" spans="1:17">
      <c r="A1396" s="16" t="s">
        <v>3321</v>
      </c>
      <c r="B1396" s="2">
        <v>120000</v>
      </c>
      <c r="C1396" s="2">
        <f>0.0175*B1396</f>
        <v>2100</v>
      </c>
      <c r="D1396" s="44">
        <v>45601</v>
      </c>
      <c r="E1396" s="3" t="s">
        <v>69</v>
      </c>
      <c r="F1396" s="3" t="s">
        <v>28</v>
      </c>
      <c r="G1396" s="3"/>
      <c r="H1396" s="16" t="s">
        <v>13</v>
      </c>
      <c r="I1396" s="21" t="s">
        <v>30</v>
      </c>
      <c r="O1396" s="16">
        <v>1750000</v>
      </c>
      <c r="P1396" s="16">
        <v>2625</v>
      </c>
      <c r="Q1396" s="16" t="s">
        <v>3322</v>
      </c>
    </row>
    <row r="1397" spans="1:17">
      <c r="A1397" s="16" t="s">
        <v>55</v>
      </c>
      <c r="B1397" s="2">
        <v>80000</v>
      </c>
      <c r="C1397" s="2">
        <f>0.0125*B1397</f>
        <v>1000</v>
      </c>
      <c r="D1397" s="44">
        <v>45601</v>
      </c>
      <c r="E1397" s="34" t="s">
        <v>15</v>
      </c>
      <c r="F1397" s="3" t="s">
        <v>12</v>
      </c>
      <c r="G1397" s="3"/>
      <c r="H1397" s="16" t="s">
        <v>98</v>
      </c>
      <c r="J1397" s="16">
        <v>240</v>
      </c>
    </row>
    <row r="1398" spans="1:17">
      <c r="A1398" s="16" t="s">
        <v>3323</v>
      </c>
      <c r="B1398" s="2">
        <v>65000</v>
      </c>
      <c r="C1398" s="2">
        <f t="shared" ref="C1398:C1399" si="293">0.0175*B1398</f>
        <v>1137.5</v>
      </c>
      <c r="D1398" s="44">
        <v>45601</v>
      </c>
      <c r="E1398" s="3" t="s">
        <v>60</v>
      </c>
      <c r="F1398" s="3" t="s">
        <v>28</v>
      </c>
      <c r="G1398" s="3"/>
      <c r="I1398" s="21" t="s">
        <v>30</v>
      </c>
    </row>
    <row r="1399" spans="1:17">
      <c r="A1399" s="16" t="s">
        <v>3324</v>
      </c>
      <c r="B1399" s="2">
        <v>70000</v>
      </c>
      <c r="C1399" s="2">
        <f t="shared" si="293"/>
        <v>1225.0000000000002</v>
      </c>
      <c r="D1399" s="44">
        <v>45601</v>
      </c>
      <c r="E1399" s="3" t="s">
        <v>60</v>
      </c>
      <c r="F1399" s="3" t="s">
        <v>28</v>
      </c>
      <c r="G1399" s="3"/>
      <c r="I1399" s="21" t="s">
        <v>30</v>
      </c>
      <c r="P1399" s="16">
        <v>7211.54</v>
      </c>
      <c r="Q1399" s="16" t="s">
        <v>3325</v>
      </c>
    </row>
    <row r="1400" spans="1:17">
      <c r="A1400" s="16" t="s">
        <v>181</v>
      </c>
      <c r="B1400" s="2">
        <v>17500</v>
      </c>
      <c r="C1400" s="2">
        <f t="shared" ref="C1400:C1401" si="294">0.0125*B1400</f>
        <v>218.75</v>
      </c>
      <c r="D1400" s="44">
        <v>45601</v>
      </c>
      <c r="E1400" s="34" t="s">
        <v>15</v>
      </c>
      <c r="F1400" s="3" t="s">
        <v>12</v>
      </c>
      <c r="G1400" s="3"/>
      <c r="H1400" s="16" t="s">
        <v>54</v>
      </c>
      <c r="J1400" s="16">
        <v>105</v>
      </c>
      <c r="P1400" s="16">
        <v>9259.75</v>
      </c>
      <c r="Q1400" s="16" t="s">
        <v>3326</v>
      </c>
    </row>
    <row r="1401" spans="1:17">
      <c r="A1401" s="16" t="s">
        <v>564</v>
      </c>
      <c r="B1401" s="2">
        <v>110000</v>
      </c>
      <c r="C1401" s="2">
        <f t="shared" si="294"/>
        <v>1375</v>
      </c>
      <c r="D1401" s="44">
        <v>45602</v>
      </c>
      <c r="E1401" s="3" t="s">
        <v>24</v>
      </c>
      <c r="F1401" s="3" t="s">
        <v>12</v>
      </c>
      <c r="G1401" s="3"/>
      <c r="H1401" s="16" t="s">
        <v>2843</v>
      </c>
    </row>
    <row r="1402" spans="1:17">
      <c r="A1402" s="16" t="s">
        <v>3327</v>
      </c>
      <c r="B1402" s="2">
        <v>10000</v>
      </c>
      <c r="C1402" s="2">
        <f>0.0175*B1402</f>
        <v>175.00000000000003</v>
      </c>
      <c r="D1402" s="44">
        <v>45602</v>
      </c>
      <c r="E1402" s="34" t="s">
        <v>15</v>
      </c>
      <c r="F1402" s="3" t="s">
        <v>144</v>
      </c>
      <c r="G1402" s="3"/>
      <c r="H1402" s="16" t="s">
        <v>16</v>
      </c>
      <c r="J1402" s="16">
        <v>40</v>
      </c>
    </row>
    <row r="1403" spans="1:17">
      <c r="A1403" s="16" t="s">
        <v>3215</v>
      </c>
      <c r="B1403" s="2">
        <v>400000</v>
      </c>
      <c r="C1403" s="2">
        <f>0.0125*B1403</f>
        <v>5000</v>
      </c>
      <c r="D1403" s="44">
        <v>45602</v>
      </c>
      <c r="E1403" s="3" t="s">
        <v>24</v>
      </c>
      <c r="F1403" s="3" t="s">
        <v>12</v>
      </c>
      <c r="G1403" s="3"/>
      <c r="H1403" s="16" t="s">
        <v>2843</v>
      </c>
      <c r="P1403" s="16">
        <v>9383.25</v>
      </c>
      <c r="Q1403" s="16" t="s">
        <v>3328</v>
      </c>
    </row>
    <row r="1404" spans="1:17">
      <c r="A1404" s="16" t="s">
        <v>3329</v>
      </c>
      <c r="B1404" s="2">
        <v>25000</v>
      </c>
      <c r="C1404" s="2">
        <f t="shared" ref="C1404:C1405" si="295">0.0175*B1404</f>
        <v>437.50000000000006</v>
      </c>
      <c r="D1404" s="44">
        <v>45602</v>
      </c>
      <c r="E1404" s="34" t="s">
        <v>15</v>
      </c>
      <c r="F1404" s="3" t="s">
        <v>28</v>
      </c>
      <c r="G1404" s="3"/>
      <c r="H1404" s="16" t="s">
        <v>54</v>
      </c>
      <c r="J1404" s="16">
        <v>150</v>
      </c>
    </row>
    <row r="1405" spans="1:17">
      <c r="A1405" s="16" t="s">
        <v>3330</v>
      </c>
      <c r="B1405" s="2">
        <v>850000</v>
      </c>
      <c r="C1405" s="2">
        <f t="shared" si="295"/>
        <v>14875.000000000002</v>
      </c>
      <c r="D1405" s="44">
        <v>45602</v>
      </c>
      <c r="E1405" s="3" t="s">
        <v>11</v>
      </c>
      <c r="F1405" s="3" t="s">
        <v>28</v>
      </c>
      <c r="G1405" s="3"/>
      <c r="I1405" s="21" t="s">
        <v>30</v>
      </c>
    </row>
    <row r="1406" spans="1:17">
      <c r="A1406" s="16" t="s">
        <v>32</v>
      </c>
      <c r="B1406" s="2">
        <v>25000</v>
      </c>
      <c r="C1406" s="2">
        <f t="shared" ref="C1406:C1407" si="296">0.0125*B1406</f>
        <v>312.5</v>
      </c>
      <c r="D1406" s="44">
        <v>45602</v>
      </c>
      <c r="E1406" s="34" t="s">
        <v>15</v>
      </c>
      <c r="F1406" s="3" t="s">
        <v>12</v>
      </c>
      <c r="G1406" s="3"/>
      <c r="H1406" s="16" t="s">
        <v>16</v>
      </c>
      <c r="J1406" s="16">
        <v>100</v>
      </c>
    </row>
    <row r="1407" spans="1:17">
      <c r="A1407" s="16" t="s">
        <v>3331</v>
      </c>
      <c r="B1407" s="2">
        <v>75000</v>
      </c>
      <c r="C1407" s="2">
        <f t="shared" si="296"/>
        <v>937.5</v>
      </c>
      <c r="D1407" s="44">
        <v>45602</v>
      </c>
      <c r="E1407" s="34" t="s">
        <v>15</v>
      </c>
      <c r="F1407" s="3" t="s">
        <v>12</v>
      </c>
      <c r="G1407" s="3"/>
      <c r="H1407" s="16" t="s">
        <v>54</v>
      </c>
      <c r="J1407" s="16">
        <v>450</v>
      </c>
    </row>
    <row r="1408" spans="1:17">
      <c r="A1408" s="16" t="s">
        <v>3332</v>
      </c>
      <c r="B1408" s="2">
        <v>114000</v>
      </c>
      <c r="C1408" s="2">
        <f>0.0175*B1408</f>
        <v>1995.0000000000002</v>
      </c>
      <c r="D1408" s="44">
        <v>45602</v>
      </c>
      <c r="E1408" s="34" t="s">
        <v>2346</v>
      </c>
      <c r="F1408" s="3" t="s">
        <v>28</v>
      </c>
      <c r="G1408" s="3"/>
      <c r="H1408" s="16" t="s">
        <v>13</v>
      </c>
      <c r="I1408" s="21" t="s">
        <v>30</v>
      </c>
    </row>
    <row r="1409" spans="1:16">
      <c r="A1409" s="16" t="s">
        <v>373</v>
      </c>
      <c r="B1409" s="2">
        <v>350000</v>
      </c>
      <c r="C1409" s="2">
        <f>0.0125*B1409</f>
        <v>4375</v>
      </c>
      <c r="D1409" s="44">
        <v>45602</v>
      </c>
      <c r="E1409" s="3" t="s">
        <v>135</v>
      </c>
      <c r="F1409" s="3" t="s">
        <v>12</v>
      </c>
      <c r="G1409" s="3"/>
      <c r="H1409" s="16" t="s">
        <v>22</v>
      </c>
    </row>
    <row r="1410" spans="1:16">
      <c r="A1410" s="16" t="s">
        <v>3333</v>
      </c>
      <c r="B1410" s="2">
        <v>300000</v>
      </c>
      <c r="C1410" s="2">
        <f t="shared" ref="C1410:C1411" si="297">0.0175*B1410</f>
        <v>5250.0000000000009</v>
      </c>
      <c r="D1410" s="44">
        <v>45602</v>
      </c>
      <c r="E1410" s="3" t="s">
        <v>69</v>
      </c>
      <c r="F1410" s="3" t="s">
        <v>28</v>
      </c>
      <c r="G1410" s="3"/>
      <c r="H1410" s="16" t="s">
        <v>13</v>
      </c>
      <c r="I1410" s="21" t="s">
        <v>30</v>
      </c>
    </row>
    <row r="1411" spans="1:16">
      <c r="A1411" s="16" t="s">
        <v>72</v>
      </c>
      <c r="B1411" s="2">
        <v>100000</v>
      </c>
      <c r="C1411" s="2">
        <f t="shared" si="297"/>
        <v>1750.0000000000002</v>
      </c>
      <c r="D1411" s="44">
        <v>45602</v>
      </c>
      <c r="E1411" s="3" t="s">
        <v>3334</v>
      </c>
      <c r="F1411" s="3" t="s">
        <v>28</v>
      </c>
      <c r="G1411" s="3"/>
      <c r="H1411" s="16" t="s">
        <v>51</v>
      </c>
      <c r="J1411" s="16">
        <v>500</v>
      </c>
    </row>
    <row r="1412" spans="1:16">
      <c r="A1412" s="16" t="s">
        <v>530</v>
      </c>
      <c r="B1412" s="2">
        <v>280000</v>
      </c>
      <c r="C1412" s="2">
        <f t="shared" ref="C1412:C1413" si="298">0.0125*B1412</f>
        <v>3500</v>
      </c>
      <c r="D1412" s="44">
        <v>45602</v>
      </c>
      <c r="E1412" s="3" t="s">
        <v>92</v>
      </c>
      <c r="F1412" s="3" t="s">
        <v>12</v>
      </c>
      <c r="G1412" s="3"/>
      <c r="H1412" s="16"/>
    </row>
    <row r="1413" spans="1:16">
      <c r="A1413" s="16" t="s">
        <v>2754</v>
      </c>
      <c r="B1413" s="2">
        <v>620000</v>
      </c>
      <c r="C1413" s="2">
        <f t="shared" si="298"/>
        <v>7750</v>
      </c>
      <c r="D1413" s="44">
        <v>45603</v>
      </c>
      <c r="E1413" s="3" t="s">
        <v>21</v>
      </c>
      <c r="F1413" s="3" t="s">
        <v>12</v>
      </c>
      <c r="G1413" s="3"/>
      <c r="H1413" s="16" t="s">
        <v>22</v>
      </c>
    </row>
    <row r="1414" spans="1:16">
      <c r="A1414" s="16" t="s">
        <v>3335</v>
      </c>
      <c r="B1414" s="2">
        <v>275000</v>
      </c>
      <c r="C1414" s="2">
        <f>0.0175*B1414</f>
        <v>4812.5000000000009</v>
      </c>
      <c r="D1414" s="44">
        <v>45603</v>
      </c>
      <c r="E1414" s="3" t="s">
        <v>11</v>
      </c>
      <c r="F1414" s="3" t="s">
        <v>28</v>
      </c>
      <c r="G1414" s="3"/>
      <c r="I1414" s="21" t="s">
        <v>30</v>
      </c>
      <c r="P1414" s="37"/>
    </row>
    <row r="1415" spans="1:16">
      <c r="A1415" s="16" t="s">
        <v>2180</v>
      </c>
      <c r="B1415" s="2">
        <v>90000</v>
      </c>
      <c r="C1415" s="2">
        <f>0.0125*B1415</f>
        <v>1125</v>
      </c>
      <c r="D1415" s="44">
        <v>45603</v>
      </c>
      <c r="E1415" s="3" t="s">
        <v>197</v>
      </c>
      <c r="F1415" s="3" t="s">
        <v>12</v>
      </c>
      <c r="G1415" s="3"/>
      <c r="H1415" s="16" t="s">
        <v>22</v>
      </c>
    </row>
    <row r="1416" spans="1:16">
      <c r="A1416" s="16" t="s">
        <v>3336</v>
      </c>
      <c r="B1416" s="2">
        <v>500000</v>
      </c>
      <c r="C1416" s="2">
        <f t="shared" ref="C1416:C1418" si="299">0.0175*B1416</f>
        <v>8750</v>
      </c>
      <c r="D1416" s="44">
        <v>45603</v>
      </c>
      <c r="E1416" s="3" t="s">
        <v>11</v>
      </c>
      <c r="F1416" s="3" t="s">
        <v>28</v>
      </c>
      <c r="G1416" s="3"/>
      <c r="I1416" s="21" t="s">
        <v>30</v>
      </c>
    </row>
    <row r="1417" spans="1:16">
      <c r="A1417" s="16" t="s">
        <v>3337</v>
      </c>
      <c r="B1417" s="2">
        <v>200000</v>
      </c>
      <c r="C1417" s="2">
        <f t="shared" si="299"/>
        <v>3500.0000000000005</v>
      </c>
      <c r="D1417" s="44">
        <v>45603</v>
      </c>
      <c r="E1417" s="3" t="s">
        <v>147</v>
      </c>
      <c r="F1417" s="3" t="s">
        <v>28</v>
      </c>
      <c r="G1417" s="3"/>
      <c r="H1417" s="16" t="s">
        <v>13</v>
      </c>
      <c r="I1417" s="21" t="s">
        <v>30</v>
      </c>
    </row>
    <row r="1418" spans="1:16">
      <c r="A1418" s="16" t="s">
        <v>3338</v>
      </c>
      <c r="B1418" s="2">
        <v>40000</v>
      </c>
      <c r="C1418" s="2">
        <f t="shared" si="299"/>
        <v>700.00000000000011</v>
      </c>
      <c r="D1418" s="44">
        <v>45603</v>
      </c>
      <c r="E1418" s="3" t="s">
        <v>11</v>
      </c>
      <c r="F1418" s="3" t="s">
        <v>28</v>
      </c>
      <c r="G1418" s="3"/>
    </row>
    <row r="1419" spans="1:16">
      <c r="A1419" s="16" t="s">
        <v>3339</v>
      </c>
      <c r="B1419" s="2">
        <v>25000</v>
      </c>
      <c r="C1419" s="2">
        <f t="shared" ref="C1419:C1422" si="300">0.0125*B1419</f>
        <v>312.5</v>
      </c>
      <c r="D1419" s="44">
        <v>45603</v>
      </c>
      <c r="E1419" s="3" t="s">
        <v>60</v>
      </c>
      <c r="F1419" s="3" t="s">
        <v>12</v>
      </c>
      <c r="G1419" s="3"/>
    </row>
    <row r="1420" spans="1:16">
      <c r="A1420" s="16" t="s">
        <v>1022</v>
      </c>
      <c r="B1420" s="2">
        <v>70000</v>
      </c>
      <c r="C1420" s="2">
        <f t="shared" si="300"/>
        <v>875</v>
      </c>
      <c r="D1420" s="44">
        <v>45603</v>
      </c>
      <c r="E1420" s="3" t="s">
        <v>135</v>
      </c>
      <c r="F1420" s="3" t="s">
        <v>28</v>
      </c>
      <c r="G1420" s="3"/>
      <c r="H1420" s="16" t="s">
        <v>13</v>
      </c>
      <c r="I1420" s="21" t="s">
        <v>30</v>
      </c>
    </row>
    <row r="1421" spans="1:16">
      <c r="A1421" s="16" t="s">
        <v>3340</v>
      </c>
      <c r="B1421" s="2">
        <v>30000</v>
      </c>
      <c r="C1421" s="2">
        <f t="shared" si="300"/>
        <v>375</v>
      </c>
      <c r="D1421" s="44">
        <v>45603</v>
      </c>
      <c r="E1421" s="34" t="s">
        <v>15</v>
      </c>
      <c r="F1421" s="3" t="s">
        <v>12</v>
      </c>
      <c r="G1421" s="3"/>
      <c r="H1421" s="16" t="s">
        <v>16</v>
      </c>
      <c r="J1421" s="16">
        <v>120</v>
      </c>
    </row>
    <row r="1422" spans="1:16">
      <c r="A1422" s="16" t="s">
        <v>3341</v>
      </c>
      <c r="B1422" s="2">
        <v>40000</v>
      </c>
      <c r="C1422" s="2">
        <f t="shared" si="300"/>
        <v>500</v>
      </c>
      <c r="D1422" s="44">
        <v>45603</v>
      </c>
      <c r="E1422" s="3" t="s">
        <v>11</v>
      </c>
      <c r="F1422" s="3" t="s">
        <v>12</v>
      </c>
      <c r="G1422" s="3"/>
    </row>
    <row r="1423" spans="1:16">
      <c r="A1423" s="16" t="s">
        <v>3342</v>
      </c>
      <c r="B1423" s="2">
        <v>180000</v>
      </c>
      <c r="C1423" s="2">
        <f t="shared" ref="C1423:C1425" si="301">0.0175*B1423</f>
        <v>3150.0000000000005</v>
      </c>
      <c r="D1423" s="44">
        <v>45603</v>
      </c>
      <c r="E1423" s="3" t="s">
        <v>60</v>
      </c>
      <c r="F1423" s="3" t="s">
        <v>28</v>
      </c>
      <c r="G1423" s="3"/>
      <c r="I1423" s="21" t="s">
        <v>30</v>
      </c>
    </row>
    <row r="1424" spans="1:16">
      <c r="A1424" s="16" t="s">
        <v>3343</v>
      </c>
      <c r="B1424" s="2">
        <v>150000</v>
      </c>
      <c r="C1424" s="2">
        <f t="shared" si="301"/>
        <v>2625.0000000000005</v>
      </c>
      <c r="D1424" s="44">
        <v>45604</v>
      </c>
      <c r="E1424" s="3" t="s">
        <v>11</v>
      </c>
      <c r="F1424" s="3" t="s">
        <v>28</v>
      </c>
      <c r="G1424" s="3"/>
      <c r="I1424" s="21" t="s">
        <v>30</v>
      </c>
    </row>
    <row r="1425" spans="1:10">
      <c r="A1425" s="16" t="s">
        <v>3344</v>
      </c>
      <c r="B1425" s="2">
        <v>360000</v>
      </c>
      <c r="C1425" s="2">
        <f t="shared" si="301"/>
        <v>6300.0000000000009</v>
      </c>
      <c r="D1425" s="44">
        <v>45608</v>
      </c>
      <c r="E1425" s="3" t="s">
        <v>11</v>
      </c>
      <c r="F1425" s="3" t="s">
        <v>41</v>
      </c>
      <c r="G1425" s="3"/>
    </row>
    <row r="1426" spans="1:10">
      <c r="A1426" s="16" t="s">
        <v>3345</v>
      </c>
      <c r="B1426" s="2">
        <v>120000</v>
      </c>
      <c r="C1426" s="2">
        <f t="shared" ref="C1426:C1429" si="302">0.0125*B1426</f>
        <v>1500</v>
      </c>
      <c r="D1426" s="44">
        <v>45608</v>
      </c>
      <c r="E1426" s="3" t="s">
        <v>3334</v>
      </c>
      <c r="F1426" s="3" t="s">
        <v>12</v>
      </c>
      <c r="G1426" s="3"/>
    </row>
    <row r="1427" spans="1:10">
      <c r="A1427" s="16" t="s">
        <v>3346</v>
      </c>
      <c r="B1427" s="2">
        <v>130000</v>
      </c>
      <c r="C1427" s="2">
        <f t="shared" si="302"/>
        <v>1625</v>
      </c>
      <c r="D1427" s="44">
        <v>45608</v>
      </c>
      <c r="E1427" s="3" t="s">
        <v>11</v>
      </c>
      <c r="F1427" s="3" t="s">
        <v>12</v>
      </c>
      <c r="G1427" s="3"/>
    </row>
    <row r="1428" spans="1:10">
      <c r="A1428" s="16" t="s">
        <v>3347</v>
      </c>
      <c r="B1428" s="2">
        <v>150000</v>
      </c>
      <c r="C1428" s="2">
        <f t="shared" si="302"/>
        <v>1875</v>
      </c>
      <c r="D1428" s="44">
        <v>45608</v>
      </c>
      <c r="E1428" s="3" t="s">
        <v>11</v>
      </c>
      <c r="F1428" s="3" t="s">
        <v>28</v>
      </c>
      <c r="G1428" s="3"/>
      <c r="I1428" s="21" t="s">
        <v>30</v>
      </c>
    </row>
    <row r="1429" spans="1:10">
      <c r="A1429" s="16" t="s">
        <v>275</v>
      </c>
      <c r="B1429" s="2">
        <v>90000</v>
      </c>
      <c r="C1429" s="2">
        <f t="shared" si="302"/>
        <v>1125</v>
      </c>
      <c r="D1429" s="44">
        <v>45608</v>
      </c>
      <c r="E1429" s="34" t="s">
        <v>15</v>
      </c>
      <c r="F1429" s="3" t="s">
        <v>12</v>
      </c>
      <c r="G1429" s="3"/>
      <c r="H1429" s="16" t="s">
        <v>16</v>
      </c>
      <c r="J1429" s="16">
        <v>360</v>
      </c>
    </row>
    <row r="1430" spans="1:10">
      <c r="A1430" s="16" t="s">
        <v>3348</v>
      </c>
      <c r="B1430" s="2">
        <v>100000</v>
      </c>
      <c r="C1430" s="2">
        <f>0.0175*B1430</f>
        <v>1750.0000000000002</v>
      </c>
      <c r="D1430" s="44">
        <v>45608</v>
      </c>
      <c r="E1430" s="34" t="s">
        <v>15</v>
      </c>
      <c r="F1430" s="3" t="s">
        <v>28</v>
      </c>
      <c r="G1430" s="3"/>
      <c r="H1430" s="16" t="s">
        <v>149</v>
      </c>
      <c r="J1430" s="16">
        <v>250</v>
      </c>
    </row>
    <row r="1431" spans="1:10">
      <c r="A1431" s="16" t="s">
        <v>259</v>
      </c>
      <c r="B1431" s="2">
        <v>250000</v>
      </c>
      <c r="C1431" s="2">
        <f t="shared" ref="C1431:C1435" si="303">0.0125*B1431</f>
        <v>3125</v>
      </c>
      <c r="D1431" s="44">
        <v>45609</v>
      </c>
      <c r="E1431" s="3" t="s">
        <v>11</v>
      </c>
      <c r="F1431" s="3" t="s">
        <v>12</v>
      </c>
      <c r="G1431" s="3"/>
    </row>
    <row r="1432" spans="1:10">
      <c r="A1432" s="16" t="s">
        <v>2763</v>
      </c>
      <c r="B1432" s="2">
        <v>27500</v>
      </c>
      <c r="C1432" s="2">
        <f t="shared" si="303"/>
        <v>343.75</v>
      </c>
      <c r="D1432" s="44">
        <v>45609</v>
      </c>
      <c r="E1432" s="34" t="s">
        <v>15</v>
      </c>
      <c r="F1432" s="3" t="s">
        <v>12</v>
      </c>
      <c r="G1432" s="3"/>
      <c r="H1432" s="16" t="s">
        <v>149</v>
      </c>
      <c r="J1432" s="16">
        <v>68.75</v>
      </c>
    </row>
    <row r="1433" spans="1:10">
      <c r="A1433" s="16" t="s">
        <v>3349</v>
      </c>
      <c r="B1433" s="2">
        <v>245000</v>
      </c>
      <c r="C1433" s="2">
        <f t="shared" si="303"/>
        <v>3062.5</v>
      </c>
      <c r="D1433" s="44">
        <v>45609</v>
      </c>
      <c r="E1433" s="3" t="s">
        <v>11</v>
      </c>
      <c r="F1433" s="3" t="s">
        <v>12</v>
      </c>
      <c r="G1433" s="3"/>
    </row>
    <row r="1434" spans="1:10">
      <c r="A1434" s="16" t="s">
        <v>3350</v>
      </c>
      <c r="B1434" s="2">
        <v>60000</v>
      </c>
      <c r="C1434" s="2">
        <f t="shared" si="303"/>
        <v>750</v>
      </c>
      <c r="D1434" s="44">
        <v>45609</v>
      </c>
      <c r="E1434" s="3" t="s">
        <v>11</v>
      </c>
      <c r="F1434" s="3" t="s">
        <v>12</v>
      </c>
      <c r="G1434" s="3"/>
    </row>
    <row r="1435" spans="1:10">
      <c r="A1435" s="16" t="s">
        <v>3351</v>
      </c>
      <c r="B1435" s="2">
        <v>615000</v>
      </c>
      <c r="C1435" s="2">
        <f t="shared" si="303"/>
        <v>7687.5</v>
      </c>
      <c r="D1435" s="44">
        <v>45609</v>
      </c>
      <c r="E1435" s="3" t="s">
        <v>75</v>
      </c>
      <c r="F1435" s="3" t="s">
        <v>12</v>
      </c>
      <c r="G1435" s="3"/>
    </row>
    <row r="1436" spans="1:10">
      <c r="A1436" s="16" t="s">
        <v>3352</v>
      </c>
      <c r="B1436" s="2">
        <v>250000</v>
      </c>
      <c r="C1436" s="2">
        <f t="shared" ref="C1436:C1440" si="304">0.0175*B1436</f>
        <v>4375</v>
      </c>
      <c r="D1436" s="44">
        <v>45609</v>
      </c>
      <c r="E1436" s="3" t="s">
        <v>11</v>
      </c>
      <c r="F1436" s="3" t="s">
        <v>28</v>
      </c>
      <c r="G1436" s="3"/>
      <c r="I1436" s="21" t="s">
        <v>30</v>
      </c>
    </row>
    <row r="1437" spans="1:10">
      <c r="A1437" s="16" t="s">
        <v>3353</v>
      </c>
      <c r="B1437" s="2">
        <v>600000</v>
      </c>
      <c r="C1437" s="2">
        <f t="shared" si="304"/>
        <v>10500.000000000002</v>
      </c>
      <c r="D1437" s="44">
        <v>45609</v>
      </c>
      <c r="E1437" s="3" t="s">
        <v>118</v>
      </c>
      <c r="F1437" s="3" t="s">
        <v>28</v>
      </c>
      <c r="G1437" s="3"/>
      <c r="H1437" s="16" t="s">
        <v>13</v>
      </c>
      <c r="I1437" s="21" t="s">
        <v>30</v>
      </c>
    </row>
    <row r="1438" spans="1:10">
      <c r="A1438" s="16" t="s">
        <v>3354</v>
      </c>
      <c r="B1438" s="2">
        <v>700000</v>
      </c>
      <c r="C1438" s="2">
        <f t="shared" si="304"/>
        <v>12250.000000000002</v>
      </c>
      <c r="D1438" s="44">
        <v>45609</v>
      </c>
      <c r="E1438" s="3" t="s">
        <v>135</v>
      </c>
      <c r="F1438" s="3" t="s">
        <v>28</v>
      </c>
      <c r="G1438" s="3"/>
      <c r="H1438" s="16" t="s">
        <v>13</v>
      </c>
      <c r="I1438" s="21" t="s">
        <v>30</v>
      </c>
    </row>
    <row r="1439" spans="1:10">
      <c r="A1439" s="16" t="s">
        <v>3355</v>
      </c>
      <c r="B1439" s="2">
        <v>350000</v>
      </c>
      <c r="C1439" s="2">
        <f t="shared" si="304"/>
        <v>6125.0000000000009</v>
      </c>
      <c r="D1439" s="44">
        <v>45609</v>
      </c>
      <c r="E1439" s="3" t="s">
        <v>60</v>
      </c>
      <c r="F1439" s="3" t="s">
        <v>28</v>
      </c>
      <c r="G1439" s="3"/>
      <c r="I1439" s="21" t="s">
        <v>30</v>
      </c>
    </row>
    <row r="1440" spans="1:10">
      <c r="A1440" s="16" t="s">
        <v>3356</v>
      </c>
      <c r="B1440" s="2">
        <v>500000</v>
      </c>
      <c r="C1440" s="2">
        <f t="shared" si="304"/>
        <v>8750</v>
      </c>
      <c r="D1440" s="44">
        <v>45609</v>
      </c>
      <c r="E1440" s="3" t="s">
        <v>3357</v>
      </c>
      <c r="F1440" s="3" t="s">
        <v>28</v>
      </c>
      <c r="G1440" s="3"/>
      <c r="I1440" s="21" t="s">
        <v>30</v>
      </c>
    </row>
    <row r="1441" spans="1:10">
      <c r="A1441" s="16" t="s">
        <v>3358</v>
      </c>
      <c r="B1441" s="2">
        <v>13000</v>
      </c>
      <c r="C1441" s="2">
        <f>0.0125*B1441</f>
        <v>162.5</v>
      </c>
      <c r="D1441" s="44">
        <v>45609</v>
      </c>
      <c r="E1441" s="3" t="s">
        <v>15</v>
      </c>
      <c r="F1441" s="3" t="s">
        <v>12</v>
      </c>
      <c r="G1441" s="3"/>
      <c r="H1441" s="16" t="s">
        <v>51</v>
      </c>
      <c r="I1441" s="21"/>
      <c r="J1441" s="16">
        <v>65</v>
      </c>
    </row>
    <row r="1442" spans="1:10">
      <c r="A1442" s="16" t="s">
        <v>3359</v>
      </c>
      <c r="B1442" s="2">
        <v>150000</v>
      </c>
      <c r="C1442" s="2">
        <f t="shared" ref="C1442:C1444" si="305">0.0175*B1442</f>
        <v>2625.0000000000005</v>
      </c>
      <c r="D1442" s="44">
        <v>45610</v>
      </c>
      <c r="E1442" s="3" t="s">
        <v>21</v>
      </c>
      <c r="F1442" s="3" t="s">
        <v>28</v>
      </c>
      <c r="G1442" s="3"/>
      <c r="H1442" s="16" t="s">
        <v>13</v>
      </c>
      <c r="I1442" s="21" t="s">
        <v>30</v>
      </c>
    </row>
    <row r="1443" spans="1:10">
      <c r="A1443" s="16" t="s">
        <v>3360</v>
      </c>
      <c r="B1443" s="2">
        <v>200000</v>
      </c>
      <c r="C1443" s="2">
        <f t="shared" si="305"/>
        <v>3500.0000000000005</v>
      </c>
      <c r="D1443" s="44">
        <v>45610</v>
      </c>
      <c r="E1443" s="3" t="s">
        <v>147</v>
      </c>
      <c r="F1443" s="3" t="s">
        <v>28</v>
      </c>
      <c r="G1443" s="3"/>
      <c r="H1443" s="16" t="s">
        <v>13</v>
      </c>
      <c r="I1443" s="21" t="s">
        <v>30</v>
      </c>
    </row>
    <row r="1444" spans="1:10">
      <c r="A1444" s="16" t="s">
        <v>1052</v>
      </c>
      <c r="B1444" s="2">
        <v>150000</v>
      </c>
      <c r="C1444" s="2">
        <f t="shared" si="305"/>
        <v>2625.0000000000005</v>
      </c>
      <c r="D1444" s="44">
        <v>45610</v>
      </c>
      <c r="E1444" s="3" t="s">
        <v>11</v>
      </c>
      <c r="F1444" s="3" t="s">
        <v>28</v>
      </c>
      <c r="G1444" s="3"/>
      <c r="I1444" s="21" t="s">
        <v>30</v>
      </c>
    </row>
    <row r="1445" spans="1:10">
      <c r="A1445" s="16" t="s">
        <v>511</v>
      </c>
      <c r="B1445" s="2">
        <v>200000</v>
      </c>
      <c r="C1445" s="2">
        <f t="shared" ref="C1445:C1448" si="306">0.0125*B1445</f>
        <v>2500</v>
      </c>
      <c r="D1445" s="44">
        <v>45610</v>
      </c>
      <c r="E1445" s="3" t="s">
        <v>11</v>
      </c>
      <c r="F1445" s="3" t="s">
        <v>12</v>
      </c>
      <c r="G1445" s="3"/>
    </row>
    <row r="1446" spans="1:10">
      <c r="A1446" s="16" t="s">
        <v>3164</v>
      </c>
      <c r="B1446" s="2">
        <v>205000</v>
      </c>
      <c r="C1446" s="2">
        <f t="shared" si="306"/>
        <v>2562.5</v>
      </c>
      <c r="D1446" s="44">
        <v>45610</v>
      </c>
      <c r="E1446" s="3" t="s">
        <v>15</v>
      </c>
      <c r="F1446" s="3" t="s">
        <v>12</v>
      </c>
      <c r="G1446" s="3"/>
      <c r="H1446" s="16" t="s">
        <v>220</v>
      </c>
      <c r="J1446" s="16">
        <v>717.5</v>
      </c>
    </row>
    <row r="1447" spans="1:10">
      <c r="A1447" s="16" t="s">
        <v>3361</v>
      </c>
      <c r="B1447" s="2">
        <v>125000</v>
      </c>
      <c r="C1447" s="2">
        <f t="shared" si="306"/>
        <v>1562.5</v>
      </c>
      <c r="D1447" s="44">
        <v>45611</v>
      </c>
      <c r="E1447" s="3" t="s">
        <v>24</v>
      </c>
      <c r="F1447" s="3" t="s">
        <v>12</v>
      </c>
      <c r="G1447" s="3"/>
      <c r="H1447" s="16" t="s">
        <v>2843</v>
      </c>
    </row>
    <row r="1448" spans="1:10">
      <c r="A1448" s="16" t="s">
        <v>2462</v>
      </c>
      <c r="B1448" s="2">
        <v>135000</v>
      </c>
      <c r="C1448" s="2">
        <f t="shared" si="306"/>
        <v>1687.5</v>
      </c>
      <c r="D1448" s="44">
        <v>45611</v>
      </c>
      <c r="E1448" s="3" t="s">
        <v>11</v>
      </c>
      <c r="F1448" s="3" t="s">
        <v>12</v>
      </c>
      <c r="G1448" s="3"/>
    </row>
    <row r="1449" spans="1:10">
      <c r="A1449" s="16" t="s">
        <v>3362</v>
      </c>
      <c r="B1449" s="2">
        <v>35000</v>
      </c>
      <c r="C1449" s="2">
        <f t="shared" ref="C1449:C1451" si="307">0.0175*B1449</f>
        <v>612.50000000000011</v>
      </c>
      <c r="D1449" s="44">
        <v>45611</v>
      </c>
      <c r="E1449" s="3" t="s">
        <v>11</v>
      </c>
      <c r="F1449" s="3" t="s">
        <v>28</v>
      </c>
      <c r="G1449" s="3"/>
      <c r="I1449" s="21" t="s">
        <v>30</v>
      </c>
    </row>
    <row r="1450" spans="1:10">
      <c r="A1450" s="16" t="s">
        <v>3363</v>
      </c>
      <c r="B1450" s="2">
        <v>150000</v>
      </c>
      <c r="C1450" s="2">
        <f t="shared" si="307"/>
        <v>2625.0000000000005</v>
      </c>
      <c r="D1450" s="44">
        <v>45614</v>
      </c>
      <c r="E1450" s="3" t="s">
        <v>24</v>
      </c>
      <c r="F1450" s="3" t="s">
        <v>28</v>
      </c>
      <c r="G1450" s="3"/>
      <c r="H1450" s="16" t="s">
        <v>2647</v>
      </c>
      <c r="I1450" s="21" t="s">
        <v>30</v>
      </c>
    </row>
    <row r="1451" spans="1:10">
      <c r="A1451" s="16" t="s">
        <v>3364</v>
      </c>
      <c r="B1451" s="2">
        <v>10000</v>
      </c>
      <c r="C1451" s="2">
        <f t="shared" si="307"/>
        <v>175.00000000000003</v>
      </c>
      <c r="D1451" s="44">
        <v>45614</v>
      </c>
      <c r="E1451" s="3" t="s">
        <v>15</v>
      </c>
      <c r="F1451" s="3" t="s">
        <v>28</v>
      </c>
      <c r="G1451" s="3"/>
      <c r="H1451" s="16" t="s">
        <v>54</v>
      </c>
      <c r="J1451" s="16">
        <v>60</v>
      </c>
    </row>
    <row r="1452" spans="1:10">
      <c r="A1452" s="16" t="s">
        <v>3365</v>
      </c>
      <c r="B1452" s="2">
        <v>275000</v>
      </c>
      <c r="C1452" s="2">
        <f t="shared" ref="C1452:C1453" si="308">0.0125*B1452</f>
        <v>3437.5</v>
      </c>
      <c r="D1452" s="44">
        <v>45614</v>
      </c>
      <c r="E1452" s="3" t="s">
        <v>3334</v>
      </c>
      <c r="F1452" s="3" t="s">
        <v>12</v>
      </c>
      <c r="G1452" s="3"/>
    </row>
    <row r="1453" spans="1:10">
      <c r="A1453" s="16" t="s">
        <v>3366</v>
      </c>
      <c r="B1453" s="2">
        <v>145000</v>
      </c>
      <c r="C1453" s="2">
        <f t="shared" si="308"/>
        <v>1812.5</v>
      </c>
      <c r="D1453" s="44">
        <v>45615</v>
      </c>
      <c r="E1453" s="3" t="s">
        <v>11</v>
      </c>
      <c r="F1453" s="3" t="s">
        <v>12</v>
      </c>
      <c r="G1453" s="3"/>
    </row>
    <row r="1454" spans="1:10">
      <c r="A1454" s="16" t="s">
        <v>3367</v>
      </c>
      <c r="B1454" s="2">
        <v>50000</v>
      </c>
      <c r="C1454" s="2">
        <f t="shared" ref="C1454:C1455" si="309">0.0175*B1454</f>
        <v>875.00000000000011</v>
      </c>
      <c r="D1454" s="44">
        <v>45615</v>
      </c>
      <c r="E1454" s="3" t="s">
        <v>15</v>
      </c>
      <c r="F1454" s="3" t="s">
        <v>28</v>
      </c>
      <c r="G1454" s="3"/>
      <c r="H1454" s="16" t="s">
        <v>16</v>
      </c>
      <c r="I1454" s="21" t="s">
        <v>30</v>
      </c>
      <c r="J1454" s="16">
        <v>200</v>
      </c>
    </row>
    <row r="1455" spans="1:10">
      <c r="A1455" s="16" t="s">
        <v>3368</v>
      </c>
      <c r="B1455" s="2">
        <v>15000</v>
      </c>
      <c r="C1455" s="2">
        <f t="shared" si="309"/>
        <v>262.5</v>
      </c>
      <c r="D1455" s="44">
        <v>45615</v>
      </c>
      <c r="E1455" s="3" t="s">
        <v>15</v>
      </c>
      <c r="F1455" s="3" t="s">
        <v>28</v>
      </c>
      <c r="G1455" s="3"/>
      <c r="H1455" s="16" t="s">
        <v>54</v>
      </c>
      <c r="J1455" s="16">
        <v>90</v>
      </c>
    </row>
    <row r="1456" spans="1:10">
      <c r="A1456" s="16" t="s">
        <v>1131</v>
      </c>
      <c r="B1456" s="2">
        <v>42500</v>
      </c>
      <c r="C1456" s="2">
        <f>0.0125*B1456</f>
        <v>531.25</v>
      </c>
      <c r="D1456" s="44">
        <v>45615</v>
      </c>
      <c r="E1456" s="3" t="s">
        <v>15</v>
      </c>
      <c r="F1456" s="3" t="s">
        <v>12</v>
      </c>
      <c r="G1456" s="3"/>
      <c r="H1456" s="16" t="s">
        <v>51</v>
      </c>
      <c r="J1456" s="16">
        <v>212.5</v>
      </c>
    </row>
    <row r="1457" spans="1:10">
      <c r="A1457" s="16" t="s">
        <v>3369</v>
      </c>
      <c r="B1457" s="2">
        <v>20000</v>
      </c>
      <c r="C1457" s="2">
        <f>0.0175*B1457</f>
        <v>350.00000000000006</v>
      </c>
      <c r="D1457" s="44">
        <v>45615</v>
      </c>
      <c r="E1457" s="3" t="s">
        <v>3248</v>
      </c>
      <c r="F1457" s="3" t="s">
        <v>28</v>
      </c>
      <c r="G1457" s="3"/>
    </row>
    <row r="1458" spans="1:10">
      <c r="A1458" s="16" t="s">
        <v>3370</v>
      </c>
      <c r="B1458" s="2">
        <v>45000</v>
      </c>
      <c r="C1458" s="2">
        <f t="shared" ref="C1458:C1462" si="310">0.0125*B1458</f>
        <v>562.5</v>
      </c>
      <c r="D1458" s="44">
        <v>45615</v>
      </c>
      <c r="E1458" s="3" t="s">
        <v>3248</v>
      </c>
      <c r="F1458" s="3" t="s">
        <v>12</v>
      </c>
      <c r="G1458" s="3"/>
    </row>
    <row r="1459" spans="1:10">
      <c r="A1459" s="16" t="s">
        <v>3371</v>
      </c>
      <c r="B1459" s="2">
        <v>50000</v>
      </c>
      <c r="C1459" s="2">
        <f t="shared" si="310"/>
        <v>625</v>
      </c>
      <c r="D1459" s="44">
        <v>45615</v>
      </c>
      <c r="E1459" s="3" t="s">
        <v>3248</v>
      </c>
      <c r="F1459" s="3" t="s">
        <v>12</v>
      </c>
      <c r="G1459" s="3"/>
    </row>
    <row r="1460" spans="1:10">
      <c r="A1460" s="16" t="s">
        <v>1092</v>
      </c>
      <c r="B1460" s="2">
        <v>50000</v>
      </c>
      <c r="C1460" s="2">
        <f t="shared" si="310"/>
        <v>625</v>
      </c>
      <c r="D1460" s="44">
        <v>45615</v>
      </c>
      <c r="E1460" s="3" t="s">
        <v>15</v>
      </c>
      <c r="F1460" s="3" t="s">
        <v>12</v>
      </c>
      <c r="G1460" s="3"/>
      <c r="H1460" s="16" t="s">
        <v>98</v>
      </c>
      <c r="J1460" s="16">
        <v>150</v>
      </c>
    </row>
    <row r="1461" spans="1:10">
      <c r="A1461" s="16" t="s">
        <v>3252</v>
      </c>
      <c r="B1461" s="2">
        <v>150000</v>
      </c>
      <c r="C1461" s="2">
        <f t="shared" si="310"/>
        <v>1875</v>
      </c>
      <c r="D1461" s="44">
        <v>45615</v>
      </c>
      <c r="E1461" s="3" t="s">
        <v>11</v>
      </c>
      <c r="F1461" s="3" t="s">
        <v>12</v>
      </c>
      <c r="G1461" s="3"/>
    </row>
    <row r="1462" spans="1:10">
      <c r="A1462" s="16" t="s">
        <v>3372</v>
      </c>
      <c r="B1462" s="2">
        <v>600000</v>
      </c>
      <c r="C1462" s="2">
        <f t="shared" si="310"/>
        <v>7500</v>
      </c>
      <c r="D1462" s="44">
        <v>45616</v>
      </c>
      <c r="E1462" s="3" t="s">
        <v>75</v>
      </c>
      <c r="F1462" s="3" t="s">
        <v>12</v>
      </c>
      <c r="G1462" s="3"/>
    </row>
    <row r="1463" spans="1:10">
      <c r="A1463" s="16" t="s">
        <v>3373</v>
      </c>
      <c r="B1463" s="2">
        <v>60000</v>
      </c>
      <c r="C1463" s="2">
        <f t="shared" ref="C1463:C1466" si="311">0.0175*B1463</f>
        <v>1050</v>
      </c>
      <c r="D1463" s="44">
        <v>45616</v>
      </c>
      <c r="E1463" s="3" t="s">
        <v>24</v>
      </c>
      <c r="F1463" s="3" t="s">
        <v>28</v>
      </c>
      <c r="G1463" s="3"/>
      <c r="H1463" s="16" t="s">
        <v>2647</v>
      </c>
      <c r="I1463" s="21" t="s">
        <v>30</v>
      </c>
    </row>
    <row r="1464" spans="1:10">
      <c r="A1464" s="16" t="s">
        <v>3374</v>
      </c>
      <c r="B1464" s="2">
        <v>50000</v>
      </c>
      <c r="C1464" s="2">
        <f t="shared" si="311"/>
        <v>875.00000000000011</v>
      </c>
      <c r="D1464" s="44">
        <v>45616</v>
      </c>
      <c r="E1464" s="3" t="s">
        <v>180</v>
      </c>
      <c r="F1464" s="3" t="s">
        <v>28</v>
      </c>
      <c r="G1464" s="3"/>
      <c r="H1464" s="16" t="s">
        <v>13</v>
      </c>
      <c r="I1464" s="21" t="s">
        <v>30</v>
      </c>
    </row>
    <row r="1465" spans="1:10">
      <c r="A1465" s="16" t="s">
        <v>3375</v>
      </c>
      <c r="B1465" s="2">
        <v>150000</v>
      </c>
      <c r="C1465" s="2">
        <f t="shared" si="311"/>
        <v>2625.0000000000005</v>
      </c>
      <c r="D1465" s="44">
        <v>45616</v>
      </c>
      <c r="E1465" s="3" t="s">
        <v>345</v>
      </c>
      <c r="F1465" s="3" t="s">
        <v>28</v>
      </c>
      <c r="G1465" s="3"/>
      <c r="H1465" s="16" t="s">
        <v>13</v>
      </c>
      <c r="I1465" s="21" t="s">
        <v>30</v>
      </c>
    </row>
    <row r="1466" spans="1:10">
      <c r="A1466" s="16" t="s">
        <v>3376</v>
      </c>
      <c r="B1466" s="2">
        <v>75000</v>
      </c>
      <c r="C1466" s="2">
        <f t="shared" si="311"/>
        <v>1312.5000000000002</v>
      </c>
      <c r="D1466" s="44">
        <v>45616</v>
      </c>
      <c r="E1466" s="3" t="s">
        <v>11</v>
      </c>
      <c r="F1466" s="3" t="s">
        <v>28</v>
      </c>
      <c r="G1466" s="3"/>
      <c r="I1466" s="21" t="s">
        <v>30</v>
      </c>
    </row>
    <row r="1467" spans="1:10">
      <c r="A1467" s="16" t="s">
        <v>686</v>
      </c>
      <c r="B1467" s="2">
        <v>275000</v>
      </c>
      <c r="C1467" s="2">
        <f>0.0125*B1467</f>
        <v>3437.5</v>
      </c>
      <c r="D1467" s="44">
        <v>45616</v>
      </c>
      <c r="E1467" s="3" t="s">
        <v>11</v>
      </c>
      <c r="F1467" s="3" t="s">
        <v>12</v>
      </c>
      <c r="G1467" s="3"/>
    </row>
    <row r="1468" spans="1:10">
      <c r="A1468" s="16" t="s">
        <v>3377</v>
      </c>
      <c r="B1468" s="2">
        <v>100000</v>
      </c>
      <c r="C1468" s="2">
        <f>0.0175*B1468</f>
        <v>1750.0000000000002</v>
      </c>
      <c r="D1468" s="44">
        <v>45616</v>
      </c>
      <c r="E1468" s="3" t="s">
        <v>730</v>
      </c>
      <c r="F1468" s="3" t="s">
        <v>28</v>
      </c>
      <c r="G1468" s="3"/>
      <c r="H1468" s="16" t="s">
        <v>13</v>
      </c>
      <c r="I1468" s="21" t="s">
        <v>30</v>
      </c>
    </row>
    <row r="1469" spans="1:10">
      <c r="A1469" s="16" t="s">
        <v>3378</v>
      </c>
      <c r="B1469" s="17">
        <v>80000</v>
      </c>
      <c r="C1469" s="2">
        <f t="shared" ref="C1469:C1473" si="312">0.0125*B1469</f>
        <v>1000</v>
      </c>
      <c r="D1469" s="44">
        <v>45617</v>
      </c>
      <c r="E1469" s="3" t="s">
        <v>11</v>
      </c>
      <c r="F1469" s="3" t="s">
        <v>12</v>
      </c>
      <c r="G1469" s="3"/>
    </row>
    <row r="1470" spans="1:10">
      <c r="A1470" s="16" t="s">
        <v>3379</v>
      </c>
      <c r="B1470" s="17">
        <v>100000</v>
      </c>
      <c r="C1470" s="2">
        <f t="shared" si="312"/>
        <v>1250</v>
      </c>
      <c r="D1470" s="44">
        <v>45617</v>
      </c>
      <c r="E1470" s="3" t="s">
        <v>11</v>
      </c>
      <c r="F1470" s="3" t="s">
        <v>12</v>
      </c>
      <c r="G1470" s="3"/>
    </row>
    <row r="1471" spans="1:10">
      <c r="A1471" s="16" t="s">
        <v>645</v>
      </c>
      <c r="B1471" s="2">
        <v>500000</v>
      </c>
      <c r="C1471" s="2">
        <f t="shared" si="312"/>
        <v>6250</v>
      </c>
      <c r="D1471" s="44">
        <v>45617</v>
      </c>
      <c r="E1471" s="3" t="s">
        <v>11</v>
      </c>
      <c r="F1471" s="3" t="s">
        <v>12</v>
      </c>
      <c r="G1471" s="3"/>
    </row>
    <row r="1472" spans="1:10">
      <c r="A1472" s="16" t="s">
        <v>560</v>
      </c>
      <c r="B1472" s="2">
        <v>80000</v>
      </c>
      <c r="C1472" s="2">
        <f t="shared" si="312"/>
        <v>1000</v>
      </c>
      <c r="D1472" s="44">
        <v>45617</v>
      </c>
      <c r="E1472" s="3" t="s">
        <v>15</v>
      </c>
      <c r="F1472" s="3" t="s">
        <v>12</v>
      </c>
      <c r="G1472" s="3"/>
      <c r="H1472" s="16" t="s">
        <v>54</v>
      </c>
      <c r="J1472" s="16">
        <v>480</v>
      </c>
    </row>
    <row r="1473" spans="1:10">
      <c r="A1473" s="16" t="s">
        <v>3380</v>
      </c>
      <c r="B1473" s="2">
        <v>500000</v>
      </c>
      <c r="C1473" s="2">
        <f t="shared" si="312"/>
        <v>6250</v>
      </c>
      <c r="D1473" s="44">
        <v>45618</v>
      </c>
      <c r="E1473" s="3" t="s">
        <v>11</v>
      </c>
      <c r="F1473" s="3" t="s">
        <v>12</v>
      </c>
      <c r="G1473" s="3"/>
    </row>
    <row r="1474" spans="1:10">
      <c r="A1474" s="16" t="s">
        <v>3381</v>
      </c>
      <c r="B1474" s="2">
        <v>150000</v>
      </c>
      <c r="C1474" s="2">
        <f t="shared" ref="C1474:C1475" si="313">0.0175*B1474</f>
        <v>2625.0000000000005</v>
      </c>
      <c r="D1474" s="44">
        <v>45618</v>
      </c>
      <c r="E1474" s="3" t="s">
        <v>15</v>
      </c>
      <c r="F1474" s="3" t="s">
        <v>28</v>
      </c>
      <c r="G1474" s="3"/>
      <c r="H1474" s="16" t="s">
        <v>35</v>
      </c>
      <c r="I1474" s="21" t="s">
        <v>30</v>
      </c>
      <c r="J1474" s="16">
        <v>300</v>
      </c>
    </row>
    <row r="1475" spans="1:10">
      <c r="A1475" s="16" t="s">
        <v>3382</v>
      </c>
      <c r="B1475" s="2">
        <v>65000</v>
      </c>
      <c r="C1475" s="2">
        <f t="shared" si="313"/>
        <v>1137.5</v>
      </c>
      <c r="D1475" s="44">
        <v>45618</v>
      </c>
      <c r="E1475" s="3" t="s">
        <v>11</v>
      </c>
      <c r="F1475" s="3" t="s">
        <v>28</v>
      </c>
      <c r="G1475" s="3"/>
      <c r="I1475" s="21" t="s">
        <v>30</v>
      </c>
    </row>
    <row r="1476" spans="1:10">
      <c r="A1476" s="16" t="s">
        <v>3383</v>
      </c>
      <c r="B1476" s="2">
        <v>60000</v>
      </c>
      <c r="C1476" s="2">
        <f t="shared" ref="C1476:C1479" si="314">0.0125*B1476</f>
        <v>750</v>
      </c>
      <c r="D1476" s="44">
        <v>45618</v>
      </c>
      <c r="E1476" s="3" t="s">
        <v>15</v>
      </c>
      <c r="F1476" s="3" t="s">
        <v>12</v>
      </c>
      <c r="G1476" s="3"/>
      <c r="H1476" s="16" t="s">
        <v>51</v>
      </c>
      <c r="J1476" s="16">
        <v>300</v>
      </c>
    </row>
    <row r="1477" spans="1:10">
      <c r="A1477" s="16" t="s">
        <v>3384</v>
      </c>
      <c r="B1477" s="2">
        <v>265000</v>
      </c>
      <c r="C1477" s="2">
        <f t="shared" si="314"/>
        <v>3312.5</v>
      </c>
      <c r="D1477" s="44">
        <v>45618</v>
      </c>
      <c r="E1477" s="3" t="s">
        <v>24</v>
      </c>
      <c r="F1477" s="3" t="s">
        <v>12</v>
      </c>
      <c r="G1477" s="3"/>
      <c r="H1477" s="16" t="s">
        <v>2843</v>
      </c>
    </row>
    <row r="1478" spans="1:10">
      <c r="A1478" s="16" t="s">
        <v>3385</v>
      </c>
      <c r="B1478" s="2">
        <v>60000</v>
      </c>
      <c r="C1478" s="2">
        <f t="shared" si="314"/>
        <v>750</v>
      </c>
      <c r="D1478" s="44">
        <v>45618</v>
      </c>
      <c r="E1478" s="3" t="s">
        <v>15</v>
      </c>
      <c r="F1478" s="3" t="s">
        <v>12</v>
      </c>
      <c r="G1478" s="3"/>
      <c r="H1478" s="16" t="s">
        <v>51</v>
      </c>
      <c r="J1478" s="16">
        <v>300</v>
      </c>
    </row>
    <row r="1479" spans="1:10">
      <c r="A1479" s="16" t="s">
        <v>3386</v>
      </c>
      <c r="B1479" s="2">
        <v>18500</v>
      </c>
      <c r="C1479" s="2">
        <f t="shared" si="314"/>
        <v>231.25</v>
      </c>
      <c r="D1479" s="44">
        <v>45621</v>
      </c>
      <c r="E1479" s="3" t="s">
        <v>15</v>
      </c>
      <c r="F1479" s="3" t="s">
        <v>12</v>
      </c>
      <c r="G1479" s="3"/>
      <c r="H1479" s="16" t="s">
        <v>54</v>
      </c>
      <c r="J1479" s="16">
        <v>111</v>
      </c>
    </row>
    <row r="1480" spans="1:10">
      <c r="A1480" s="16" t="s">
        <v>3387</v>
      </c>
      <c r="B1480" s="2">
        <v>75000</v>
      </c>
      <c r="C1480" s="2">
        <f t="shared" ref="C1480:C1481" si="315">0.0175*B1480</f>
        <v>1312.5000000000002</v>
      </c>
      <c r="D1480" s="44">
        <v>45621</v>
      </c>
      <c r="E1480" s="3" t="s">
        <v>11</v>
      </c>
      <c r="F1480" s="3" t="s">
        <v>28</v>
      </c>
      <c r="G1480" s="3"/>
    </row>
    <row r="1481" spans="1:10">
      <c r="A1481" s="16" t="s">
        <v>3388</v>
      </c>
      <c r="B1481" s="2">
        <v>30000</v>
      </c>
      <c r="C1481" s="2">
        <f t="shared" si="315"/>
        <v>525</v>
      </c>
      <c r="D1481" s="44">
        <v>45621</v>
      </c>
      <c r="E1481" s="3" t="s">
        <v>24</v>
      </c>
      <c r="F1481" s="3" t="s">
        <v>28</v>
      </c>
      <c r="G1481" s="3"/>
      <c r="H1481" s="16" t="s">
        <v>924</v>
      </c>
      <c r="I1481" s="21" t="s">
        <v>30</v>
      </c>
    </row>
    <row r="1482" spans="1:10">
      <c r="A1482" s="16" t="s">
        <v>129</v>
      </c>
      <c r="B1482" s="2">
        <v>200000</v>
      </c>
      <c r="C1482" s="2">
        <f t="shared" ref="C1482:C1483" si="316">0.0125*B1482</f>
        <v>2500</v>
      </c>
      <c r="D1482" s="44">
        <v>45621</v>
      </c>
      <c r="E1482" s="3" t="s">
        <v>24</v>
      </c>
      <c r="F1482" s="3" t="s">
        <v>144</v>
      </c>
      <c r="G1482" s="3"/>
      <c r="H1482" s="16" t="s">
        <v>924</v>
      </c>
    </row>
    <row r="1483" spans="1:10">
      <c r="A1483" s="16" t="s">
        <v>420</v>
      </c>
      <c r="B1483" s="2">
        <v>400000</v>
      </c>
      <c r="C1483" s="2">
        <f t="shared" si="316"/>
        <v>5000</v>
      </c>
      <c r="D1483" s="44">
        <v>45621</v>
      </c>
      <c r="E1483" s="3" t="s">
        <v>24</v>
      </c>
      <c r="F1483" s="3" t="s">
        <v>12</v>
      </c>
      <c r="G1483" s="3"/>
      <c r="H1483" s="16" t="s">
        <v>2843</v>
      </c>
    </row>
    <row r="1484" spans="1:10">
      <c r="A1484" s="16" t="s">
        <v>3389</v>
      </c>
      <c r="B1484" s="2">
        <v>50000</v>
      </c>
      <c r="C1484" s="2">
        <f>0.0175*B1484</f>
        <v>875.00000000000011</v>
      </c>
      <c r="D1484" s="44">
        <v>45622</v>
      </c>
      <c r="E1484" s="3" t="s">
        <v>15</v>
      </c>
      <c r="F1484" s="3" t="s">
        <v>28</v>
      </c>
      <c r="G1484" s="3"/>
      <c r="H1484" s="16" t="s">
        <v>149</v>
      </c>
      <c r="I1484" s="21" t="s">
        <v>30</v>
      </c>
      <c r="J1484" s="16">
        <v>125</v>
      </c>
    </row>
    <row r="1485" spans="1:10">
      <c r="A1485" s="16" t="s">
        <v>3390</v>
      </c>
      <c r="B1485" s="2">
        <v>200000</v>
      </c>
      <c r="C1485" s="2">
        <f>0.0125*B1485</f>
        <v>2500</v>
      </c>
      <c r="D1485" s="44">
        <v>45622</v>
      </c>
      <c r="E1485" s="3" t="s">
        <v>60</v>
      </c>
      <c r="F1485" s="3" t="s">
        <v>12</v>
      </c>
      <c r="G1485" s="3"/>
    </row>
    <row r="1486" spans="1:10">
      <c r="A1486" s="16" t="s">
        <v>3391</v>
      </c>
      <c r="B1486" s="2">
        <v>100000</v>
      </c>
      <c r="C1486" s="2">
        <f t="shared" ref="C1486:C1487" si="317">0.0175*B1486</f>
        <v>1750.0000000000002</v>
      </c>
      <c r="D1486" s="44">
        <v>45622</v>
      </c>
      <c r="E1486" s="3" t="s">
        <v>3166</v>
      </c>
      <c r="F1486" s="3" t="s">
        <v>28</v>
      </c>
      <c r="G1486" s="3"/>
      <c r="H1486" s="16" t="s">
        <v>35</v>
      </c>
      <c r="I1486" s="21" t="s">
        <v>30</v>
      </c>
      <c r="J1486" s="16">
        <v>200</v>
      </c>
    </row>
    <row r="1487" spans="1:10">
      <c r="A1487" s="16" t="s">
        <v>3392</v>
      </c>
      <c r="B1487" s="2">
        <v>300000</v>
      </c>
      <c r="C1487" s="2">
        <f t="shared" si="317"/>
        <v>5250.0000000000009</v>
      </c>
      <c r="D1487" s="44">
        <v>45622</v>
      </c>
      <c r="E1487" s="3" t="s">
        <v>92</v>
      </c>
      <c r="F1487" s="3" t="s">
        <v>28</v>
      </c>
      <c r="G1487" s="3"/>
      <c r="I1487" s="21" t="s">
        <v>30</v>
      </c>
    </row>
    <row r="1488" spans="1:10">
      <c r="A1488" s="16" t="s">
        <v>3393</v>
      </c>
      <c r="B1488" s="2">
        <v>150000</v>
      </c>
      <c r="C1488" s="2">
        <f>0.0125*B1488</f>
        <v>1875</v>
      </c>
      <c r="D1488" s="44">
        <v>45622</v>
      </c>
      <c r="E1488" s="3" t="s">
        <v>60</v>
      </c>
      <c r="F1488" s="3" t="s">
        <v>12</v>
      </c>
      <c r="G1488" s="3"/>
    </row>
    <row r="1489" spans="1:17">
      <c r="A1489" s="16" t="s">
        <v>3291</v>
      </c>
      <c r="B1489" s="2">
        <v>150000</v>
      </c>
      <c r="C1489" s="2">
        <f t="shared" ref="C1489:C1493" si="318">0.0175*B1489</f>
        <v>2625.0000000000005</v>
      </c>
      <c r="D1489" s="44">
        <v>45622</v>
      </c>
      <c r="E1489" s="3" t="s">
        <v>15</v>
      </c>
      <c r="F1489" s="3" t="s">
        <v>67</v>
      </c>
      <c r="G1489" s="3"/>
      <c r="H1489" s="16" t="s">
        <v>149</v>
      </c>
      <c r="I1489" s="21" t="s">
        <v>30</v>
      </c>
      <c r="J1489" s="16">
        <v>375</v>
      </c>
    </row>
    <row r="1490" spans="1:17">
      <c r="A1490" s="16" t="s">
        <v>3394</v>
      </c>
      <c r="B1490" s="2">
        <v>20000</v>
      </c>
      <c r="C1490" s="2">
        <f t="shared" si="318"/>
        <v>350.00000000000006</v>
      </c>
      <c r="D1490" s="44">
        <v>45622</v>
      </c>
      <c r="E1490" s="3" t="s">
        <v>135</v>
      </c>
      <c r="F1490" s="3" t="s">
        <v>28</v>
      </c>
      <c r="G1490" s="3"/>
      <c r="H1490" s="16" t="s">
        <v>13</v>
      </c>
      <c r="I1490" s="21" t="s">
        <v>30</v>
      </c>
    </row>
    <row r="1491" spans="1:17">
      <c r="A1491" s="16" t="s">
        <v>3395</v>
      </c>
      <c r="B1491" s="2">
        <v>175000</v>
      </c>
      <c r="C1491" s="2">
        <f t="shared" si="318"/>
        <v>3062.5000000000005</v>
      </c>
      <c r="D1491" s="44">
        <v>45622</v>
      </c>
      <c r="E1491" s="3" t="s">
        <v>15</v>
      </c>
      <c r="F1491" s="3" t="s">
        <v>28</v>
      </c>
      <c r="G1491" s="3"/>
      <c r="H1491" s="16" t="s">
        <v>98</v>
      </c>
      <c r="I1491" s="21" t="s">
        <v>30</v>
      </c>
      <c r="J1491" s="16">
        <v>525</v>
      </c>
    </row>
    <row r="1492" spans="1:17">
      <c r="A1492" s="16" t="s">
        <v>3396</v>
      </c>
      <c r="B1492" s="2">
        <v>65000</v>
      </c>
      <c r="C1492" s="2">
        <f t="shared" si="318"/>
        <v>1137.5</v>
      </c>
      <c r="D1492" s="44">
        <v>45622</v>
      </c>
      <c r="E1492" s="3" t="s">
        <v>24</v>
      </c>
      <c r="F1492" s="3" t="s">
        <v>28</v>
      </c>
      <c r="G1492" s="3"/>
      <c r="H1492" s="16" t="s">
        <v>924</v>
      </c>
      <c r="I1492" s="21" t="s">
        <v>30</v>
      </c>
    </row>
    <row r="1493" spans="1:17">
      <c r="A1493" s="16" t="s">
        <v>3397</v>
      </c>
      <c r="B1493" s="2">
        <v>30000</v>
      </c>
      <c r="C1493" s="2">
        <f t="shared" si="318"/>
        <v>525</v>
      </c>
      <c r="D1493" s="44">
        <v>45623</v>
      </c>
      <c r="E1493" s="3" t="s">
        <v>60</v>
      </c>
      <c r="F1493" s="3" t="s">
        <v>28</v>
      </c>
      <c r="G1493" s="3"/>
      <c r="I1493" s="21" t="s">
        <v>30</v>
      </c>
    </row>
    <row r="1494" spans="1:17">
      <c r="A1494" s="16" t="s">
        <v>3016</v>
      </c>
      <c r="B1494" s="2">
        <v>655000</v>
      </c>
      <c r="C1494" s="2">
        <f t="shared" ref="C1494:C1495" si="319">0.0125*B1494</f>
        <v>8187.5</v>
      </c>
      <c r="D1494" s="44">
        <v>45623</v>
      </c>
      <c r="E1494" s="3" t="s">
        <v>40</v>
      </c>
      <c r="F1494" s="3" t="s">
        <v>12</v>
      </c>
      <c r="G1494" s="3"/>
      <c r="H1494" s="16" t="s">
        <v>13</v>
      </c>
    </row>
    <row r="1495" spans="1:17">
      <c r="A1495" s="16" t="s">
        <v>3398</v>
      </c>
      <c r="B1495" s="2">
        <v>330000</v>
      </c>
      <c r="C1495" s="2">
        <f t="shared" si="319"/>
        <v>4125</v>
      </c>
      <c r="D1495" s="44">
        <v>45623</v>
      </c>
      <c r="E1495" s="3" t="s">
        <v>11</v>
      </c>
      <c r="F1495" s="3" t="s">
        <v>12</v>
      </c>
      <c r="G1495" s="3"/>
    </row>
    <row r="1496" spans="1:17">
      <c r="A1496" s="16" t="s">
        <v>3399</v>
      </c>
      <c r="B1496" s="2">
        <v>400000</v>
      </c>
      <c r="C1496" s="2">
        <f t="shared" ref="C1496:C1499" si="320">0.0175*B1496</f>
        <v>7000.0000000000009</v>
      </c>
      <c r="D1496" s="44">
        <v>45623</v>
      </c>
      <c r="E1496" s="3" t="s">
        <v>11</v>
      </c>
      <c r="F1496" s="3" t="s">
        <v>28</v>
      </c>
      <c r="G1496" s="3"/>
      <c r="I1496" s="21" t="s">
        <v>30</v>
      </c>
    </row>
    <row r="1497" spans="1:17">
      <c r="A1497" s="16" t="s">
        <v>3400</v>
      </c>
      <c r="B1497" s="2">
        <v>250000</v>
      </c>
      <c r="C1497" s="2">
        <f t="shared" si="320"/>
        <v>4375</v>
      </c>
      <c r="D1497" s="44">
        <v>45623</v>
      </c>
      <c r="E1497" s="3" t="s">
        <v>730</v>
      </c>
      <c r="F1497" s="3" t="s">
        <v>28</v>
      </c>
      <c r="G1497" s="3"/>
      <c r="H1497" s="16" t="s">
        <v>13</v>
      </c>
      <c r="I1497" s="21" t="s">
        <v>30</v>
      </c>
    </row>
    <row r="1498" spans="1:17">
      <c r="A1498" s="16" t="s">
        <v>3254</v>
      </c>
      <c r="B1498" s="2">
        <v>45000</v>
      </c>
      <c r="C1498" s="2">
        <f t="shared" si="320"/>
        <v>787.50000000000011</v>
      </c>
      <c r="D1498" s="44">
        <v>45623</v>
      </c>
      <c r="E1498" s="3" t="s">
        <v>15</v>
      </c>
      <c r="F1498" s="3" t="s">
        <v>67</v>
      </c>
      <c r="G1498" s="3"/>
      <c r="H1498" s="16" t="s">
        <v>35</v>
      </c>
      <c r="I1498" s="21" t="s">
        <v>30</v>
      </c>
      <c r="J1498" s="16">
        <v>90</v>
      </c>
    </row>
    <row r="1499" spans="1:17">
      <c r="A1499" s="16" t="s">
        <v>3401</v>
      </c>
      <c r="B1499" s="2">
        <v>225000</v>
      </c>
      <c r="C1499" s="2">
        <f t="shared" si="320"/>
        <v>3937.5000000000005</v>
      </c>
      <c r="D1499" s="44">
        <v>45623</v>
      </c>
      <c r="E1499" s="3" t="s">
        <v>24</v>
      </c>
      <c r="F1499" s="3" t="s">
        <v>28</v>
      </c>
      <c r="G1499" s="3"/>
      <c r="H1499" s="16" t="s">
        <v>2647</v>
      </c>
    </row>
    <row r="1500" spans="1:17">
      <c r="A1500" s="16" t="s">
        <v>762</v>
      </c>
      <c r="B1500" s="2">
        <v>30000</v>
      </c>
      <c r="C1500" s="2">
        <f>0.0125*B1500</f>
        <v>375</v>
      </c>
      <c r="D1500" s="44">
        <v>45623</v>
      </c>
      <c r="E1500" s="3" t="s">
        <v>11</v>
      </c>
      <c r="F1500" s="3" t="s">
        <v>12</v>
      </c>
      <c r="G1500" s="3"/>
    </row>
    <row r="1501" spans="1:17">
      <c r="A1501" s="11">
        <v>45628</v>
      </c>
      <c r="B1501" s="12">
        <f t="shared" ref="B1501:C1501" si="321">SUM(B1502:B1676)</f>
        <v>40118500</v>
      </c>
      <c r="C1501" s="12">
        <f t="shared" si="321"/>
        <v>583176.25</v>
      </c>
      <c r="D1501" s="53"/>
      <c r="E1501" s="53"/>
      <c r="F1501" s="53"/>
      <c r="G1501" s="53"/>
      <c r="H1501" s="15"/>
      <c r="I1501" s="15"/>
      <c r="J1501" s="15"/>
      <c r="K1501" s="15"/>
    </row>
    <row r="1502" spans="1:17">
      <c r="A1502" s="16" t="s">
        <v>3147</v>
      </c>
      <c r="B1502" s="2">
        <v>1250000</v>
      </c>
      <c r="C1502" s="2">
        <f>0.0125*B1502</f>
        <v>15625</v>
      </c>
      <c r="D1502" s="44">
        <v>45628</v>
      </c>
      <c r="E1502" s="3" t="s">
        <v>24</v>
      </c>
      <c r="F1502" s="3" t="s">
        <v>12</v>
      </c>
      <c r="G1502" s="3"/>
      <c r="H1502" s="16" t="s">
        <v>2843</v>
      </c>
    </row>
    <row r="1503" spans="1:17">
      <c r="A1503" s="16" t="s">
        <v>3402</v>
      </c>
      <c r="B1503" s="2">
        <v>15000</v>
      </c>
      <c r="C1503" s="2">
        <f>0.0175*B1503</f>
        <v>262.5</v>
      </c>
      <c r="D1503" s="44">
        <v>45628</v>
      </c>
      <c r="E1503" s="3" t="s">
        <v>15</v>
      </c>
      <c r="F1503" s="3" t="s">
        <v>28</v>
      </c>
      <c r="G1503" s="3"/>
      <c r="H1503" s="16" t="s">
        <v>54</v>
      </c>
      <c r="I1503" s="21" t="s">
        <v>30</v>
      </c>
      <c r="J1503" s="16">
        <v>90</v>
      </c>
    </row>
    <row r="1504" spans="1:17">
      <c r="A1504" s="16" t="s">
        <v>3403</v>
      </c>
      <c r="B1504" s="2">
        <v>175000</v>
      </c>
      <c r="C1504" s="2">
        <f t="shared" ref="C1504:C1506" si="322">0.0125*B1504</f>
        <v>2187.5</v>
      </c>
      <c r="D1504" s="44">
        <v>45628</v>
      </c>
      <c r="E1504" s="3" t="s">
        <v>11</v>
      </c>
      <c r="F1504" s="3" t="s">
        <v>12</v>
      </c>
      <c r="G1504" s="3"/>
      <c r="P1504" s="16">
        <v>11538.46</v>
      </c>
      <c r="Q1504" s="16" t="s">
        <v>3018</v>
      </c>
    </row>
    <row r="1505" spans="1:17">
      <c r="A1505" s="16" t="s">
        <v>3404</v>
      </c>
      <c r="B1505" s="2">
        <v>40000</v>
      </c>
      <c r="C1505" s="2">
        <f t="shared" si="322"/>
        <v>500</v>
      </c>
      <c r="D1505" s="44">
        <v>45628</v>
      </c>
      <c r="E1505" s="3" t="s">
        <v>11</v>
      </c>
      <c r="F1505" s="3" t="s">
        <v>12</v>
      </c>
      <c r="G1505" s="3"/>
      <c r="P1505" s="16">
        <v>4680</v>
      </c>
      <c r="Q1505" s="16" t="s">
        <v>2764</v>
      </c>
    </row>
    <row r="1506" spans="1:17">
      <c r="A1506" s="16" t="s">
        <v>384</v>
      </c>
      <c r="B1506" s="2">
        <v>470000</v>
      </c>
      <c r="C1506" s="2">
        <f t="shared" si="322"/>
        <v>5875</v>
      </c>
      <c r="D1506" s="44">
        <v>45629</v>
      </c>
      <c r="E1506" s="3" t="s">
        <v>11</v>
      </c>
      <c r="F1506" s="3" t="s">
        <v>12</v>
      </c>
      <c r="G1506" s="3"/>
      <c r="P1506" s="16">
        <v>7818.75</v>
      </c>
      <c r="Q1506" s="16" t="s">
        <v>2765</v>
      </c>
    </row>
    <row r="1507" spans="1:17">
      <c r="A1507" s="16" t="s">
        <v>3405</v>
      </c>
      <c r="B1507" s="2">
        <v>100000</v>
      </c>
      <c r="C1507" s="2">
        <f>0.0175*B1507</f>
        <v>1750.0000000000002</v>
      </c>
      <c r="D1507" s="44">
        <v>45629</v>
      </c>
      <c r="E1507" s="3" t="s">
        <v>15</v>
      </c>
      <c r="F1507" s="3" t="s">
        <v>28</v>
      </c>
      <c r="G1507" s="3"/>
      <c r="H1507" s="16" t="s">
        <v>54</v>
      </c>
      <c r="I1507" s="21" t="s">
        <v>30</v>
      </c>
      <c r="J1507" s="16">
        <v>600</v>
      </c>
      <c r="O1507" s="16">
        <v>4945000</v>
      </c>
      <c r="P1507" s="16">
        <v>49450</v>
      </c>
      <c r="Q1507" s="16" t="s">
        <v>3406</v>
      </c>
    </row>
    <row r="1508" spans="1:17">
      <c r="A1508" s="16" t="s">
        <v>3407</v>
      </c>
      <c r="B1508" s="2">
        <v>55000</v>
      </c>
      <c r="C1508" s="2">
        <f>0.0125*B1508</f>
        <v>687.5</v>
      </c>
      <c r="D1508" s="44">
        <v>45629</v>
      </c>
      <c r="E1508" s="3" t="s">
        <v>15</v>
      </c>
      <c r="F1508" s="3" t="s">
        <v>12</v>
      </c>
      <c r="G1508" s="3"/>
      <c r="H1508" s="16" t="s">
        <v>16</v>
      </c>
      <c r="J1508" s="16">
        <v>220</v>
      </c>
      <c r="N1508" s="16">
        <v>500000</v>
      </c>
      <c r="O1508" s="16">
        <v>3545000</v>
      </c>
      <c r="P1508" s="16">
        <v>8862.5</v>
      </c>
      <c r="Q1508" s="16" t="s">
        <v>31</v>
      </c>
    </row>
    <row r="1509" spans="1:17">
      <c r="A1509" s="16" t="s">
        <v>3408</v>
      </c>
      <c r="B1509" s="2">
        <v>250000</v>
      </c>
      <c r="C1509" s="2">
        <f>0.0175*B1509</f>
        <v>4375</v>
      </c>
      <c r="D1509" s="44">
        <v>45629</v>
      </c>
      <c r="E1509" s="3" t="s">
        <v>60</v>
      </c>
      <c r="F1509" s="3" t="s">
        <v>28</v>
      </c>
      <c r="G1509" s="3"/>
      <c r="I1509" s="21" t="s">
        <v>30</v>
      </c>
      <c r="N1509" s="16">
        <v>550</v>
      </c>
      <c r="O1509" s="16">
        <v>15521.5</v>
      </c>
      <c r="P1509" s="16">
        <v>16071.5</v>
      </c>
      <c r="Q1509" s="16" t="s">
        <v>15</v>
      </c>
    </row>
    <row r="1510" spans="1:17">
      <c r="A1510" s="16" t="s">
        <v>3409</v>
      </c>
      <c r="B1510" s="17">
        <v>145000</v>
      </c>
      <c r="C1510" s="2">
        <f t="shared" ref="C1510:C1511" si="323">0.0125*B1510</f>
        <v>1812.5</v>
      </c>
      <c r="D1510" s="44">
        <v>45630</v>
      </c>
      <c r="E1510" s="3" t="s">
        <v>69</v>
      </c>
      <c r="F1510" s="3" t="s">
        <v>12</v>
      </c>
      <c r="G1510" s="3"/>
      <c r="P1510" s="21">
        <v>3800</v>
      </c>
      <c r="Q1510" s="21" t="s">
        <v>3410</v>
      </c>
    </row>
    <row r="1511" spans="1:17">
      <c r="A1511" s="16" t="s">
        <v>3411</v>
      </c>
      <c r="B1511" s="17">
        <v>350000</v>
      </c>
      <c r="C1511" s="2">
        <f t="shared" si="323"/>
        <v>4375</v>
      </c>
      <c r="D1511" s="44">
        <v>45630</v>
      </c>
      <c r="E1511" s="3" t="s">
        <v>21</v>
      </c>
      <c r="F1511" s="3" t="s">
        <v>12</v>
      </c>
      <c r="G1511" s="3"/>
    </row>
    <row r="1512" spans="1:17">
      <c r="A1512" s="16" t="s">
        <v>3412</v>
      </c>
      <c r="B1512" s="17">
        <v>30000</v>
      </c>
      <c r="C1512" s="2">
        <f t="shared" ref="C1512:C1513" si="324">0.0175*B1512</f>
        <v>525</v>
      </c>
      <c r="D1512" s="44">
        <v>45630</v>
      </c>
      <c r="E1512" s="3" t="s">
        <v>11</v>
      </c>
      <c r="F1512" s="3" t="s">
        <v>41</v>
      </c>
      <c r="G1512" s="3"/>
      <c r="P1512" s="16">
        <v>11538.46</v>
      </c>
      <c r="Q1512" s="16" t="s">
        <v>3413</v>
      </c>
    </row>
    <row r="1513" spans="1:17">
      <c r="A1513" s="16" t="s">
        <v>3414</v>
      </c>
      <c r="B1513" s="2">
        <v>60000</v>
      </c>
      <c r="C1513" s="2">
        <f t="shared" si="324"/>
        <v>1050</v>
      </c>
      <c r="D1513" s="44">
        <v>45630</v>
      </c>
      <c r="E1513" s="3" t="s">
        <v>11</v>
      </c>
      <c r="F1513" s="3" t="s">
        <v>28</v>
      </c>
      <c r="G1513" s="3"/>
      <c r="I1513" s="21" t="s">
        <v>30</v>
      </c>
      <c r="P1513" s="16">
        <v>24061</v>
      </c>
      <c r="Q1513" s="16" t="s">
        <v>15</v>
      </c>
    </row>
    <row r="1514" spans="1:17">
      <c r="A1514" s="16" t="s">
        <v>3415</v>
      </c>
      <c r="B1514" s="2">
        <v>660000</v>
      </c>
      <c r="C1514" s="2">
        <f t="shared" ref="C1514:C1516" si="325">0.0125*B1514</f>
        <v>8250</v>
      </c>
      <c r="D1514" s="44">
        <v>45630</v>
      </c>
      <c r="E1514" s="3" t="s">
        <v>11</v>
      </c>
      <c r="F1514" s="3" t="s">
        <v>12</v>
      </c>
      <c r="G1514" s="3"/>
    </row>
    <row r="1515" spans="1:17">
      <c r="A1515" s="16" t="s">
        <v>3416</v>
      </c>
      <c r="B1515" s="17">
        <v>425000</v>
      </c>
      <c r="C1515" s="2">
        <f t="shared" si="325"/>
        <v>5312.5</v>
      </c>
      <c r="D1515" s="44">
        <v>45630</v>
      </c>
      <c r="E1515" s="3" t="s">
        <v>24</v>
      </c>
      <c r="F1515" s="3" t="s">
        <v>12</v>
      </c>
      <c r="G1515" s="3"/>
      <c r="H1515" s="16" t="s">
        <v>2843</v>
      </c>
    </row>
    <row r="1516" spans="1:17">
      <c r="A1516" s="16" t="s">
        <v>112</v>
      </c>
      <c r="B1516" s="17">
        <v>260000</v>
      </c>
      <c r="C1516" s="2">
        <f t="shared" si="325"/>
        <v>3250</v>
      </c>
      <c r="D1516" s="44">
        <v>45630</v>
      </c>
      <c r="E1516" s="3" t="s">
        <v>11</v>
      </c>
      <c r="F1516" s="3" t="s">
        <v>12</v>
      </c>
      <c r="G1516" s="3"/>
    </row>
    <row r="1517" spans="1:17">
      <c r="A1517" s="16" t="s">
        <v>3417</v>
      </c>
      <c r="B1517" s="2">
        <v>10000</v>
      </c>
      <c r="C1517" s="2">
        <f t="shared" ref="C1517:C1519" si="326">0.0175*B1517</f>
        <v>175.00000000000003</v>
      </c>
      <c r="D1517" s="44">
        <v>45631</v>
      </c>
      <c r="E1517" s="3" t="s">
        <v>15</v>
      </c>
      <c r="F1517" s="3" t="s">
        <v>41</v>
      </c>
      <c r="G1517" s="3"/>
      <c r="H1517" s="16" t="s">
        <v>16</v>
      </c>
      <c r="I1517" s="21" t="s">
        <v>30</v>
      </c>
      <c r="J1517" s="16">
        <v>40</v>
      </c>
    </row>
    <row r="1518" spans="1:17">
      <c r="A1518" s="16" t="s">
        <v>3418</v>
      </c>
      <c r="B1518" s="2">
        <v>150000</v>
      </c>
      <c r="C1518" s="2">
        <f t="shared" si="326"/>
        <v>2625.0000000000005</v>
      </c>
      <c r="D1518" s="44">
        <v>45631</v>
      </c>
      <c r="E1518" s="3" t="s">
        <v>11</v>
      </c>
      <c r="F1518" s="3" t="s">
        <v>28</v>
      </c>
      <c r="G1518" s="3"/>
      <c r="I1518" s="21" t="s">
        <v>30</v>
      </c>
    </row>
    <row r="1519" spans="1:17">
      <c r="A1519" s="16" t="s">
        <v>3419</v>
      </c>
      <c r="B1519" s="2">
        <v>300000</v>
      </c>
      <c r="C1519" s="2">
        <f t="shared" si="326"/>
        <v>5250.0000000000009</v>
      </c>
      <c r="D1519" s="44">
        <v>45631</v>
      </c>
      <c r="E1519" s="3" t="s">
        <v>15</v>
      </c>
      <c r="F1519" s="3" t="s">
        <v>28</v>
      </c>
      <c r="G1519" s="3"/>
      <c r="H1519" s="16" t="s">
        <v>51</v>
      </c>
      <c r="I1519" s="21" t="s">
        <v>30</v>
      </c>
      <c r="J1519" s="16">
        <v>1500</v>
      </c>
    </row>
    <row r="1520" spans="1:17">
      <c r="A1520" s="16" t="s">
        <v>3420</v>
      </c>
      <c r="B1520" s="2">
        <v>1000000</v>
      </c>
      <c r="C1520" s="2">
        <f>0.0125*B1520</f>
        <v>12500</v>
      </c>
      <c r="D1520" s="44">
        <v>45631</v>
      </c>
      <c r="E1520" s="3" t="s">
        <v>15</v>
      </c>
      <c r="F1520" s="3" t="s">
        <v>12</v>
      </c>
      <c r="G1520" s="3"/>
      <c r="H1520" s="16" t="s">
        <v>172</v>
      </c>
      <c r="J1520" s="16">
        <v>1500</v>
      </c>
    </row>
    <row r="1521" spans="1:10">
      <c r="A1521" s="16" t="s">
        <v>3421</v>
      </c>
      <c r="B1521" s="2">
        <v>150000</v>
      </c>
      <c r="C1521" s="2">
        <f>0.0175*B1521</f>
        <v>2625.0000000000005</v>
      </c>
      <c r="D1521" s="44">
        <v>45631</v>
      </c>
      <c r="E1521" s="3" t="s">
        <v>24</v>
      </c>
      <c r="F1521" s="3" t="s">
        <v>28</v>
      </c>
      <c r="G1521" s="3"/>
      <c r="H1521" s="16" t="s">
        <v>2647</v>
      </c>
      <c r="I1521" s="21" t="s">
        <v>30</v>
      </c>
    </row>
    <row r="1522" spans="1:10">
      <c r="A1522" s="16" t="s">
        <v>3398</v>
      </c>
      <c r="B1522" s="2">
        <v>100000</v>
      </c>
      <c r="C1522" s="2">
        <f t="shared" ref="C1522:C1524" si="327">0.0125*B1522</f>
        <v>1250</v>
      </c>
      <c r="D1522" s="44">
        <v>45623</v>
      </c>
      <c r="E1522" s="3" t="s">
        <v>11</v>
      </c>
      <c r="F1522" s="3" t="s">
        <v>12</v>
      </c>
      <c r="G1522" s="3"/>
      <c r="H1522" s="16" t="s">
        <v>3422</v>
      </c>
    </row>
    <row r="1523" spans="1:10">
      <c r="A1523" s="16" t="s">
        <v>972</v>
      </c>
      <c r="B1523" s="17">
        <v>105000</v>
      </c>
      <c r="C1523" s="2">
        <f t="shared" si="327"/>
        <v>1312.5</v>
      </c>
      <c r="D1523" s="44">
        <v>45631</v>
      </c>
      <c r="E1523" s="3" t="s">
        <v>11</v>
      </c>
      <c r="F1523" s="3" t="s">
        <v>12</v>
      </c>
      <c r="G1523" s="3"/>
    </row>
    <row r="1524" spans="1:10">
      <c r="A1524" s="16" t="s">
        <v>728</v>
      </c>
      <c r="B1524" s="17">
        <v>50000</v>
      </c>
      <c r="C1524" s="2">
        <f t="shared" si="327"/>
        <v>625</v>
      </c>
      <c r="D1524" s="44">
        <v>45631</v>
      </c>
      <c r="E1524" s="3" t="s">
        <v>11</v>
      </c>
      <c r="F1524" s="3" t="s">
        <v>12</v>
      </c>
      <c r="G1524" s="3"/>
    </row>
    <row r="1525" spans="1:10">
      <c r="A1525" s="16" t="s">
        <v>3392</v>
      </c>
      <c r="B1525" s="2">
        <v>300000</v>
      </c>
      <c r="C1525" s="2">
        <f>0.0175*B1525</f>
        <v>5250.0000000000009</v>
      </c>
      <c r="D1525" s="44">
        <v>45623</v>
      </c>
      <c r="E1525" s="3" t="s">
        <v>92</v>
      </c>
      <c r="F1525" s="3" t="s">
        <v>28</v>
      </c>
      <c r="G1525" s="3"/>
      <c r="H1525" s="16" t="s">
        <v>3423</v>
      </c>
      <c r="I1525" s="21" t="s">
        <v>30</v>
      </c>
    </row>
    <row r="1526" spans="1:10">
      <c r="A1526" s="16" t="s">
        <v>2509</v>
      </c>
      <c r="B1526" s="2">
        <v>100000</v>
      </c>
      <c r="C1526" s="2">
        <f t="shared" ref="C1526:C1527" si="328">0.0125*B1526</f>
        <v>1250</v>
      </c>
      <c r="D1526" s="44">
        <v>45631</v>
      </c>
      <c r="E1526" s="3" t="s">
        <v>11</v>
      </c>
      <c r="F1526" s="3" t="s">
        <v>12</v>
      </c>
      <c r="G1526" s="3"/>
    </row>
    <row r="1527" spans="1:10">
      <c r="A1527" s="16" t="s">
        <v>3424</v>
      </c>
      <c r="B1527" s="2">
        <v>160000</v>
      </c>
      <c r="C1527" s="2">
        <f t="shared" si="328"/>
        <v>2000</v>
      </c>
      <c r="D1527" s="44">
        <v>45632</v>
      </c>
      <c r="E1527" s="3" t="s">
        <v>11</v>
      </c>
      <c r="F1527" s="3" t="s">
        <v>12</v>
      </c>
      <c r="G1527" s="3"/>
    </row>
    <row r="1528" spans="1:10">
      <c r="A1528" s="16" t="s">
        <v>3425</v>
      </c>
      <c r="B1528" s="2">
        <v>25000</v>
      </c>
      <c r="C1528" s="2">
        <f>0.0175*B1528</f>
        <v>437.50000000000006</v>
      </c>
      <c r="D1528" s="44">
        <v>45632</v>
      </c>
      <c r="E1528" s="3" t="s">
        <v>11</v>
      </c>
      <c r="F1528" s="3" t="s">
        <v>28</v>
      </c>
      <c r="G1528" s="3"/>
      <c r="I1528" s="21" t="s">
        <v>30</v>
      </c>
    </row>
    <row r="1529" spans="1:10">
      <c r="A1529" s="16" t="s">
        <v>3426</v>
      </c>
      <c r="B1529" s="2">
        <v>25000</v>
      </c>
      <c r="C1529" s="2">
        <f>0.0125*B1529</f>
        <v>312.5</v>
      </c>
      <c r="D1529" s="44">
        <v>45632</v>
      </c>
      <c r="E1529" s="3" t="s">
        <v>15</v>
      </c>
      <c r="F1529" s="3" t="s">
        <v>144</v>
      </c>
      <c r="G1529" s="3"/>
      <c r="H1529" s="16" t="s">
        <v>51</v>
      </c>
      <c r="J1529" s="16">
        <v>125</v>
      </c>
    </row>
    <row r="1530" spans="1:10">
      <c r="A1530" s="16" t="s">
        <v>3427</v>
      </c>
      <c r="B1530" s="2">
        <v>325000</v>
      </c>
      <c r="C1530" s="2">
        <f t="shared" ref="C1530:C1531" si="329">0.0175*B1530</f>
        <v>5687.5000000000009</v>
      </c>
      <c r="D1530" s="44">
        <v>45632</v>
      </c>
      <c r="E1530" s="3" t="s">
        <v>24</v>
      </c>
      <c r="F1530" s="3" t="s">
        <v>28</v>
      </c>
      <c r="G1530" s="3"/>
      <c r="H1530" s="16" t="s">
        <v>2647</v>
      </c>
      <c r="I1530" s="21" t="s">
        <v>30</v>
      </c>
    </row>
    <row r="1531" spans="1:10">
      <c r="A1531" s="16" t="s">
        <v>3428</v>
      </c>
      <c r="B1531" s="2">
        <v>250000</v>
      </c>
      <c r="C1531" s="2">
        <f t="shared" si="329"/>
        <v>4375</v>
      </c>
      <c r="D1531" s="44">
        <v>45632</v>
      </c>
      <c r="E1531" s="3" t="s">
        <v>11</v>
      </c>
      <c r="F1531" s="3" t="s">
        <v>28</v>
      </c>
      <c r="G1531" s="3"/>
      <c r="I1531" s="21" t="s">
        <v>30</v>
      </c>
    </row>
    <row r="1532" spans="1:10">
      <c r="A1532" s="16" t="s">
        <v>3429</v>
      </c>
      <c r="B1532" s="2">
        <v>250000</v>
      </c>
      <c r="C1532" s="2">
        <f t="shared" ref="C1532:C1533" si="330">0.0125*B1532</f>
        <v>3125</v>
      </c>
      <c r="D1532" s="44">
        <v>45632</v>
      </c>
      <c r="E1532" s="3" t="s">
        <v>73</v>
      </c>
      <c r="F1532" s="3" t="s">
        <v>12</v>
      </c>
      <c r="G1532" s="3"/>
    </row>
    <row r="1533" spans="1:10">
      <c r="A1533" s="16" t="s">
        <v>701</v>
      </c>
      <c r="B1533" s="2">
        <v>18000</v>
      </c>
      <c r="C1533" s="2">
        <f t="shared" si="330"/>
        <v>225</v>
      </c>
      <c r="D1533" s="44">
        <v>45632</v>
      </c>
      <c r="E1533" s="3" t="s">
        <v>73</v>
      </c>
      <c r="F1533" s="3" t="s">
        <v>12</v>
      </c>
      <c r="G1533" s="3"/>
    </row>
    <row r="1534" spans="1:10">
      <c r="A1534" s="16" t="s">
        <v>3430</v>
      </c>
      <c r="B1534" s="2">
        <v>60000</v>
      </c>
      <c r="C1534" s="2">
        <f t="shared" ref="C1534:C1538" si="331">0.0175*B1534</f>
        <v>1050</v>
      </c>
      <c r="D1534" s="44">
        <v>45632</v>
      </c>
      <c r="E1534" s="3" t="s">
        <v>24</v>
      </c>
      <c r="F1534" s="3" t="s">
        <v>28</v>
      </c>
      <c r="G1534" s="3"/>
      <c r="H1534" s="16" t="s">
        <v>2647</v>
      </c>
      <c r="I1534" s="21" t="s">
        <v>30</v>
      </c>
    </row>
    <row r="1535" spans="1:10">
      <c r="A1535" s="16" t="s">
        <v>250</v>
      </c>
      <c r="B1535" s="2">
        <v>55000</v>
      </c>
      <c r="C1535" s="2">
        <f t="shared" si="331"/>
        <v>962.50000000000011</v>
      </c>
      <c r="D1535" s="44">
        <v>45632</v>
      </c>
      <c r="E1535" s="3" t="s">
        <v>147</v>
      </c>
      <c r="F1535" s="3" t="s">
        <v>28</v>
      </c>
      <c r="G1535" s="3"/>
      <c r="I1535" s="21" t="s">
        <v>30</v>
      </c>
    </row>
    <row r="1536" spans="1:10">
      <c r="A1536" s="16" t="s">
        <v>3431</v>
      </c>
      <c r="B1536" s="2">
        <v>145000</v>
      </c>
      <c r="C1536" s="2">
        <f t="shared" si="331"/>
        <v>2537.5000000000005</v>
      </c>
      <c r="D1536" s="44">
        <v>45635</v>
      </c>
      <c r="E1536" s="3" t="s">
        <v>69</v>
      </c>
      <c r="F1536" s="3" t="s">
        <v>28</v>
      </c>
      <c r="G1536" s="3"/>
      <c r="H1536" s="16" t="s">
        <v>13</v>
      </c>
      <c r="I1536" s="21" t="s">
        <v>30</v>
      </c>
    </row>
    <row r="1537" spans="1:10">
      <c r="A1537" s="16" t="s">
        <v>3432</v>
      </c>
      <c r="B1537" s="2">
        <v>120000</v>
      </c>
      <c r="C1537" s="2">
        <f t="shared" si="331"/>
        <v>2100</v>
      </c>
      <c r="D1537" s="44">
        <v>45635</v>
      </c>
      <c r="E1537" s="3" t="s">
        <v>15</v>
      </c>
      <c r="F1537" s="3" t="s">
        <v>28</v>
      </c>
      <c r="G1537" s="3"/>
      <c r="H1537" s="16" t="s">
        <v>98</v>
      </c>
      <c r="I1537" s="21" t="s">
        <v>30</v>
      </c>
      <c r="J1537" s="16">
        <v>360</v>
      </c>
    </row>
    <row r="1538" spans="1:10">
      <c r="A1538" s="16" t="s">
        <v>3433</v>
      </c>
      <c r="B1538" s="2">
        <v>75000</v>
      </c>
      <c r="C1538" s="2">
        <f t="shared" si="331"/>
        <v>1312.5000000000002</v>
      </c>
      <c r="D1538" s="44">
        <v>45635</v>
      </c>
      <c r="E1538" s="3" t="s">
        <v>3434</v>
      </c>
      <c r="F1538" s="3" t="s">
        <v>67</v>
      </c>
      <c r="G1538" s="3"/>
      <c r="I1538" s="21" t="s">
        <v>30</v>
      </c>
    </row>
    <row r="1539" spans="1:10">
      <c r="A1539" s="16" t="s">
        <v>634</v>
      </c>
      <c r="B1539" s="2">
        <v>265000</v>
      </c>
      <c r="C1539" s="2">
        <f t="shared" ref="C1539:C1540" si="332">0.0125*B1539</f>
        <v>3312.5</v>
      </c>
      <c r="D1539" s="44">
        <v>45635</v>
      </c>
      <c r="E1539" s="3" t="s">
        <v>60</v>
      </c>
      <c r="F1539" s="3" t="s">
        <v>12</v>
      </c>
      <c r="G1539" s="3"/>
    </row>
    <row r="1540" spans="1:10">
      <c r="A1540" s="16" t="s">
        <v>3435</v>
      </c>
      <c r="B1540" s="2">
        <v>35000</v>
      </c>
      <c r="C1540" s="2">
        <f t="shared" si="332"/>
        <v>437.5</v>
      </c>
      <c r="D1540" s="44">
        <v>45635</v>
      </c>
      <c r="E1540" s="3" t="s">
        <v>11</v>
      </c>
      <c r="F1540" s="3" t="s">
        <v>12</v>
      </c>
      <c r="G1540" s="3"/>
    </row>
    <row r="1541" spans="1:10">
      <c r="A1541" s="16" t="s">
        <v>3436</v>
      </c>
      <c r="B1541" s="2">
        <v>100000</v>
      </c>
      <c r="C1541" s="2">
        <f>0.0175*B1541</f>
        <v>1750.0000000000002</v>
      </c>
      <c r="D1541" s="44">
        <v>45636</v>
      </c>
      <c r="E1541" s="3" t="s">
        <v>15</v>
      </c>
      <c r="F1541" s="3" t="s">
        <v>28</v>
      </c>
      <c r="G1541" s="3"/>
      <c r="H1541" s="16" t="s">
        <v>98</v>
      </c>
      <c r="I1541" s="21" t="s">
        <v>30</v>
      </c>
      <c r="J1541" s="16">
        <v>300</v>
      </c>
    </row>
    <row r="1542" spans="1:10">
      <c r="A1542" s="16" t="s">
        <v>1356</v>
      </c>
      <c r="B1542" s="2">
        <v>100000</v>
      </c>
      <c r="C1542" s="2">
        <f t="shared" ref="C1542:C1545" si="333">0.0125*B1542</f>
        <v>1250</v>
      </c>
      <c r="D1542" s="44">
        <v>45636</v>
      </c>
      <c r="E1542" s="3" t="s">
        <v>24</v>
      </c>
      <c r="F1542" s="3" t="s">
        <v>12</v>
      </c>
      <c r="G1542" s="3"/>
      <c r="H1542" s="16" t="s">
        <v>924</v>
      </c>
    </row>
    <row r="1543" spans="1:10">
      <c r="A1543" s="16" t="s">
        <v>3437</v>
      </c>
      <c r="B1543" s="2">
        <v>140000</v>
      </c>
      <c r="C1543" s="2">
        <f t="shared" si="333"/>
        <v>1750</v>
      </c>
      <c r="D1543" s="44">
        <v>45636</v>
      </c>
      <c r="E1543" s="3" t="s">
        <v>75</v>
      </c>
      <c r="F1543" s="3" t="s">
        <v>12</v>
      </c>
      <c r="G1543" s="3"/>
    </row>
    <row r="1544" spans="1:10">
      <c r="A1544" s="16" t="s">
        <v>3438</v>
      </c>
      <c r="B1544" s="2">
        <v>100000</v>
      </c>
      <c r="C1544" s="2">
        <f t="shared" si="333"/>
        <v>1250</v>
      </c>
      <c r="D1544" s="44">
        <v>45636</v>
      </c>
      <c r="E1544" s="3" t="s">
        <v>15</v>
      </c>
      <c r="F1544" s="3" t="s">
        <v>12</v>
      </c>
      <c r="G1544" s="3"/>
      <c r="H1544" s="16" t="s">
        <v>35</v>
      </c>
      <c r="J1544" s="16">
        <v>200</v>
      </c>
    </row>
    <row r="1545" spans="1:10">
      <c r="A1545" s="16" t="s">
        <v>3439</v>
      </c>
      <c r="B1545" s="2">
        <v>450000</v>
      </c>
      <c r="C1545" s="2">
        <f t="shared" si="333"/>
        <v>5625</v>
      </c>
      <c r="D1545" s="44">
        <v>45636</v>
      </c>
      <c r="E1545" s="3" t="s">
        <v>11</v>
      </c>
      <c r="F1545" s="3" t="s">
        <v>12</v>
      </c>
      <c r="G1545" s="3"/>
    </row>
    <row r="1546" spans="1:10">
      <c r="A1546" s="16" t="s">
        <v>3440</v>
      </c>
      <c r="B1546" s="2">
        <v>75000</v>
      </c>
      <c r="C1546" s="2">
        <f>0.0175*B1546</f>
        <v>1312.5000000000002</v>
      </c>
      <c r="D1546" s="44">
        <v>45636</v>
      </c>
      <c r="E1546" s="3" t="s">
        <v>11</v>
      </c>
      <c r="F1546" s="3" t="s">
        <v>41</v>
      </c>
      <c r="G1546" s="3"/>
    </row>
    <row r="1547" spans="1:10">
      <c r="A1547" s="16" t="s">
        <v>3441</v>
      </c>
      <c r="B1547" s="2">
        <v>600000</v>
      </c>
      <c r="C1547" s="2">
        <f t="shared" ref="C1547:C1548" si="334">0.0125*B1547</f>
        <v>7500</v>
      </c>
      <c r="D1547" s="44">
        <v>45636</v>
      </c>
      <c r="E1547" s="3" t="s">
        <v>210</v>
      </c>
      <c r="F1547" s="3" t="s">
        <v>12</v>
      </c>
      <c r="G1547" s="3"/>
      <c r="H1547" s="16" t="s">
        <v>22</v>
      </c>
    </row>
    <row r="1548" spans="1:10">
      <c r="A1548" s="16" t="s">
        <v>3442</v>
      </c>
      <c r="B1548" s="2">
        <v>29000</v>
      </c>
      <c r="C1548" s="2">
        <f t="shared" si="334"/>
        <v>362.5</v>
      </c>
      <c r="D1548" s="44">
        <v>45637</v>
      </c>
      <c r="E1548" s="3" t="s">
        <v>15</v>
      </c>
      <c r="F1548" s="3" t="s">
        <v>12</v>
      </c>
      <c r="G1548" s="3"/>
      <c r="H1548" s="16" t="s">
        <v>54</v>
      </c>
      <c r="J1548" s="16">
        <v>174</v>
      </c>
    </row>
    <row r="1549" spans="1:10">
      <c r="A1549" s="16" t="s">
        <v>3309</v>
      </c>
      <c r="B1549" s="2">
        <v>75000</v>
      </c>
      <c r="C1549" s="2">
        <f t="shared" ref="C1549:C1553" si="335">0.0175*B1549</f>
        <v>1312.5000000000002</v>
      </c>
      <c r="D1549" s="44">
        <v>45637</v>
      </c>
      <c r="E1549" s="3" t="s">
        <v>15</v>
      </c>
      <c r="F1549" s="3" t="s">
        <v>28</v>
      </c>
      <c r="G1549" s="3"/>
      <c r="H1549" s="16" t="s">
        <v>35</v>
      </c>
      <c r="J1549" s="16">
        <v>150</v>
      </c>
    </row>
    <row r="1550" spans="1:10">
      <c r="A1550" s="16" t="s">
        <v>3443</v>
      </c>
      <c r="B1550" s="2">
        <v>40000</v>
      </c>
      <c r="C1550" s="2">
        <f t="shared" si="335"/>
        <v>700.00000000000011</v>
      </c>
      <c r="D1550" s="44">
        <v>45637</v>
      </c>
      <c r="E1550" s="3" t="s">
        <v>11</v>
      </c>
      <c r="F1550" s="3" t="s">
        <v>28</v>
      </c>
      <c r="G1550" s="3"/>
      <c r="I1550" s="21" t="s">
        <v>30</v>
      </c>
    </row>
    <row r="1551" spans="1:10">
      <c r="A1551" s="16" t="s">
        <v>3444</v>
      </c>
      <c r="B1551" s="2">
        <v>115000</v>
      </c>
      <c r="C1551" s="2">
        <f t="shared" si="335"/>
        <v>2012.5000000000002</v>
      </c>
      <c r="D1551" s="44">
        <v>45637</v>
      </c>
      <c r="E1551" s="3" t="s">
        <v>60</v>
      </c>
      <c r="F1551" s="3" t="s">
        <v>28</v>
      </c>
      <c r="G1551" s="3"/>
      <c r="I1551" s="21" t="s">
        <v>30</v>
      </c>
    </row>
    <row r="1552" spans="1:10">
      <c r="A1552" s="16" t="s">
        <v>3445</v>
      </c>
      <c r="B1552" s="2">
        <v>200000</v>
      </c>
      <c r="C1552" s="2">
        <f t="shared" si="335"/>
        <v>3500.0000000000005</v>
      </c>
      <c r="D1552" s="44">
        <v>45637</v>
      </c>
      <c r="E1552" s="3" t="s">
        <v>75</v>
      </c>
      <c r="F1552" s="3" t="s">
        <v>28</v>
      </c>
      <c r="G1552" s="3"/>
    </row>
    <row r="1553" spans="1:10">
      <c r="A1553" s="16" t="s">
        <v>3446</v>
      </c>
      <c r="B1553" s="2">
        <v>50000</v>
      </c>
      <c r="C1553" s="2">
        <f t="shared" si="335"/>
        <v>875.00000000000011</v>
      </c>
      <c r="D1553" s="44">
        <v>45637</v>
      </c>
      <c r="E1553" s="3" t="s">
        <v>11</v>
      </c>
      <c r="F1553" s="3" t="s">
        <v>28</v>
      </c>
      <c r="G1553" s="3"/>
      <c r="I1553" s="21" t="s">
        <v>30</v>
      </c>
    </row>
    <row r="1554" spans="1:10">
      <c r="A1554" s="16" t="s">
        <v>3447</v>
      </c>
      <c r="B1554" s="2">
        <v>385000</v>
      </c>
      <c r="C1554" s="2">
        <f t="shared" ref="C1554:C1556" si="336">0.0125*B1554</f>
        <v>4812.5</v>
      </c>
      <c r="D1554" s="44">
        <v>45637</v>
      </c>
      <c r="E1554" s="3" t="s">
        <v>15</v>
      </c>
      <c r="F1554" s="3" t="s">
        <v>12</v>
      </c>
      <c r="G1554" s="3"/>
      <c r="H1554" s="16" t="s">
        <v>16</v>
      </c>
      <c r="J1554" s="16">
        <v>1540</v>
      </c>
    </row>
    <row r="1555" spans="1:10">
      <c r="A1555" s="16" t="s">
        <v>3448</v>
      </c>
      <c r="B1555" s="2">
        <v>325000</v>
      </c>
      <c r="C1555" s="2">
        <f t="shared" si="336"/>
        <v>4062.5</v>
      </c>
      <c r="D1555" s="44">
        <v>45637</v>
      </c>
      <c r="E1555" s="3" t="s">
        <v>24</v>
      </c>
      <c r="F1555" s="3" t="s">
        <v>12</v>
      </c>
      <c r="G1555" s="3"/>
      <c r="H1555" s="16" t="s">
        <v>2843</v>
      </c>
    </row>
    <row r="1556" spans="1:10">
      <c r="A1556" s="16" t="s">
        <v>2553</v>
      </c>
      <c r="B1556" s="2">
        <v>190000</v>
      </c>
      <c r="C1556" s="2">
        <f t="shared" si="336"/>
        <v>2375</v>
      </c>
      <c r="D1556" s="44">
        <v>45637</v>
      </c>
      <c r="E1556" s="3" t="s">
        <v>73</v>
      </c>
      <c r="F1556" s="3" t="s">
        <v>12</v>
      </c>
      <c r="G1556" s="3"/>
      <c r="H1556" s="16" t="s">
        <v>3449</v>
      </c>
    </row>
    <row r="1557" spans="1:10">
      <c r="A1557" s="16" t="s">
        <v>3450</v>
      </c>
      <c r="B1557" s="2">
        <v>364000</v>
      </c>
      <c r="C1557" s="2">
        <f>0.0175*B1557</f>
        <v>6370.0000000000009</v>
      </c>
      <c r="D1557" s="44">
        <v>45637</v>
      </c>
      <c r="E1557" s="3" t="s">
        <v>902</v>
      </c>
      <c r="F1557" s="3" t="s">
        <v>28</v>
      </c>
      <c r="G1557" s="3"/>
      <c r="I1557" s="21" t="s">
        <v>30</v>
      </c>
    </row>
    <row r="1558" spans="1:10">
      <c r="A1558" s="16" t="s">
        <v>93</v>
      </c>
      <c r="B1558" s="2">
        <v>1000000</v>
      </c>
      <c r="C1558" s="2">
        <f>0.0125*B1558</f>
        <v>12500</v>
      </c>
      <c r="D1558" s="44">
        <v>45637</v>
      </c>
      <c r="E1558" s="3" t="s">
        <v>11</v>
      </c>
      <c r="F1558" s="3" t="s">
        <v>12</v>
      </c>
      <c r="G1558" s="3"/>
    </row>
    <row r="1559" spans="1:10">
      <c r="A1559" s="16" t="s">
        <v>72</v>
      </c>
      <c r="B1559" s="2">
        <v>100000</v>
      </c>
      <c r="C1559" s="2">
        <f t="shared" ref="C1559:C1562" si="337">0.0175*B1559</f>
        <v>1750.0000000000002</v>
      </c>
      <c r="D1559" s="44">
        <v>45637</v>
      </c>
      <c r="E1559" s="3" t="s">
        <v>73</v>
      </c>
      <c r="F1559" s="3" t="s">
        <v>67</v>
      </c>
      <c r="G1559" s="3"/>
    </row>
    <row r="1560" spans="1:10">
      <c r="A1560" s="16" t="s">
        <v>3451</v>
      </c>
      <c r="B1560" s="2">
        <v>125000</v>
      </c>
      <c r="C1560" s="2">
        <f t="shared" si="337"/>
        <v>2187.5</v>
      </c>
      <c r="D1560" s="44">
        <v>45637</v>
      </c>
      <c r="E1560" s="3" t="s">
        <v>24</v>
      </c>
      <c r="F1560" s="3" t="s">
        <v>28</v>
      </c>
      <c r="G1560" s="3"/>
      <c r="H1560" s="16" t="s">
        <v>2647</v>
      </c>
      <c r="I1560" s="21" t="s">
        <v>30</v>
      </c>
    </row>
    <row r="1561" spans="1:10">
      <c r="A1561" s="16" t="s">
        <v>3452</v>
      </c>
      <c r="B1561" s="2">
        <v>150000</v>
      </c>
      <c r="C1561" s="2">
        <f t="shared" si="337"/>
        <v>2625.0000000000005</v>
      </c>
      <c r="D1561" s="44">
        <v>45637</v>
      </c>
      <c r="E1561" s="3" t="s">
        <v>3453</v>
      </c>
      <c r="F1561" s="3" t="s">
        <v>28</v>
      </c>
      <c r="G1561" s="3"/>
      <c r="H1561" s="16" t="s">
        <v>13</v>
      </c>
      <c r="I1561" s="21" t="s">
        <v>30</v>
      </c>
    </row>
    <row r="1562" spans="1:10">
      <c r="A1562" s="16" t="s">
        <v>3454</v>
      </c>
      <c r="B1562" s="2">
        <v>100000</v>
      </c>
      <c r="C1562" s="2">
        <f t="shared" si="337"/>
        <v>1750.0000000000002</v>
      </c>
      <c r="D1562" s="44">
        <v>45638</v>
      </c>
      <c r="E1562" s="3" t="s">
        <v>92</v>
      </c>
      <c r="F1562" s="3" t="s">
        <v>28</v>
      </c>
      <c r="G1562" s="3"/>
      <c r="I1562" s="21" t="s">
        <v>30</v>
      </c>
    </row>
    <row r="1563" spans="1:10">
      <c r="A1563" s="16" t="s">
        <v>3455</v>
      </c>
      <c r="B1563" s="2">
        <v>110000</v>
      </c>
      <c r="C1563" s="2">
        <f>0.0125*B1563</f>
        <v>1375</v>
      </c>
      <c r="D1563" s="44">
        <v>45638</v>
      </c>
      <c r="E1563" s="3" t="s">
        <v>15</v>
      </c>
      <c r="F1563" s="3" t="s">
        <v>12</v>
      </c>
      <c r="G1563" s="3"/>
      <c r="H1563" s="16" t="s">
        <v>16</v>
      </c>
      <c r="J1563" s="16">
        <v>440</v>
      </c>
    </row>
    <row r="1564" spans="1:10">
      <c r="A1564" s="16" t="s">
        <v>3456</v>
      </c>
      <c r="B1564" s="2">
        <v>120000</v>
      </c>
      <c r="C1564" s="2">
        <f t="shared" ref="C1564:C1565" si="338">0.0175*B1564</f>
        <v>2100</v>
      </c>
      <c r="D1564" s="44">
        <v>45638</v>
      </c>
      <c r="E1564" s="3" t="s">
        <v>15</v>
      </c>
      <c r="F1564" s="3" t="s">
        <v>28</v>
      </c>
      <c r="G1564" s="3"/>
      <c r="H1564" s="16" t="s">
        <v>51</v>
      </c>
      <c r="I1564" s="21" t="s">
        <v>30</v>
      </c>
      <c r="J1564" s="16">
        <v>600</v>
      </c>
    </row>
    <row r="1565" spans="1:10">
      <c r="A1565" s="16" t="s">
        <v>3457</v>
      </c>
      <c r="B1565" s="2">
        <v>25000</v>
      </c>
      <c r="C1565" s="2">
        <f t="shared" si="338"/>
        <v>437.50000000000006</v>
      </c>
      <c r="D1565" s="44">
        <v>45638</v>
      </c>
      <c r="E1565" s="3" t="s">
        <v>15</v>
      </c>
      <c r="F1565" s="3" t="s">
        <v>28</v>
      </c>
      <c r="G1565" s="3"/>
      <c r="H1565" s="16" t="s">
        <v>149</v>
      </c>
      <c r="I1565" s="21" t="s">
        <v>30</v>
      </c>
      <c r="J1565" s="16">
        <v>62.5</v>
      </c>
    </row>
    <row r="1566" spans="1:10">
      <c r="A1566" s="16" t="s">
        <v>630</v>
      </c>
      <c r="B1566" s="17">
        <v>42500</v>
      </c>
      <c r="C1566" s="2">
        <f t="shared" ref="C1566:C1567" si="339">0.0125*B1566</f>
        <v>531.25</v>
      </c>
      <c r="D1566" s="44">
        <v>45638</v>
      </c>
      <c r="E1566" s="3" t="s">
        <v>11</v>
      </c>
      <c r="F1566" s="3" t="s">
        <v>12</v>
      </c>
      <c r="G1566" s="3"/>
    </row>
    <row r="1567" spans="1:10">
      <c r="A1567" s="16" t="s">
        <v>299</v>
      </c>
      <c r="B1567" s="17">
        <v>100000</v>
      </c>
      <c r="C1567" s="2">
        <f t="shared" si="339"/>
        <v>1250</v>
      </c>
      <c r="D1567" s="44">
        <v>45638</v>
      </c>
      <c r="E1567" s="3" t="s">
        <v>11</v>
      </c>
      <c r="F1567" s="3" t="s">
        <v>12</v>
      </c>
      <c r="G1567" s="3"/>
    </row>
    <row r="1568" spans="1:10">
      <c r="A1568" s="16" t="s">
        <v>3458</v>
      </c>
      <c r="B1568" s="2">
        <v>40000</v>
      </c>
      <c r="C1568" s="2">
        <f t="shared" ref="C1568:C1569" si="340">0.0175*B1568</f>
        <v>700.00000000000011</v>
      </c>
      <c r="D1568" s="44">
        <v>45638</v>
      </c>
      <c r="E1568" s="3" t="s">
        <v>15</v>
      </c>
      <c r="F1568" s="3" t="s">
        <v>28</v>
      </c>
      <c r="G1568" s="3"/>
      <c r="H1568" s="16" t="s">
        <v>54</v>
      </c>
      <c r="I1568" s="21" t="s">
        <v>30</v>
      </c>
      <c r="J1568" s="16">
        <v>240</v>
      </c>
    </row>
    <row r="1569" spans="1:10">
      <c r="A1569" s="16" t="s">
        <v>3459</v>
      </c>
      <c r="B1569" s="2">
        <v>85000</v>
      </c>
      <c r="C1569" s="2">
        <f t="shared" si="340"/>
        <v>1487.5000000000002</v>
      </c>
      <c r="D1569" s="44">
        <v>45638</v>
      </c>
      <c r="E1569" s="3" t="s">
        <v>11</v>
      </c>
      <c r="F1569" s="3" t="s">
        <v>28</v>
      </c>
      <c r="G1569" s="3"/>
      <c r="I1569" s="21" t="s">
        <v>30</v>
      </c>
    </row>
    <row r="1570" spans="1:10">
      <c r="A1570" s="16" t="s">
        <v>2413</v>
      </c>
      <c r="B1570" s="2">
        <v>185000</v>
      </c>
      <c r="C1570" s="2">
        <f>0.0125*B1570</f>
        <v>2312.5</v>
      </c>
      <c r="D1570" s="44">
        <v>45638</v>
      </c>
      <c r="E1570" s="3" t="s">
        <v>11</v>
      </c>
      <c r="F1570" s="3" t="s">
        <v>12</v>
      </c>
      <c r="G1570" s="3"/>
    </row>
    <row r="1571" spans="1:10">
      <c r="A1571" s="16" t="s">
        <v>3460</v>
      </c>
      <c r="B1571" s="2">
        <v>100000</v>
      </c>
      <c r="C1571" s="2">
        <f>0.0175*B1571</f>
        <v>1750.0000000000002</v>
      </c>
      <c r="D1571" s="44">
        <v>45638</v>
      </c>
      <c r="E1571" s="3" t="s">
        <v>60</v>
      </c>
      <c r="F1571" s="3" t="s">
        <v>28</v>
      </c>
      <c r="G1571" s="3"/>
      <c r="I1571" s="21" t="s">
        <v>30</v>
      </c>
    </row>
    <row r="1572" spans="1:10">
      <c r="A1572" s="16" t="s">
        <v>3461</v>
      </c>
      <c r="B1572" s="2">
        <v>210000</v>
      </c>
      <c r="C1572" s="2">
        <f t="shared" ref="C1572:C1578" si="341">0.0125*B1572</f>
        <v>2625</v>
      </c>
      <c r="D1572" s="44">
        <v>45638</v>
      </c>
      <c r="E1572" s="3" t="s">
        <v>11</v>
      </c>
      <c r="F1572" s="3" t="s">
        <v>12</v>
      </c>
      <c r="G1572" s="3"/>
      <c r="H1572" s="16"/>
    </row>
    <row r="1573" spans="1:10">
      <c r="A1573" s="16" t="s">
        <v>107</v>
      </c>
      <c r="B1573" s="2">
        <v>415000</v>
      </c>
      <c r="C1573" s="2">
        <f t="shared" si="341"/>
        <v>5187.5</v>
      </c>
      <c r="D1573" s="44">
        <v>45639</v>
      </c>
      <c r="E1573" s="3" t="s">
        <v>24</v>
      </c>
      <c r="F1573" s="3" t="s">
        <v>12</v>
      </c>
      <c r="G1573" s="3"/>
      <c r="H1573" s="16" t="s">
        <v>2843</v>
      </c>
    </row>
    <row r="1574" spans="1:10">
      <c r="A1574" s="16" t="s">
        <v>2999</v>
      </c>
      <c r="B1574" s="2">
        <v>250000</v>
      </c>
      <c r="C1574" s="2">
        <f t="shared" si="341"/>
        <v>3125</v>
      </c>
      <c r="D1574" s="44">
        <v>45639</v>
      </c>
      <c r="E1574" s="3" t="s">
        <v>15</v>
      </c>
      <c r="F1574" s="3" t="s">
        <v>12</v>
      </c>
      <c r="G1574" s="3"/>
      <c r="H1574" s="16" t="s">
        <v>98</v>
      </c>
      <c r="J1574" s="16">
        <v>750</v>
      </c>
    </row>
    <row r="1575" spans="1:10">
      <c r="A1575" s="16" t="s">
        <v>3462</v>
      </c>
      <c r="B1575" s="2">
        <v>25000</v>
      </c>
      <c r="C1575" s="2">
        <f t="shared" si="341"/>
        <v>312.5</v>
      </c>
      <c r="D1575" s="44">
        <v>45639</v>
      </c>
      <c r="E1575" s="3" t="s">
        <v>15</v>
      </c>
      <c r="F1575" s="3" t="s">
        <v>12</v>
      </c>
      <c r="G1575" s="3"/>
      <c r="H1575" s="16" t="s">
        <v>54</v>
      </c>
      <c r="J1575" s="16">
        <v>150</v>
      </c>
    </row>
    <row r="1576" spans="1:10">
      <c r="A1576" s="16" t="s">
        <v>161</v>
      </c>
      <c r="B1576" s="2">
        <v>110000</v>
      </c>
      <c r="C1576" s="2">
        <f t="shared" si="341"/>
        <v>1375</v>
      </c>
      <c r="D1576" s="44">
        <v>45639</v>
      </c>
      <c r="E1576" s="3" t="s">
        <v>24</v>
      </c>
      <c r="F1576" s="3" t="s">
        <v>12</v>
      </c>
      <c r="G1576" s="3"/>
      <c r="H1576" s="16" t="s">
        <v>2843</v>
      </c>
    </row>
    <row r="1577" spans="1:10">
      <c r="A1577" s="16" t="s">
        <v>3463</v>
      </c>
      <c r="B1577" s="2">
        <v>125000</v>
      </c>
      <c r="C1577" s="2">
        <f t="shared" si="341"/>
        <v>1562.5</v>
      </c>
      <c r="D1577" s="44">
        <v>45639</v>
      </c>
      <c r="E1577" s="3" t="s">
        <v>11</v>
      </c>
      <c r="F1577" s="3" t="s">
        <v>12</v>
      </c>
      <c r="G1577" s="3"/>
    </row>
    <row r="1578" spans="1:10">
      <c r="A1578" s="16" t="s">
        <v>3464</v>
      </c>
      <c r="B1578" s="2">
        <v>80000</v>
      </c>
      <c r="C1578" s="2">
        <f t="shared" si="341"/>
        <v>1000</v>
      </c>
      <c r="D1578" s="44">
        <v>45639</v>
      </c>
      <c r="E1578" s="3" t="s">
        <v>24</v>
      </c>
      <c r="F1578" s="3" t="s">
        <v>144</v>
      </c>
      <c r="G1578" s="3"/>
      <c r="H1578" s="16" t="s">
        <v>2647</v>
      </c>
    </row>
    <row r="1579" spans="1:10">
      <c r="A1579" s="16" t="s">
        <v>3465</v>
      </c>
      <c r="B1579" s="2">
        <v>500000</v>
      </c>
      <c r="C1579" s="2">
        <f t="shared" ref="C1579:C1581" si="342">0.0175*B1579</f>
        <v>8750</v>
      </c>
      <c r="D1579" s="44">
        <v>45639</v>
      </c>
      <c r="E1579" s="3" t="s">
        <v>60</v>
      </c>
      <c r="F1579" s="3" t="s">
        <v>28</v>
      </c>
      <c r="G1579" s="3"/>
      <c r="I1579" s="21" t="s">
        <v>30</v>
      </c>
    </row>
    <row r="1580" spans="1:10">
      <c r="A1580" s="16" t="s">
        <v>3466</v>
      </c>
      <c r="B1580" s="2">
        <v>300000</v>
      </c>
      <c r="C1580" s="2">
        <f t="shared" si="342"/>
        <v>5250.0000000000009</v>
      </c>
      <c r="D1580" s="44">
        <v>45639</v>
      </c>
      <c r="E1580" s="3" t="s">
        <v>11</v>
      </c>
      <c r="F1580" s="3" t="s">
        <v>28</v>
      </c>
      <c r="G1580" s="3"/>
      <c r="I1580" s="21" t="s">
        <v>30</v>
      </c>
    </row>
    <row r="1581" spans="1:10">
      <c r="A1581" s="16" t="s">
        <v>3467</v>
      </c>
      <c r="B1581" s="2">
        <v>50000</v>
      </c>
      <c r="C1581" s="2">
        <f t="shared" si="342"/>
        <v>875.00000000000011</v>
      </c>
      <c r="D1581" s="44">
        <v>45639</v>
      </c>
      <c r="E1581" s="3" t="s">
        <v>24</v>
      </c>
      <c r="F1581" s="3" t="s">
        <v>28</v>
      </c>
      <c r="G1581" s="3"/>
      <c r="H1581" s="16" t="s">
        <v>2647</v>
      </c>
      <c r="I1581" s="21" t="s">
        <v>30</v>
      </c>
    </row>
    <row r="1582" spans="1:10">
      <c r="A1582" s="16" t="s">
        <v>3468</v>
      </c>
      <c r="B1582" s="2">
        <v>30000</v>
      </c>
      <c r="C1582" s="2">
        <f t="shared" ref="C1582:C1583" si="343">0.0125*B1582</f>
        <v>375</v>
      </c>
      <c r="D1582" s="44">
        <v>45639</v>
      </c>
      <c r="E1582" s="3" t="s">
        <v>15</v>
      </c>
      <c r="F1582" s="3" t="s">
        <v>12</v>
      </c>
      <c r="G1582" s="3"/>
      <c r="H1582" s="16" t="s">
        <v>54</v>
      </c>
      <c r="J1582" s="16">
        <v>180</v>
      </c>
    </row>
    <row r="1583" spans="1:10">
      <c r="A1583" s="16" t="s">
        <v>1169</v>
      </c>
      <c r="B1583" s="2">
        <v>85000</v>
      </c>
      <c r="C1583" s="2">
        <f t="shared" si="343"/>
        <v>1062.5</v>
      </c>
      <c r="D1583" s="44">
        <v>45639</v>
      </c>
      <c r="E1583" s="3" t="s">
        <v>11</v>
      </c>
      <c r="F1583" s="3" t="s">
        <v>12</v>
      </c>
      <c r="G1583" s="3"/>
    </row>
    <row r="1584" spans="1:10">
      <c r="A1584" s="16" t="s">
        <v>3469</v>
      </c>
      <c r="B1584" s="2">
        <v>1000000</v>
      </c>
      <c r="C1584" s="2">
        <f>0.0175*B1584</f>
        <v>17500</v>
      </c>
      <c r="D1584" s="44">
        <v>45639</v>
      </c>
      <c r="E1584" s="3" t="s">
        <v>118</v>
      </c>
      <c r="F1584" s="3" t="s">
        <v>28</v>
      </c>
      <c r="G1584" s="3"/>
      <c r="H1584" s="16" t="s">
        <v>13</v>
      </c>
      <c r="I1584" s="21" t="s">
        <v>30</v>
      </c>
    </row>
    <row r="1585" spans="1:10">
      <c r="A1585" s="16" t="s">
        <v>3470</v>
      </c>
      <c r="B1585" s="2">
        <v>550000</v>
      </c>
      <c r="C1585" s="2">
        <f t="shared" ref="C1585:C1587" si="344">0.0125*B1585</f>
        <v>6875</v>
      </c>
      <c r="D1585" s="44">
        <v>45639</v>
      </c>
      <c r="E1585" s="3" t="s">
        <v>60</v>
      </c>
      <c r="F1585" s="3" t="s">
        <v>12</v>
      </c>
      <c r="G1585" s="3"/>
    </row>
    <row r="1586" spans="1:10">
      <c r="A1586" s="16" t="s">
        <v>3471</v>
      </c>
      <c r="B1586" s="2">
        <v>225000</v>
      </c>
      <c r="C1586" s="2">
        <f t="shared" si="344"/>
        <v>2812.5</v>
      </c>
      <c r="D1586" s="44">
        <v>45639</v>
      </c>
      <c r="E1586" s="3" t="s">
        <v>60</v>
      </c>
      <c r="F1586" s="3" t="s">
        <v>12</v>
      </c>
      <c r="G1586" s="3"/>
    </row>
    <row r="1587" spans="1:10">
      <c r="A1587" s="16" t="s">
        <v>3472</v>
      </c>
      <c r="B1587" s="2">
        <v>100000</v>
      </c>
      <c r="C1587" s="2">
        <f t="shared" si="344"/>
        <v>1250</v>
      </c>
      <c r="D1587" s="44">
        <v>45639</v>
      </c>
      <c r="E1587" s="3" t="s">
        <v>3473</v>
      </c>
      <c r="F1587" s="3" t="s">
        <v>12</v>
      </c>
      <c r="G1587" s="3"/>
    </row>
    <row r="1588" spans="1:10">
      <c r="A1588" s="16" t="s">
        <v>3474</v>
      </c>
      <c r="B1588" s="2">
        <v>140000</v>
      </c>
      <c r="C1588" s="2">
        <f t="shared" ref="C1588:C1589" si="345">0.0175*B1588</f>
        <v>2450.0000000000005</v>
      </c>
      <c r="D1588" s="44">
        <v>45639</v>
      </c>
      <c r="E1588" s="3" t="s">
        <v>135</v>
      </c>
      <c r="F1588" s="3" t="s">
        <v>41</v>
      </c>
      <c r="G1588" s="3"/>
      <c r="H1588" s="16" t="s">
        <v>13</v>
      </c>
    </row>
    <row r="1589" spans="1:10">
      <c r="A1589" s="16" t="s">
        <v>3475</v>
      </c>
      <c r="B1589" s="2">
        <v>50000</v>
      </c>
      <c r="C1589" s="2">
        <f t="shared" si="345"/>
        <v>875.00000000000011</v>
      </c>
      <c r="D1589" s="44">
        <v>45639</v>
      </c>
      <c r="E1589" s="3" t="s">
        <v>15</v>
      </c>
      <c r="F1589" s="3" t="s">
        <v>28</v>
      </c>
      <c r="G1589" s="3"/>
      <c r="H1589" s="16" t="s">
        <v>16</v>
      </c>
      <c r="I1589" s="21" t="s">
        <v>30</v>
      </c>
      <c r="J1589" s="16">
        <v>200</v>
      </c>
    </row>
    <row r="1590" spans="1:10">
      <c r="A1590" s="16" t="s">
        <v>717</v>
      </c>
      <c r="B1590" s="2">
        <v>800000</v>
      </c>
      <c r="C1590" s="2">
        <f t="shared" ref="C1590:C1593" si="346">0.0125*B1590</f>
        <v>10000</v>
      </c>
      <c r="D1590" s="44">
        <v>45642</v>
      </c>
      <c r="E1590" s="3" t="s">
        <v>24</v>
      </c>
      <c r="F1590" s="3" t="s">
        <v>12</v>
      </c>
      <c r="G1590" s="3"/>
      <c r="H1590" s="16" t="s">
        <v>3476</v>
      </c>
    </row>
    <row r="1591" spans="1:10">
      <c r="A1591" s="16" t="s">
        <v>3477</v>
      </c>
      <c r="B1591" s="2">
        <v>150000</v>
      </c>
      <c r="C1591" s="2">
        <f t="shared" si="346"/>
        <v>1875</v>
      </c>
      <c r="D1591" s="44">
        <v>45642</v>
      </c>
      <c r="E1591" s="3" t="s">
        <v>11</v>
      </c>
      <c r="F1591" s="3" t="s">
        <v>12</v>
      </c>
      <c r="G1591" s="3"/>
    </row>
    <row r="1592" spans="1:10">
      <c r="A1592" s="16" t="s">
        <v>3478</v>
      </c>
      <c r="B1592" s="2">
        <v>925000</v>
      </c>
      <c r="C1592" s="2">
        <f t="shared" si="346"/>
        <v>11562.5</v>
      </c>
      <c r="D1592" s="44">
        <v>45642</v>
      </c>
      <c r="E1592" s="3" t="s">
        <v>21</v>
      </c>
      <c r="F1592" s="3" t="s">
        <v>12</v>
      </c>
      <c r="G1592" s="3"/>
      <c r="H1592" s="16" t="s">
        <v>22</v>
      </c>
    </row>
    <row r="1593" spans="1:10">
      <c r="A1593" s="16" t="s">
        <v>510</v>
      </c>
      <c r="B1593" s="2">
        <v>300000</v>
      </c>
      <c r="C1593" s="2">
        <f t="shared" si="346"/>
        <v>3750</v>
      </c>
      <c r="D1593" s="44">
        <v>45642</v>
      </c>
      <c r="E1593" s="3" t="s">
        <v>24</v>
      </c>
      <c r="F1593" s="3" t="s">
        <v>12</v>
      </c>
      <c r="G1593" s="3"/>
      <c r="H1593" s="16" t="s">
        <v>3476</v>
      </c>
    </row>
    <row r="1594" spans="1:10">
      <c r="A1594" s="16" t="s">
        <v>3479</v>
      </c>
      <c r="B1594" s="2">
        <v>50000</v>
      </c>
      <c r="C1594" s="2">
        <f>0.0175*B1594</f>
        <v>875.00000000000011</v>
      </c>
      <c r="D1594" s="44">
        <v>45642</v>
      </c>
      <c r="E1594" s="3" t="s">
        <v>15</v>
      </c>
      <c r="F1594" s="3" t="s">
        <v>28</v>
      </c>
      <c r="G1594" s="3"/>
      <c r="H1594" s="16" t="s">
        <v>35</v>
      </c>
      <c r="I1594" s="21" t="s">
        <v>30</v>
      </c>
      <c r="J1594" s="16">
        <v>100</v>
      </c>
    </row>
    <row r="1595" spans="1:10">
      <c r="A1595" s="16" t="s">
        <v>3480</v>
      </c>
      <c r="B1595" s="2">
        <v>150000</v>
      </c>
      <c r="C1595" s="2">
        <f>0.0125*B1595</f>
        <v>1875</v>
      </c>
      <c r="D1595" s="44">
        <v>45642</v>
      </c>
      <c r="E1595" s="3" t="s">
        <v>73</v>
      </c>
      <c r="F1595" s="3" t="s">
        <v>12</v>
      </c>
      <c r="G1595" s="3"/>
    </row>
    <row r="1596" spans="1:10">
      <c r="A1596" s="16" t="s">
        <v>3481</v>
      </c>
      <c r="B1596" s="2">
        <v>50000</v>
      </c>
      <c r="C1596" s="2">
        <f>0.0175*B1596</f>
        <v>875.00000000000011</v>
      </c>
      <c r="D1596" s="44">
        <v>45642</v>
      </c>
      <c r="E1596" s="3" t="s">
        <v>69</v>
      </c>
      <c r="F1596" s="3" t="s">
        <v>28</v>
      </c>
      <c r="G1596" s="3"/>
      <c r="H1596" s="16" t="s">
        <v>13</v>
      </c>
      <c r="I1596" s="21" t="s">
        <v>30</v>
      </c>
    </row>
    <row r="1597" spans="1:10">
      <c r="A1597" s="16" t="s">
        <v>3482</v>
      </c>
      <c r="B1597" s="2">
        <v>400000</v>
      </c>
      <c r="C1597" s="2">
        <f t="shared" ref="C1597:C1598" si="347">0.0125*B1597</f>
        <v>5000</v>
      </c>
      <c r="D1597" s="44">
        <v>45642</v>
      </c>
      <c r="E1597" s="3" t="s">
        <v>24</v>
      </c>
      <c r="F1597" s="3" t="s">
        <v>12</v>
      </c>
      <c r="G1597" s="3"/>
      <c r="H1597" s="16" t="s">
        <v>3476</v>
      </c>
    </row>
    <row r="1598" spans="1:10">
      <c r="A1598" s="16" t="s">
        <v>3483</v>
      </c>
      <c r="B1598" s="2">
        <v>65000</v>
      </c>
      <c r="C1598" s="2">
        <f t="shared" si="347"/>
        <v>812.5</v>
      </c>
      <c r="D1598" s="44">
        <v>45643</v>
      </c>
      <c r="E1598" s="3" t="s">
        <v>92</v>
      </c>
      <c r="F1598" s="3" t="s">
        <v>12</v>
      </c>
      <c r="G1598" s="3"/>
    </row>
    <row r="1599" spans="1:10">
      <c r="A1599" s="16" t="s">
        <v>3484</v>
      </c>
      <c r="B1599" s="2">
        <v>60000</v>
      </c>
      <c r="C1599" s="2">
        <f t="shared" ref="C1599:C1601" si="348">0.0175*B1599</f>
        <v>1050</v>
      </c>
      <c r="D1599" s="44">
        <v>45643</v>
      </c>
      <c r="E1599" s="3" t="s">
        <v>11</v>
      </c>
      <c r="F1599" s="3" t="s">
        <v>28</v>
      </c>
      <c r="G1599" s="3"/>
      <c r="I1599" s="21" t="s">
        <v>30</v>
      </c>
    </row>
    <row r="1600" spans="1:10">
      <c r="A1600" s="16" t="s">
        <v>3485</v>
      </c>
      <c r="B1600" s="2">
        <v>225000</v>
      </c>
      <c r="C1600" s="2">
        <f t="shared" si="348"/>
        <v>3937.5000000000005</v>
      </c>
      <c r="D1600" s="44">
        <v>45643</v>
      </c>
      <c r="E1600" s="3" t="s">
        <v>24</v>
      </c>
      <c r="F1600" s="3" t="s">
        <v>28</v>
      </c>
      <c r="G1600" s="3"/>
      <c r="H1600" s="24" t="s">
        <v>3476</v>
      </c>
      <c r="I1600" s="21" t="s">
        <v>30</v>
      </c>
    </row>
    <row r="1601" spans="1:10">
      <c r="A1601" s="16" t="s">
        <v>3486</v>
      </c>
      <c r="B1601" s="2">
        <v>80000</v>
      </c>
      <c r="C1601" s="2">
        <f t="shared" si="348"/>
        <v>1400.0000000000002</v>
      </c>
      <c r="D1601" s="44">
        <v>45643</v>
      </c>
      <c r="E1601" s="3" t="s">
        <v>15</v>
      </c>
      <c r="F1601" s="3" t="s">
        <v>28</v>
      </c>
      <c r="G1601" s="3"/>
      <c r="H1601" s="16" t="s">
        <v>16</v>
      </c>
      <c r="I1601" s="21" t="s">
        <v>30</v>
      </c>
      <c r="J1601" s="16">
        <v>320</v>
      </c>
    </row>
    <row r="1602" spans="1:10">
      <c r="A1602" s="16" t="s">
        <v>3487</v>
      </c>
      <c r="B1602" s="2">
        <v>375000</v>
      </c>
      <c r="C1602" s="2">
        <f>0.0125*B1602</f>
        <v>4687.5</v>
      </c>
      <c r="D1602" s="44">
        <v>45643</v>
      </c>
      <c r="E1602" s="3" t="s">
        <v>69</v>
      </c>
      <c r="F1602" s="3" t="s">
        <v>12</v>
      </c>
      <c r="G1602" s="3"/>
      <c r="H1602" s="16" t="s">
        <v>22</v>
      </c>
    </row>
    <row r="1603" spans="1:10">
      <c r="A1603" s="16" t="s">
        <v>3488</v>
      </c>
      <c r="B1603" s="2">
        <v>70000</v>
      </c>
      <c r="C1603" s="2">
        <f t="shared" ref="C1603:C1604" si="349">0.0175*B1603</f>
        <v>1225.0000000000002</v>
      </c>
      <c r="D1603" s="44">
        <v>45643</v>
      </c>
      <c r="E1603" s="3" t="s">
        <v>11</v>
      </c>
      <c r="F1603" s="3" t="s">
        <v>28</v>
      </c>
      <c r="G1603" s="3"/>
      <c r="I1603" s="21" t="s">
        <v>30</v>
      </c>
    </row>
    <row r="1604" spans="1:10">
      <c r="A1604" s="16" t="s">
        <v>3489</v>
      </c>
      <c r="B1604" s="2">
        <v>200000</v>
      </c>
      <c r="C1604" s="2">
        <f t="shared" si="349"/>
        <v>3500.0000000000005</v>
      </c>
      <c r="D1604" s="44">
        <v>45643</v>
      </c>
      <c r="E1604" s="3" t="s">
        <v>118</v>
      </c>
      <c r="F1604" s="3" t="s">
        <v>28</v>
      </c>
      <c r="G1604" s="3"/>
      <c r="H1604" s="16" t="s">
        <v>13</v>
      </c>
      <c r="I1604" s="21" t="s">
        <v>30</v>
      </c>
    </row>
    <row r="1605" spans="1:10">
      <c r="A1605" s="16" t="s">
        <v>770</v>
      </c>
      <c r="B1605" s="2">
        <v>235000</v>
      </c>
      <c r="C1605" s="2">
        <f t="shared" ref="C1605:C1606" si="350">0.0125*B1605</f>
        <v>2937.5</v>
      </c>
      <c r="D1605" s="44">
        <v>45644</v>
      </c>
      <c r="E1605" s="3" t="s">
        <v>40</v>
      </c>
      <c r="F1605" s="3" t="s">
        <v>12</v>
      </c>
      <c r="G1605" s="3"/>
    </row>
    <row r="1606" spans="1:10">
      <c r="A1606" s="16" t="s">
        <v>2379</v>
      </c>
      <c r="B1606" s="2">
        <v>785000</v>
      </c>
      <c r="C1606" s="2">
        <f t="shared" si="350"/>
        <v>9812.5</v>
      </c>
      <c r="D1606" s="44">
        <v>45644</v>
      </c>
      <c r="E1606" s="3" t="s">
        <v>73</v>
      </c>
      <c r="F1606" s="3" t="s">
        <v>12</v>
      </c>
      <c r="G1606" s="3"/>
    </row>
    <row r="1607" spans="1:10">
      <c r="A1607" s="16" t="s">
        <v>3490</v>
      </c>
      <c r="B1607" s="2">
        <v>40000</v>
      </c>
      <c r="C1607" s="2">
        <f>0.0175*B1607</f>
        <v>700.00000000000011</v>
      </c>
      <c r="D1607" s="44">
        <v>45644</v>
      </c>
      <c r="E1607" s="3" t="s">
        <v>15</v>
      </c>
      <c r="F1607" s="3" t="s">
        <v>28</v>
      </c>
      <c r="G1607" s="3"/>
      <c r="H1607" s="16" t="s">
        <v>54</v>
      </c>
      <c r="I1607" s="21" t="s">
        <v>30</v>
      </c>
      <c r="J1607" s="16">
        <v>240</v>
      </c>
    </row>
    <row r="1608" spans="1:10">
      <c r="A1608" s="16" t="s">
        <v>1016</v>
      </c>
      <c r="B1608" s="2">
        <v>550000</v>
      </c>
      <c r="C1608" s="2">
        <f>0.0125*B1608</f>
        <v>6875</v>
      </c>
      <c r="D1608" s="44">
        <v>45644</v>
      </c>
      <c r="E1608" s="3" t="s">
        <v>92</v>
      </c>
      <c r="F1608" s="3" t="s">
        <v>12</v>
      </c>
      <c r="G1608" s="3"/>
    </row>
    <row r="1609" spans="1:10">
      <c r="A1609" s="16" t="s">
        <v>3491</v>
      </c>
      <c r="B1609" s="2">
        <v>300000</v>
      </c>
      <c r="C1609" s="2">
        <f t="shared" ref="C1609:C1610" si="351">0.0175*B1609</f>
        <v>5250.0000000000009</v>
      </c>
      <c r="D1609" s="44">
        <v>45644</v>
      </c>
      <c r="E1609" s="3" t="s">
        <v>11</v>
      </c>
      <c r="F1609" s="3" t="s">
        <v>28</v>
      </c>
      <c r="G1609" s="3"/>
      <c r="I1609" s="21" t="s">
        <v>30</v>
      </c>
    </row>
    <row r="1610" spans="1:10">
      <c r="A1610" s="16" t="s">
        <v>3492</v>
      </c>
      <c r="B1610" s="2">
        <v>200000</v>
      </c>
      <c r="C1610" s="2">
        <f t="shared" si="351"/>
        <v>3500.0000000000005</v>
      </c>
      <c r="D1610" s="44">
        <v>45644</v>
      </c>
      <c r="E1610" s="3" t="s">
        <v>21</v>
      </c>
      <c r="F1610" s="3" t="s">
        <v>28</v>
      </c>
      <c r="G1610" s="3"/>
      <c r="H1610" s="16" t="s">
        <v>13</v>
      </c>
      <c r="I1610" s="21" t="s">
        <v>30</v>
      </c>
    </row>
    <row r="1611" spans="1:10">
      <c r="A1611" s="16" t="s">
        <v>3135</v>
      </c>
      <c r="B1611" s="2">
        <v>175000</v>
      </c>
      <c r="C1611" s="2">
        <f>0.0125*B1611</f>
        <v>2187.5</v>
      </c>
      <c r="D1611" s="44">
        <v>45644</v>
      </c>
      <c r="E1611" s="3" t="s">
        <v>345</v>
      </c>
      <c r="F1611" s="3" t="s">
        <v>144</v>
      </c>
      <c r="G1611" s="3"/>
      <c r="H1611" s="16" t="s">
        <v>22</v>
      </c>
    </row>
    <row r="1612" spans="1:10">
      <c r="A1612" s="16" t="s">
        <v>3493</v>
      </c>
      <c r="B1612" s="2">
        <v>150000</v>
      </c>
      <c r="C1612" s="2">
        <f t="shared" ref="C1612:C1615" si="352">0.0175*B1612</f>
        <v>2625.0000000000005</v>
      </c>
      <c r="D1612" s="44">
        <v>45644</v>
      </c>
      <c r="E1612" s="3" t="s">
        <v>15</v>
      </c>
      <c r="F1612" s="3" t="s">
        <v>28</v>
      </c>
      <c r="G1612" s="3"/>
      <c r="H1612" s="16" t="s">
        <v>98</v>
      </c>
      <c r="I1612" s="21" t="s">
        <v>30</v>
      </c>
      <c r="J1612" s="16">
        <v>450</v>
      </c>
    </row>
    <row r="1613" spans="1:10">
      <c r="A1613" s="16" t="s">
        <v>3494</v>
      </c>
      <c r="B1613" s="2">
        <v>400000</v>
      </c>
      <c r="C1613" s="2">
        <f t="shared" si="352"/>
        <v>7000.0000000000009</v>
      </c>
      <c r="D1613" s="44">
        <v>45645</v>
      </c>
      <c r="E1613" s="3" t="s">
        <v>24</v>
      </c>
      <c r="F1613" s="3" t="s">
        <v>28</v>
      </c>
      <c r="G1613" s="3"/>
      <c r="H1613" s="24" t="s">
        <v>3476</v>
      </c>
      <c r="I1613" s="21" t="s">
        <v>30</v>
      </c>
    </row>
    <row r="1614" spans="1:10">
      <c r="A1614" s="16" t="s">
        <v>3495</v>
      </c>
      <c r="B1614" s="2">
        <v>45000</v>
      </c>
      <c r="C1614" s="2">
        <f t="shared" si="352"/>
        <v>787.50000000000011</v>
      </c>
      <c r="D1614" s="44">
        <v>45645</v>
      </c>
      <c r="E1614" s="3" t="s">
        <v>11</v>
      </c>
      <c r="F1614" s="3" t="s">
        <v>28</v>
      </c>
      <c r="G1614" s="3"/>
      <c r="I1614" s="21" t="s">
        <v>30</v>
      </c>
    </row>
    <row r="1615" spans="1:10">
      <c r="A1615" s="16" t="s">
        <v>3496</v>
      </c>
      <c r="B1615" s="2">
        <v>25000</v>
      </c>
      <c r="C1615" s="2">
        <f t="shared" si="352"/>
        <v>437.50000000000006</v>
      </c>
      <c r="D1615" s="44">
        <v>45645</v>
      </c>
      <c r="E1615" s="3" t="s">
        <v>15</v>
      </c>
      <c r="F1615" s="3" t="s">
        <v>28</v>
      </c>
      <c r="G1615" s="3"/>
      <c r="H1615" s="16" t="s">
        <v>54</v>
      </c>
      <c r="I1615" s="21" t="s">
        <v>30</v>
      </c>
      <c r="J1615" s="16">
        <v>150</v>
      </c>
    </row>
    <row r="1616" spans="1:10">
      <c r="A1616" s="16" t="s">
        <v>120</v>
      </c>
      <c r="B1616" s="2">
        <v>10000</v>
      </c>
      <c r="C1616" s="2">
        <f>0.0125*B1616</f>
        <v>125</v>
      </c>
      <c r="D1616" s="44">
        <v>45645</v>
      </c>
      <c r="E1616" s="3" t="s">
        <v>15</v>
      </c>
      <c r="F1616" s="3" t="s">
        <v>12</v>
      </c>
      <c r="G1616" s="3"/>
      <c r="H1616" s="16" t="s">
        <v>54</v>
      </c>
      <c r="J1616" s="16">
        <v>60</v>
      </c>
    </row>
    <row r="1617" spans="1:10">
      <c r="A1617" s="16" t="s">
        <v>3497</v>
      </c>
      <c r="B1617" s="2">
        <v>50000</v>
      </c>
      <c r="C1617" s="2">
        <f t="shared" ref="C1617:C1621" si="353">0.0175*B1617</f>
        <v>875.00000000000011</v>
      </c>
      <c r="D1617" s="44">
        <v>45645</v>
      </c>
      <c r="E1617" s="3" t="s">
        <v>11</v>
      </c>
      <c r="F1617" s="3" t="s">
        <v>28</v>
      </c>
      <c r="G1617" s="3"/>
      <c r="I1617" s="21" t="s">
        <v>30</v>
      </c>
    </row>
    <row r="1618" spans="1:10">
      <c r="A1618" s="16" t="s">
        <v>3498</v>
      </c>
      <c r="B1618" s="2">
        <v>400000</v>
      </c>
      <c r="C1618" s="2">
        <f t="shared" si="353"/>
        <v>7000.0000000000009</v>
      </c>
      <c r="D1618" s="44">
        <v>45645</v>
      </c>
      <c r="E1618" s="3" t="s">
        <v>118</v>
      </c>
      <c r="F1618" s="3" t="s">
        <v>28</v>
      </c>
      <c r="G1618" s="3"/>
      <c r="H1618" s="16" t="s">
        <v>13</v>
      </c>
      <c r="I1618" s="21" t="s">
        <v>30</v>
      </c>
    </row>
    <row r="1619" spans="1:10">
      <c r="A1619" s="16" t="s">
        <v>3499</v>
      </c>
      <c r="B1619" s="2">
        <v>70000</v>
      </c>
      <c r="C1619" s="2">
        <f t="shared" si="353"/>
        <v>1225.0000000000002</v>
      </c>
      <c r="D1619" s="44">
        <v>45645</v>
      </c>
      <c r="E1619" s="3" t="s">
        <v>118</v>
      </c>
      <c r="F1619" s="3" t="s">
        <v>28</v>
      </c>
      <c r="G1619" s="3"/>
      <c r="H1619" s="16" t="s">
        <v>13</v>
      </c>
      <c r="I1619" s="21" t="s">
        <v>30</v>
      </c>
    </row>
    <row r="1620" spans="1:10">
      <c r="A1620" s="16" t="s">
        <v>3500</v>
      </c>
      <c r="B1620" s="2">
        <v>50000</v>
      </c>
      <c r="C1620" s="2">
        <f t="shared" si="353"/>
        <v>875.00000000000011</v>
      </c>
      <c r="D1620" s="44">
        <v>45645</v>
      </c>
      <c r="E1620" s="3" t="s">
        <v>11</v>
      </c>
      <c r="F1620" s="3" t="s">
        <v>28</v>
      </c>
      <c r="G1620" s="3"/>
      <c r="I1620" s="21" t="s">
        <v>30</v>
      </c>
    </row>
    <row r="1621" spans="1:10">
      <c r="A1621" s="16" t="s">
        <v>3400</v>
      </c>
      <c r="B1621" s="2">
        <v>250000</v>
      </c>
      <c r="C1621" s="2">
        <f t="shared" si="353"/>
        <v>4375</v>
      </c>
      <c r="D1621" s="44">
        <v>45645</v>
      </c>
      <c r="E1621" s="3" t="s">
        <v>3501</v>
      </c>
      <c r="F1621" s="3" t="s">
        <v>67</v>
      </c>
      <c r="G1621" s="3"/>
      <c r="H1621" s="16" t="s">
        <v>13</v>
      </c>
      <c r="I1621" s="21" t="s">
        <v>30</v>
      </c>
    </row>
    <row r="1622" spans="1:10">
      <c r="A1622" s="16" t="s">
        <v>3502</v>
      </c>
      <c r="B1622" s="2">
        <v>100000</v>
      </c>
      <c r="C1622" s="2">
        <f>0.0125*B1622</f>
        <v>1250</v>
      </c>
      <c r="D1622" s="44">
        <v>45645</v>
      </c>
      <c r="E1622" s="3" t="s">
        <v>24</v>
      </c>
      <c r="F1622" s="3" t="s">
        <v>12</v>
      </c>
      <c r="G1622" s="3"/>
      <c r="H1622" s="24" t="s">
        <v>3476</v>
      </c>
    </row>
    <row r="1623" spans="1:10">
      <c r="A1623" s="16" t="s">
        <v>3503</v>
      </c>
      <c r="B1623" s="2">
        <v>10000</v>
      </c>
      <c r="C1623" s="2">
        <f t="shared" ref="C1623:C1624" si="354">0.0175*B1623</f>
        <v>175.00000000000003</v>
      </c>
      <c r="D1623" s="44">
        <v>45645</v>
      </c>
      <c r="E1623" s="3" t="s">
        <v>11</v>
      </c>
      <c r="F1623" s="3" t="s">
        <v>28</v>
      </c>
      <c r="G1623" s="3"/>
      <c r="I1623" s="21" t="s">
        <v>30</v>
      </c>
    </row>
    <row r="1624" spans="1:10">
      <c r="A1624" s="16" t="s">
        <v>2791</v>
      </c>
      <c r="B1624" s="2">
        <v>550000</v>
      </c>
      <c r="C1624" s="2">
        <f t="shared" si="354"/>
        <v>9625.0000000000018</v>
      </c>
      <c r="D1624" s="44">
        <v>45645</v>
      </c>
      <c r="E1624" s="3" t="s">
        <v>11</v>
      </c>
      <c r="F1624" s="3" t="s">
        <v>41</v>
      </c>
      <c r="G1624" s="3"/>
      <c r="I1624" s="21" t="s">
        <v>30</v>
      </c>
    </row>
    <row r="1625" spans="1:10">
      <c r="A1625" s="16" t="s">
        <v>3504</v>
      </c>
      <c r="B1625" s="2">
        <v>1000000</v>
      </c>
      <c r="C1625" s="2">
        <f>0.0125*B1625</f>
        <v>12500</v>
      </c>
      <c r="D1625" s="44">
        <v>45645</v>
      </c>
      <c r="E1625" s="3" t="s">
        <v>15</v>
      </c>
      <c r="F1625" s="3" t="s">
        <v>12</v>
      </c>
      <c r="G1625" s="3"/>
      <c r="H1625" s="16" t="s">
        <v>3505</v>
      </c>
      <c r="J1625" s="16">
        <v>2250</v>
      </c>
    </row>
    <row r="1626" spans="1:10">
      <c r="A1626" s="16" t="s">
        <v>3506</v>
      </c>
      <c r="B1626" s="2">
        <v>50000</v>
      </c>
      <c r="C1626" s="2">
        <f t="shared" ref="C1626:C1627" si="355">0.0175*B1626</f>
        <v>875.00000000000011</v>
      </c>
      <c r="D1626" s="44">
        <v>45645</v>
      </c>
      <c r="E1626" s="3" t="s">
        <v>15</v>
      </c>
      <c r="F1626" s="3" t="s">
        <v>28</v>
      </c>
      <c r="G1626" s="3"/>
      <c r="H1626" s="16" t="s">
        <v>35</v>
      </c>
      <c r="I1626" s="21" t="s">
        <v>30</v>
      </c>
      <c r="J1626" s="16">
        <v>100</v>
      </c>
    </row>
    <row r="1627" spans="1:10">
      <c r="A1627" s="16" t="s">
        <v>3507</v>
      </c>
      <c r="B1627" s="2">
        <v>150000</v>
      </c>
      <c r="C1627" s="2">
        <f t="shared" si="355"/>
        <v>2625.0000000000005</v>
      </c>
      <c r="D1627" s="44">
        <v>45646</v>
      </c>
      <c r="E1627" s="3" t="s">
        <v>11</v>
      </c>
      <c r="F1627" s="3" t="s">
        <v>28</v>
      </c>
      <c r="G1627" s="3"/>
      <c r="I1627" s="21" t="s">
        <v>30</v>
      </c>
    </row>
    <row r="1628" spans="1:10">
      <c r="A1628" s="16" t="s">
        <v>2610</v>
      </c>
      <c r="B1628" s="2">
        <v>145000</v>
      </c>
      <c r="C1628" s="2">
        <f t="shared" ref="C1628:C1630" si="356">0.0125*B1628</f>
        <v>1812.5</v>
      </c>
      <c r="D1628" s="44">
        <v>45646</v>
      </c>
      <c r="E1628" s="3" t="s">
        <v>2346</v>
      </c>
      <c r="F1628" s="3" t="s">
        <v>12</v>
      </c>
      <c r="G1628" s="3"/>
      <c r="H1628" s="16" t="s">
        <v>22</v>
      </c>
    </row>
    <row r="1629" spans="1:10">
      <c r="A1629" s="16" t="s">
        <v>955</v>
      </c>
      <c r="B1629" s="2">
        <v>200000</v>
      </c>
      <c r="C1629" s="2">
        <f t="shared" si="356"/>
        <v>2500</v>
      </c>
      <c r="D1629" s="44">
        <v>45646</v>
      </c>
      <c r="E1629" s="3" t="s">
        <v>69</v>
      </c>
      <c r="F1629" s="3" t="s">
        <v>12</v>
      </c>
      <c r="G1629" s="3"/>
      <c r="H1629" s="16" t="s">
        <v>22</v>
      </c>
    </row>
    <row r="1630" spans="1:10">
      <c r="A1630" s="16" t="s">
        <v>3508</v>
      </c>
      <c r="B1630" s="2">
        <v>75000</v>
      </c>
      <c r="C1630" s="2">
        <f t="shared" si="356"/>
        <v>937.5</v>
      </c>
      <c r="D1630" s="44">
        <v>45646</v>
      </c>
      <c r="E1630" s="3" t="s">
        <v>11</v>
      </c>
      <c r="F1630" s="3" t="s">
        <v>12</v>
      </c>
      <c r="G1630" s="3"/>
    </row>
    <row r="1631" spans="1:10">
      <c r="A1631" s="16" t="s">
        <v>3509</v>
      </c>
      <c r="B1631" s="2">
        <v>650000</v>
      </c>
      <c r="C1631" s="2">
        <f>0.0175*B1631</f>
        <v>11375.000000000002</v>
      </c>
      <c r="D1631" s="44">
        <v>45646</v>
      </c>
      <c r="E1631" s="3" t="s">
        <v>69</v>
      </c>
      <c r="F1631" s="3" t="s">
        <v>28</v>
      </c>
      <c r="G1631" s="3"/>
      <c r="H1631" s="16" t="s">
        <v>13</v>
      </c>
      <c r="I1631" s="21" t="s">
        <v>30</v>
      </c>
    </row>
    <row r="1632" spans="1:10">
      <c r="A1632" s="16" t="s">
        <v>3510</v>
      </c>
      <c r="B1632" s="2">
        <v>407500</v>
      </c>
      <c r="C1632" s="2">
        <f>0.0125*B1632</f>
        <v>5093.75</v>
      </c>
      <c r="D1632" s="44">
        <v>45646</v>
      </c>
      <c r="E1632" s="3" t="s">
        <v>24</v>
      </c>
      <c r="F1632" s="3" t="s">
        <v>12</v>
      </c>
      <c r="G1632" s="3"/>
      <c r="H1632" s="24" t="s">
        <v>3476</v>
      </c>
    </row>
    <row r="1633" spans="1:10">
      <c r="A1633" s="16" t="s">
        <v>3511</v>
      </c>
      <c r="B1633" s="2">
        <v>1000000</v>
      </c>
      <c r="C1633" s="2">
        <f t="shared" ref="C1633:C1637" si="357">0.0175*B1633</f>
        <v>17500</v>
      </c>
      <c r="D1633" s="44">
        <v>45646</v>
      </c>
      <c r="E1633" s="3" t="s">
        <v>118</v>
      </c>
      <c r="F1633" s="3" t="s">
        <v>28</v>
      </c>
      <c r="G1633" s="3"/>
      <c r="H1633" s="16" t="s">
        <v>13</v>
      </c>
      <c r="I1633" s="21" t="s">
        <v>30</v>
      </c>
    </row>
    <row r="1634" spans="1:10">
      <c r="A1634" s="16" t="s">
        <v>3512</v>
      </c>
      <c r="B1634" s="2">
        <v>100000</v>
      </c>
      <c r="C1634" s="2">
        <f t="shared" si="357"/>
        <v>1750.0000000000002</v>
      </c>
      <c r="D1634" s="44">
        <v>45646</v>
      </c>
      <c r="E1634" s="3" t="s">
        <v>11</v>
      </c>
      <c r="F1634" s="3" t="s">
        <v>28</v>
      </c>
      <c r="G1634" s="3"/>
      <c r="I1634" s="21" t="s">
        <v>30</v>
      </c>
    </row>
    <row r="1635" spans="1:10">
      <c r="A1635" s="16" t="s">
        <v>3513</v>
      </c>
      <c r="B1635" s="2">
        <v>65000</v>
      </c>
      <c r="C1635" s="2">
        <f t="shared" si="357"/>
        <v>1137.5</v>
      </c>
      <c r="D1635" s="44">
        <v>45646</v>
      </c>
      <c r="E1635" s="3" t="s">
        <v>11</v>
      </c>
      <c r="F1635" s="3" t="s">
        <v>28</v>
      </c>
      <c r="G1635" s="3"/>
      <c r="I1635" s="21" t="s">
        <v>30</v>
      </c>
    </row>
    <row r="1636" spans="1:10">
      <c r="A1636" s="16" t="s">
        <v>3514</v>
      </c>
      <c r="B1636" s="2">
        <v>75000</v>
      </c>
      <c r="C1636" s="2">
        <f t="shared" si="357"/>
        <v>1312.5000000000002</v>
      </c>
      <c r="D1636" s="44">
        <v>45646</v>
      </c>
      <c r="E1636" s="3" t="s">
        <v>15</v>
      </c>
      <c r="F1636" s="3" t="s">
        <v>28</v>
      </c>
      <c r="G1636" s="3"/>
      <c r="H1636" s="16" t="s">
        <v>16</v>
      </c>
      <c r="I1636" s="21" t="s">
        <v>30</v>
      </c>
      <c r="J1636" s="16">
        <v>300</v>
      </c>
    </row>
    <row r="1637" spans="1:10">
      <c r="A1637" s="16" t="s">
        <v>3515</v>
      </c>
      <c r="B1637" s="2">
        <v>225000</v>
      </c>
      <c r="C1637" s="2">
        <f t="shared" si="357"/>
        <v>3937.5000000000005</v>
      </c>
      <c r="D1637" s="44">
        <v>45646</v>
      </c>
      <c r="E1637" s="3" t="s">
        <v>69</v>
      </c>
      <c r="F1637" s="3" t="s">
        <v>28</v>
      </c>
      <c r="G1637" s="3"/>
      <c r="H1637" s="16" t="s">
        <v>13</v>
      </c>
      <c r="I1637" s="21" t="s">
        <v>30</v>
      </c>
    </row>
    <row r="1638" spans="1:10">
      <c r="A1638" s="16" t="s">
        <v>2874</v>
      </c>
      <c r="B1638" s="2">
        <v>625000</v>
      </c>
      <c r="C1638" s="2">
        <f>0.0125*B1638</f>
        <v>7812.5</v>
      </c>
      <c r="D1638" s="44">
        <v>45646</v>
      </c>
      <c r="E1638" s="3" t="s">
        <v>21</v>
      </c>
      <c r="F1638" s="3" t="s">
        <v>12</v>
      </c>
      <c r="G1638" s="3"/>
      <c r="H1638" s="16" t="s">
        <v>22</v>
      </c>
    </row>
    <row r="1639" spans="1:10">
      <c r="A1639" s="16" t="s">
        <v>3516</v>
      </c>
      <c r="B1639" s="2">
        <v>30000</v>
      </c>
      <c r="C1639" s="2">
        <f>0.0175*B1639</f>
        <v>525</v>
      </c>
      <c r="D1639" s="44">
        <v>45646</v>
      </c>
      <c r="E1639" s="3" t="s">
        <v>11</v>
      </c>
      <c r="F1639" s="3" t="s">
        <v>28</v>
      </c>
      <c r="G1639" s="3"/>
    </row>
    <row r="1640" spans="1:10">
      <c r="A1640" s="16" t="s">
        <v>3517</v>
      </c>
      <c r="B1640" s="2">
        <v>10000</v>
      </c>
      <c r="C1640" s="2">
        <f t="shared" ref="C1640:C1642" si="358">0.0125*B1640</f>
        <v>125</v>
      </c>
      <c r="D1640" s="44">
        <v>45646</v>
      </c>
      <c r="E1640" s="3" t="s">
        <v>11</v>
      </c>
      <c r="F1640" s="3" t="s">
        <v>12</v>
      </c>
      <c r="G1640" s="3"/>
    </row>
    <row r="1641" spans="1:10">
      <c r="A1641" s="16" t="s">
        <v>509</v>
      </c>
      <c r="B1641" s="2">
        <v>20000</v>
      </c>
      <c r="C1641" s="2">
        <f t="shared" si="358"/>
        <v>250</v>
      </c>
      <c r="D1641" s="44">
        <v>45646</v>
      </c>
      <c r="E1641" s="3" t="s">
        <v>11</v>
      </c>
      <c r="F1641" s="3" t="s">
        <v>12</v>
      </c>
      <c r="G1641" s="3"/>
    </row>
    <row r="1642" spans="1:10">
      <c r="A1642" s="16" t="s">
        <v>3518</v>
      </c>
      <c r="B1642" s="2">
        <v>300000</v>
      </c>
      <c r="C1642" s="2">
        <f t="shared" si="358"/>
        <v>3750</v>
      </c>
      <c r="D1642" s="44">
        <v>45649</v>
      </c>
      <c r="E1642" s="3" t="s">
        <v>24</v>
      </c>
      <c r="F1642" s="3" t="s">
        <v>12</v>
      </c>
      <c r="G1642" s="3"/>
      <c r="H1642" s="24" t="s">
        <v>3519</v>
      </c>
    </row>
    <row r="1643" spans="1:10">
      <c r="A1643" s="16" t="s">
        <v>3520</v>
      </c>
      <c r="B1643" s="2">
        <v>35000</v>
      </c>
      <c r="C1643" s="2">
        <f t="shared" ref="C1643:C1649" si="359">0.0175*B1643</f>
        <v>612.50000000000011</v>
      </c>
      <c r="D1643" s="44">
        <v>45649</v>
      </c>
      <c r="E1643" s="3" t="s">
        <v>15</v>
      </c>
      <c r="F1643" s="3" t="s">
        <v>28</v>
      </c>
      <c r="G1643" s="3"/>
      <c r="H1643" s="16" t="s">
        <v>35</v>
      </c>
      <c r="J1643" s="16">
        <v>70</v>
      </c>
    </row>
    <row r="1644" spans="1:10">
      <c r="A1644" s="16" t="s">
        <v>3521</v>
      </c>
      <c r="B1644" s="2">
        <v>100000</v>
      </c>
      <c r="C1644" s="2">
        <f t="shared" si="359"/>
        <v>1750.0000000000002</v>
      </c>
      <c r="D1644" s="44">
        <v>45649</v>
      </c>
      <c r="E1644" s="3" t="s">
        <v>24</v>
      </c>
      <c r="F1644" s="3" t="s">
        <v>28</v>
      </c>
      <c r="G1644" s="3"/>
      <c r="H1644" s="24" t="s">
        <v>3476</v>
      </c>
    </row>
    <row r="1645" spans="1:10">
      <c r="A1645" s="16" t="s">
        <v>3522</v>
      </c>
      <c r="B1645" s="2">
        <v>500000</v>
      </c>
      <c r="C1645" s="2">
        <f t="shared" si="359"/>
        <v>8750</v>
      </c>
      <c r="D1645" s="44">
        <v>45649</v>
      </c>
      <c r="E1645" s="3" t="s">
        <v>11</v>
      </c>
      <c r="F1645" s="3" t="s">
        <v>28</v>
      </c>
      <c r="G1645" s="3"/>
      <c r="I1645" s="21" t="s">
        <v>30</v>
      </c>
    </row>
    <row r="1646" spans="1:10">
      <c r="A1646" s="16" t="s">
        <v>3300</v>
      </c>
      <c r="B1646" s="2">
        <v>50000</v>
      </c>
      <c r="C1646" s="2">
        <f t="shared" si="359"/>
        <v>875.00000000000011</v>
      </c>
      <c r="D1646" s="44">
        <v>45649</v>
      </c>
      <c r="E1646" s="3" t="s">
        <v>11</v>
      </c>
      <c r="F1646" s="3" t="s">
        <v>67</v>
      </c>
      <c r="G1646" s="3"/>
      <c r="I1646" s="21" t="s">
        <v>30</v>
      </c>
    </row>
    <row r="1647" spans="1:10">
      <c r="A1647" s="16" t="s">
        <v>3367</v>
      </c>
      <c r="B1647" s="2">
        <v>30000</v>
      </c>
      <c r="C1647" s="2">
        <f t="shared" si="359"/>
        <v>525</v>
      </c>
      <c r="D1647" s="44">
        <v>45649</v>
      </c>
      <c r="E1647" s="3" t="s">
        <v>15</v>
      </c>
      <c r="F1647" s="3" t="s">
        <v>67</v>
      </c>
      <c r="G1647" s="3"/>
      <c r="H1647" s="16" t="s">
        <v>16</v>
      </c>
      <c r="I1647" s="21" t="s">
        <v>30</v>
      </c>
      <c r="J1647" s="16">
        <v>120</v>
      </c>
    </row>
    <row r="1648" spans="1:10">
      <c r="A1648" s="16" t="s">
        <v>3523</v>
      </c>
      <c r="B1648" s="2">
        <v>20000</v>
      </c>
      <c r="C1648" s="2">
        <f t="shared" si="359"/>
        <v>350.00000000000006</v>
      </c>
      <c r="D1648" s="44">
        <v>45649</v>
      </c>
      <c r="E1648" s="3" t="s">
        <v>92</v>
      </c>
      <c r="F1648" s="3" t="s">
        <v>28</v>
      </c>
      <c r="G1648" s="3"/>
      <c r="I1648" s="21" t="s">
        <v>30</v>
      </c>
    </row>
    <row r="1649" spans="1:10">
      <c r="A1649" s="16" t="s">
        <v>3524</v>
      </c>
      <c r="B1649" s="2">
        <v>165000</v>
      </c>
      <c r="C1649" s="2">
        <f t="shared" si="359"/>
        <v>2887.5000000000005</v>
      </c>
      <c r="D1649" s="44">
        <v>45649</v>
      </c>
      <c r="E1649" s="3" t="s">
        <v>2346</v>
      </c>
      <c r="F1649" s="3" t="s">
        <v>28</v>
      </c>
      <c r="G1649" s="3"/>
      <c r="H1649" s="16" t="s">
        <v>13</v>
      </c>
      <c r="I1649" s="21" t="s">
        <v>30</v>
      </c>
    </row>
    <row r="1650" spans="1:10">
      <c r="A1650" s="16" t="s">
        <v>701</v>
      </c>
      <c r="B1650" s="17">
        <v>60000</v>
      </c>
      <c r="C1650" s="2">
        <f>0.0125*B1650</f>
        <v>750</v>
      </c>
      <c r="D1650" s="44">
        <v>45650</v>
      </c>
      <c r="E1650" s="3" t="s">
        <v>73</v>
      </c>
      <c r="F1650" s="3" t="s">
        <v>12</v>
      </c>
      <c r="G1650" s="3"/>
    </row>
    <row r="1651" spans="1:10">
      <c r="A1651" s="16" t="s">
        <v>3525</v>
      </c>
      <c r="B1651" s="17">
        <v>100000</v>
      </c>
      <c r="C1651" s="2">
        <f t="shared" ref="C1651:C1652" si="360">0.0175*B1651</f>
        <v>1750.0000000000002</v>
      </c>
      <c r="D1651" s="44">
        <v>45650</v>
      </c>
      <c r="E1651" s="3" t="s">
        <v>11</v>
      </c>
      <c r="F1651" s="3" t="s">
        <v>28</v>
      </c>
      <c r="G1651" s="3"/>
      <c r="I1651" s="21" t="s">
        <v>30</v>
      </c>
    </row>
    <row r="1652" spans="1:10">
      <c r="A1652" s="16" t="s">
        <v>3526</v>
      </c>
      <c r="B1652" s="2">
        <v>100000</v>
      </c>
      <c r="C1652" s="2">
        <f t="shared" si="360"/>
        <v>1750.0000000000002</v>
      </c>
      <c r="D1652" s="44">
        <v>45650</v>
      </c>
      <c r="E1652" s="3" t="s">
        <v>11</v>
      </c>
      <c r="F1652" s="3" t="s">
        <v>28</v>
      </c>
      <c r="G1652" s="3"/>
      <c r="I1652" s="21" t="s">
        <v>30</v>
      </c>
    </row>
    <row r="1653" spans="1:10">
      <c r="A1653" s="16" t="s">
        <v>348</v>
      </c>
      <c r="B1653" s="2">
        <v>1100000</v>
      </c>
      <c r="C1653" s="2">
        <f>0.0125*B1653</f>
        <v>13750</v>
      </c>
      <c r="D1653" s="44">
        <v>45650</v>
      </c>
      <c r="E1653" s="3" t="s">
        <v>60</v>
      </c>
      <c r="F1653" s="3" t="s">
        <v>12</v>
      </c>
      <c r="G1653" s="3"/>
    </row>
    <row r="1654" spans="1:10">
      <c r="A1654" s="16" t="s">
        <v>3527</v>
      </c>
      <c r="B1654" s="2">
        <v>500000</v>
      </c>
      <c r="C1654" s="2">
        <f>0.0175*B1654</f>
        <v>8750</v>
      </c>
      <c r="D1654" s="44">
        <v>45650</v>
      </c>
      <c r="E1654" s="3" t="s">
        <v>11</v>
      </c>
      <c r="F1654" s="3" t="s">
        <v>28</v>
      </c>
      <c r="G1654" s="3"/>
      <c r="I1654" s="21" t="s">
        <v>30</v>
      </c>
    </row>
    <row r="1655" spans="1:10">
      <c r="A1655" s="16" t="s">
        <v>3528</v>
      </c>
      <c r="B1655" s="2">
        <v>65000</v>
      </c>
      <c r="C1655" s="2">
        <f t="shared" ref="C1655:C1656" si="361">0.0125*B1655</f>
        <v>812.5</v>
      </c>
      <c r="D1655" s="44">
        <v>45650</v>
      </c>
      <c r="E1655" s="3" t="s">
        <v>11</v>
      </c>
      <c r="F1655" s="3" t="s">
        <v>12</v>
      </c>
      <c r="G1655" s="3"/>
    </row>
    <row r="1656" spans="1:10">
      <c r="A1656" s="16" t="s">
        <v>2961</v>
      </c>
      <c r="B1656" s="2">
        <v>325000</v>
      </c>
      <c r="C1656" s="2">
        <f t="shared" si="361"/>
        <v>4062.5</v>
      </c>
      <c r="D1656" s="44">
        <v>45652</v>
      </c>
      <c r="E1656" s="3" t="s">
        <v>75</v>
      </c>
      <c r="F1656" s="3" t="s">
        <v>12</v>
      </c>
      <c r="G1656" s="3"/>
    </row>
    <row r="1657" spans="1:10">
      <c r="A1657" s="16" t="s">
        <v>3529</v>
      </c>
      <c r="B1657" s="2">
        <v>85000</v>
      </c>
      <c r="C1657" s="2">
        <f>0.0175*B1657</f>
        <v>1487.5000000000002</v>
      </c>
      <c r="D1657" s="44">
        <v>45652</v>
      </c>
      <c r="E1657" s="3" t="s">
        <v>11</v>
      </c>
      <c r="F1657" s="3" t="s">
        <v>28</v>
      </c>
      <c r="G1657" s="3"/>
      <c r="I1657" s="21" t="s">
        <v>30</v>
      </c>
    </row>
    <row r="1658" spans="1:10">
      <c r="A1658" s="16" t="s">
        <v>1437</v>
      </c>
      <c r="B1658" s="2">
        <v>850000</v>
      </c>
      <c r="C1658" s="2">
        <f>0.0125*B1658</f>
        <v>10625</v>
      </c>
      <c r="D1658" s="44">
        <v>45652</v>
      </c>
      <c r="E1658" s="3" t="s">
        <v>11</v>
      </c>
      <c r="F1658" s="3" t="s">
        <v>12</v>
      </c>
      <c r="G1658" s="3"/>
    </row>
    <row r="1659" spans="1:10">
      <c r="A1659" s="16" t="s">
        <v>3530</v>
      </c>
      <c r="B1659" s="2">
        <v>125000</v>
      </c>
      <c r="C1659" s="2">
        <f t="shared" ref="C1659:C1660" si="362">0.0175*B1659</f>
        <v>2187.5</v>
      </c>
      <c r="D1659" s="44">
        <v>45652</v>
      </c>
      <c r="E1659" s="3" t="s">
        <v>24</v>
      </c>
      <c r="F1659" s="3" t="s">
        <v>28</v>
      </c>
      <c r="G1659" s="3"/>
      <c r="H1659" s="24" t="s">
        <v>3476</v>
      </c>
    </row>
    <row r="1660" spans="1:10">
      <c r="A1660" s="16" t="s">
        <v>3531</v>
      </c>
      <c r="B1660" s="2">
        <v>50000</v>
      </c>
      <c r="C1660" s="2">
        <f t="shared" si="362"/>
        <v>875.00000000000011</v>
      </c>
      <c r="D1660" s="44">
        <v>45652</v>
      </c>
      <c r="E1660" s="3" t="s">
        <v>60</v>
      </c>
      <c r="F1660" s="3" t="s">
        <v>67</v>
      </c>
      <c r="G1660" s="3"/>
      <c r="I1660" s="21" t="s">
        <v>30</v>
      </c>
    </row>
    <row r="1661" spans="1:10">
      <c r="A1661" s="16" t="s">
        <v>3532</v>
      </c>
      <c r="B1661" s="2">
        <v>40000</v>
      </c>
      <c r="C1661" s="2">
        <f>0.0125*B1661</f>
        <v>500</v>
      </c>
      <c r="D1661" s="44">
        <v>45653</v>
      </c>
      <c r="E1661" s="3" t="s">
        <v>73</v>
      </c>
      <c r="F1661" s="3" t="s">
        <v>12</v>
      </c>
      <c r="G1661" s="3"/>
    </row>
    <row r="1662" spans="1:10">
      <c r="A1662" s="16" t="s">
        <v>273</v>
      </c>
      <c r="B1662" s="2">
        <v>500000</v>
      </c>
      <c r="C1662" s="2">
        <f t="shared" ref="C1662:C1663" si="363">0.0175*B1662</f>
        <v>8750</v>
      </c>
      <c r="D1662" s="44">
        <v>45653</v>
      </c>
      <c r="E1662" s="3" t="s">
        <v>11</v>
      </c>
      <c r="F1662" s="3" t="s">
        <v>28</v>
      </c>
      <c r="G1662" s="3"/>
      <c r="I1662" s="21" t="s">
        <v>30</v>
      </c>
    </row>
    <row r="1663" spans="1:10">
      <c r="A1663" s="16" t="s">
        <v>3533</v>
      </c>
      <c r="B1663" s="2">
        <v>325000</v>
      </c>
      <c r="C1663" s="2">
        <f t="shared" si="363"/>
        <v>5687.5000000000009</v>
      </c>
      <c r="D1663" s="44">
        <v>45653</v>
      </c>
      <c r="E1663" s="3" t="s">
        <v>15</v>
      </c>
      <c r="F1663" s="3" t="s">
        <v>28</v>
      </c>
      <c r="G1663" s="3"/>
      <c r="H1663" s="16" t="s">
        <v>98</v>
      </c>
      <c r="I1663" s="21" t="s">
        <v>30</v>
      </c>
      <c r="J1663" s="16">
        <v>975</v>
      </c>
    </row>
    <row r="1664" spans="1:10">
      <c r="A1664" s="16" t="s">
        <v>2097</v>
      </c>
      <c r="B1664" s="2">
        <v>130000</v>
      </c>
      <c r="C1664" s="2">
        <f t="shared" ref="C1664:C1665" si="364">0.0125*B1664</f>
        <v>1625</v>
      </c>
      <c r="D1664" s="44">
        <v>45656</v>
      </c>
      <c r="E1664" s="3" t="s">
        <v>15</v>
      </c>
      <c r="F1664" s="3" t="s">
        <v>12</v>
      </c>
      <c r="G1664" s="3"/>
      <c r="H1664" s="16" t="s">
        <v>98</v>
      </c>
      <c r="J1664" s="16">
        <v>390</v>
      </c>
    </row>
    <row r="1665" spans="1:10">
      <c r="A1665" s="16" t="s">
        <v>391</v>
      </c>
      <c r="B1665" s="2">
        <v>140000</v>
      </c>
      <c r="C1665" s="2">
        <f t="shared" si="364"/>
        <v>1750</v>
      </c>
      <c r="D1665" s="44">
        <v>45656</v>
      </c>
      <c r="E1665" s="3" t="s">
        <v>11</v>
      </c>
      <c r="F1665" s="3" t="s">
        <v>12</v>
      </c>
      <c r="G1665" s="3"/>
    </row>
    <row r="1666" spans="1:10">
      <c r="A1666" s="16" t="s">
        <v>3534</v>
      </c>
      <c r="B1666" s="2">
        <v>1000000</v>
      </c>
      <c r="C1666" s="2">
        <f t="shared" ref="C1666:C1667" si="365">0.0175*B1666</f>
        <v>17500</v>
      </c>
      <c r="D1666" s="44">
        <v>45656</v>
      </c>
      <c r="E1666" s="3" t="s">
        <v>11</v>
      </c>
      <c r="F1666" s="3" t="s">
        <v>28</v>
      </c>
      <c r="G1666" s="3"/>
      <c r="I1666" s="21" t="s">
        <v>30</v>
      </c>
    </row>
    <row r="1667" spans="1:10">
      <c r="A1667" s="16" t="s">
        <v>3535</v>
      </c>
      <c r="B1667" s="2">
        <v>25000</v>
      </c>
      <c r="C1667" s="2">
        <f t="shared" si="365"/>
        <v>437.50000000000006</v>
      </c>
      <c r="D1667" s="44">
        <v>45656</v>
      </c>
      <c r="E1667" s="3" t="s">
        <v>11</v>
      </c>
      <c r="F1667" s="3" t="s">
        <v>28</v>
      </c>
      <c r="G1667" s="3"/>
      <c r="I1667" s="21" t="s">
        <v>30</v>
      </c>
    </row>
    <row r="1668" spans="1:10">
      <c r="A1668" s="16" t="s">
        <v>2292</v>
      </c>
      <c r="B1668" s="2">
        <v>1000000</v>
      </c>
      <c r="C1668" s="2">
        <f t="shared" ref="C1668:C1671" si="366">0.0125*B1668</f>
        <v>12500</v>
      </c>
      <c r="D1668" s="44">
        <v>45656</v>
      </c>
      <c r="E1668" s="3" t="s">
        <v>11</v>
      </c>
      <c r="F1668" s="3" t="s">
        <v>12</v>
      </c>
      <c r="G1668" s="3"/>
    </row>
    <row r="1669" spans="1:10">
      <c r="A1669" s="16" t="s">
        <v>3269</v>
      </c>
      <c r="B1669" s="2">
        <v>17500</v>
      </c>
      <c r="C1669" s="2">
        <f t="shared" si="366"/>
        <v>218.75</v>
      </c>
      <c r="D1669" s="44">
        <v>45656</v>
      </c>
      <c r="E1669" s="3" t="s">
        <v>11</v>
      </c>
      <c r="F1669" s="3" t="s">
        <v>12</v>
      </c>
      <c r="G1669" s="3"/>
    </row>
    <row r="1670" spans="1:10">
      <c r="A1670" s="16" t="s">
        <v>3208</v>
      </c>
      <c r="B1670" s="2">
        <v>150000</v>
      </c>
      <c r="C1670" s="2">
        <f t="shared" si="366"/>
        <v>1875</v>
      </c>
      <c r="D1670" s="44">
        <v>45656</v>
      </c>
      <c r="E1670" s="3" t="s">
        <v>11</v>
      </c>
      <c r="F1670" s="3" t="s">
        <v>12</v>
      </c>
      <c r="G1670" s="3"/>
    </row>
    <row r="1671" spans="1:10">
      <c r="A1671" s="16" t="s">
        <v>3518</v>
      </c>
      <c r="B1671" s="2">
        <v>25000</v>
      </c>
      <c r="C1671" s="2">
        <f t="shared" si="366"/>
        <v>312.5</v>
      </c>
      <c r="D1671" s="44">
        <v>45657</v>
      </c>
      <c r="E1671" s="3" t="s">
        <v>24</v>
      </c>
      <c r="F1671" s="3" t="s">
        <v>144</v>
      </c>
      <c r="G1671" s="3"/>
      <c r="H1671" s="24" t="s">
        <v>25</v>
      </c>
    </row>
    <row r="1672" spans="1:10">
      <c r="A1672" s="16" t="s">
        <v>3536</v>
      </c>
      <c r="B1672" s="2">
        <v>35000</v>
      </c>
      <c r="C1672" s="2">
        <f t="shared" ref="C1672:C1675" si="367">0.0175*B1672</f>
        <v>612.50000000000011</v>
      </c>
      <c r="D1672" s="44">
        <v>45657</v>
      </c>
      <c r="E1672" s="3" t="s">
        <v>15</v>
      </c>
      <c r="F1672" s="3" t="s">
        <v>28</v>
      </c>
      <c r="G1672" s="3"/>
      <c r="H1672" s="16" t="s">
        <v>51</v>
      </c>
      <c r="I1672" s="21" t="s">
        <v>30</v>
      </c>
      <c r="J1672" s="16">
        <v>175</v>
      </c>
    </row>
    <row r="1673" spans="1:10">
      <c r="A1673" s="16" t="s">
        <v>3354</v>
      </c>
      <c r="B1673" s="2">
        <v>300000</v>
      </c>
      <c r="C1673" s="2">
        <f t="shared" si="367"/>
        <v>5250.0000000000009</v>
      </c>
      <c r="D1673" s="44">
        <v>45657</v>
      </c>
      <c r="E1673" s="3" t="s">
        <v>135</v>
      </c>
      <c r="F1673" s="3" t="s">
        <v>28</v>
      </c>
      <c r="G1673" s="3"/>
      <c r="H1673" s="16" t="s">
        <v>1008</v>
      </c>
    </row>
    <row r="1674" spans="1:10">
      <c r="A1674" s="16" t="s">
        <v>3537</v>
      </c>
      <c r="B1674" s="2">
        <v>100000</v>
      </c>
      <c r="C1674" s="2">
        <f t="shared" si="367"/>
        <v>1750.0000000000002</v>
      </c>
      <c r="D1674" s="44">
        <v>45657</v>
      </c>
      <c r="E1674" s="3" t="s">
        <v>15</v>
      </c>
      <c r="F1674" s="3" t="s">
        <v>28</v>
      </c>
      <c r="G1674" s="3"/>
      <c r="H1674" s="16" t="s">
        <v>16</v>
      </c>
      <c r="I1674" s="21" t="s">
        <v>30</v>
      </c>
      <c r="J1674" s="16">
        <v>400</v>
      </c>
    </row>
    <row r="1675" spans="1:10">
      <c r="A1675" s="16" t="s">
        <v>3538</v>
      </c>
      <c r="B1675" s="2">
        <v>250000</v>
      </c>
      <c r="C1675" s="2">
        <f t="shared" si="367"/>
        <v>4375</v>
      </c>
      <c r="D1675" s="44">
        <v>45657</v>
      </c>
      <c r="E1675" s="3" t="s">
        <v>11</v>
      </c>
      <c r="F1675" s="3" t="s">
        <v>28</v>
      </c>
      <c r="G1675" s="3"/>
      <c r="I1675" s="21" t="s">
        <v>30</v>
      </c>
    </row>
    <row r="1676" spans="1:10">
      <c r="A1676" s="16" t="s">
        <v>1163</v>
      </c>
      <c r="B1676" s="2">
        <v>175000</v>
      </c>
      <c r="C1676" s="2">
        <f>0.0125*B1676</f>
        <v>2187.5</v>
      </c>
      <c r="D1676" s="44">
        <v>45657</v>
      </c>
      <c r="E1676" s="3" t="s">
        <v>24</v>
      </c>
      <c r="F1676" s="3" t="s">
        <v>12</v>
      </c>
      <c r="G1676" s="3"/>
      <c r="H1676" s="24" t="s">
        <v>3476</v>
      </c>
    </row>
    <row r="1677" spans="1:10">
      <c r="B1677" s="2"/>
      <c r="C1677" s="2"/>
      <c r="D1677" s="3"/>
      <c r="E1677" s="3"/>
      <c r="F1677" s="3"/>
      <c r="G1677" s="3"/>
    </row>
    <row r="1678" spans="1:10">
      <c r="B1678" s="2"/>
      <c r="C1678" s="2"/>
      <c r="D1678" s="3"/>
      <c r="E1678" s="3"/>
      <c r="F1678" s="3"/>
      <c r="G1678" s="3"/>
    </row>
    <row r="1679" spans="1:10">
      <c r="B1679" s="2"/>
      <c r="C1679" s="2"/>
      <c r="D1679" s="3"/>
      <c r="E1679" s="3"/>
      <c r="F1679" s="3"/>
      <c r="G1679" s="3"/>
    </row>
    <row r="1680" spans="1:10">
      <c r="B1680" s="2"/>
      <c r="C1680" s="2"/>
      <c r="D1680" s="3"/>
      <c r="E1680" s="3"/>
      <c r="F1680" s="3"/>
      <c r="G1680" s="3"/>
    </row>
    <row r="1681" spans="2:7">
      <c r="B1681" s="2"/>
      <c r="C1681" s="2"/>
      <c r="D1681" s="3"/>
      <c r="E1681" s="3"/>
      <c r="F1681" s="3"/>
      <c r="G1681" s="3"/>
    </row>
    <row r="1682" spans="2:7">
      <c r="B1682" s="2"/>
      <c r="C1682" s="2"/>
      <c r="D1682" s="3"/>
      <c r="E1682" s="3"/>
      <c r="F1682" s="3"/>
      <c r="G1682" s="3"/>
    </row>
    <row r="1683" spans="2:7">
      <c r="B1683" s="2"/>
      <c r="C1683" s="2"/>
      <c r="D1683" s="3"/>
      <c r="E1683" s="3"/>
      <c r="F1683" s="3"/>
      <c r="G1683" s="3"/>
    </row>
    <row r="1684" spans="2:7">
      <c r="B1684" s="2"/>
      <c r="C1684" s="2"/>
      <c r="D1684" s="3"/>
      <c r="E1684" s="3"/>
      <c r="F1684" s="3"/>
      <c r="G1684" s="3"/>
    </row>
    <row r="1685" spans="2:7">
      <c r="B1685" s="2"/>
      <c r="C1685" s="2"/>
      <c r="D1685" s="3"/>
      <c r="E1685" s="3"/>
      <c r="F1685" s="3"/>
      <c r="G1685" s="3"/>
    </row>
    <row r="1686" spans="2:7">
      <c r="B1686" s="3"/>
      <c r="C1686" s="3"/>
      <c r="D1686" s="3"/>
      <c r="E1686" s="3"/>
      <c r="F1686" s="3"/>
      <c r="G1686" s="3"/>
    </row>
    <row r="1687" spans="2:7">
      <c r="B1687" s="3"/>
      <c r="C1687" s="3"/>
      <c r="D1687" s="3"/>
      <c r="E1687" s="3"/>
      <c r="F1687" s="3"/>
      <c r="G1687" s="3"/>
    </row>
    <row r="1688" spans="2:7">
      <c r="B1688" s="3"/>
      <c r="C1688" s="3"/>
      <c r="D1688" s="3"/>
      <c r="E1688" s="3"/>
      <c r="F1688" s="3"/>
      <c r="G1688" s="3"/>
    </row>
    <row r="1689" spans="2:7">
      <c r="B1689" s="3"/>
      <c r="C1689" s="3"/>
      <c r="D1689" s="3"/>
      <c r="E1689" s="3"/>
      <c r="F1689" s="3"/>
      <c r="G1689" s="3"/>
    </row>
    <row r="1690" spans="2:7">
      <c r="B1690" s="3"/>
      <c r="C1690" s="3"/>
      <c r="D1690" s="3"/>
      <c r="E1690" s="3"/>
      <c r="F1690" s="3"/>
      <c r="G1690" s="3"/>
    </row>
    <row r="1691" spans="2:7">
      <c r="B1691" s="3"/>
      <c r="C1691" s="3"/>
      <c r="D1691" s="3"/>
      <c r="E1691" s="3"/>
      <c r="F1691" s="3"/>
      <c r="G1691" s="3"/>
    </row>
    <row r="1692" spans="2:7">
      <c r="B1692" s="3"/>
      <c r="C1692" s="3"/>
      <c r="D1692" s="3"/>
      <c r="E1692" s="3"/>
      <c r="F1692" s="3"/>
      <c r="G1692" s="3"/>
    </row>
    <row r="1693" spans="2:7">
      <c r="B1693" s="3"/>
      <c r="C1693" s="3"/>
      <c r="D1693" s="3"/>
      <c r="E1693" s="3"/>
      <c r="F1693" s="3"/>
      <c r="G1693" s="3"/>
    </row>
    <row r="1694" spans="2:7">
      <c r="B1694" s="3"/>
      <c r="C1694" s="3"/>
      <c r="D1694" s="3"/>
      <c r="E1694" s="3"/>
      <c r="F1694" s="3"/>
      <c r="G1694" s="3"/>
    </row>
    <row r="1695" spans="2:7">
      <c r="B1695" s="3"/>
      <c r="C1695" s="3"/>
      <c r="D1695" s="3"/>
      <c r="E1695" s="3"/>
      <c r="F1695" s="3"/>
      <c r="G1695" s="3"/>
    </row>
    <row r="1696" spans="2:7">
      <c r="B1696" s="3"/>
      <c r="C1696" s="3"/>
      <c r="D1696" s="3"/>
      <c r="E1696" s="3"/>
      <c r="F1696" s="3"/>
      <c r="G1696" s="3"/>
    </row>
    <row r="1697" spans="2:7">
      <c r="B1697" s="3"/>
      <c r="C1697" s="3"/>
      <c r="D1697" s="3"/>
      <c r="E1697" s="3"/>
      <c r="F1697" s="3"/>
      <c r="G1697" s="3"/>
    </row>
    <row r="1698" spans="2:7">
      <c r="B1698" s="3"/>
      <c r="C1698" s="3"/>
      <c r="D1698" s="3"/>
      <c r="E1698" s="3"/>
      <c r="F1698" s="3"/>
      <c r="G1698" s="3"/>
    </row>
    <row r="1699" spans="2:7">
      <c r="B1699" s="3"/>
      <c r="C1699" s="3"/>
      <c r="D1699" s="3"/>
      <c r="E1699" s="3"/>
      <c r="F1699" s="3"/>
      <c r="G1699" s="3"/>
    </row>
    <row r="1700" spans="2:7">
      <c r="B1700" s="3"/>
      <c r="C1700" s="3"/>
      <c r="D1700" s="3"/>
      <c r="E1700" s="3"/>
      <c r="F1700" s="3"/>
      <c r="G1700" s="3"/>
    </row>
    <row r="1701" spans="2:7">
      <c r="B1701" s="3"/>
      <c r="C1701" s="3"/>
      <c r="D1701" s="3"/>
      <c r="E1701" s="3"/>
      <c r="F1701" s="3"/>
      <c r="G1701" s="3"/>
    </row>
    <row r="1702" spans="2:7">
      <c r="B1702" s="3"/>
      <c r="C1702" s="3"/>
      <c r="D1702" s="3"/>
      <c r="E1702" s="3"/>
      <c r="F1702" s="3"/>
      <c r="G1702" s="3"/>
    </row>
    <row r="1703" spans="2:7">
      <c r="B1703" s="3"/>
      <c r="C1703" s="3"/>
      <c r="D1703" s="3"/>
      <c r="E1703" s="3"/>
      <c r="F1703" s="3"/>
      <c r="G1703" s="3"/>
    </row>
    <row r="1704" spans="2:7">
      <c r="B1704" s="3"/>
      <c r="C1704" s="3"/>
      <c r="D1704" s="3"/>
      <c r="E1704" s="3"/>
      <c r="F1704" s="3"/>
      <c r="G1704" s="3"/>
    </row>
    <row r="1705" spans="2:7">
      <c r="B1705" s="3"/>
      <c r="C1705" s="3"/>
      <c r="D1705" s="3"/>
      <c r="E1705" s="3"/>
      <c r="F1705" s="3"/>
      <c r="G1705" s="3"/>
    </row>
    <row r="1706" spans="2:7">
      <c r="B1706" s="3"/>
      <c r="C1706" s="3"/>
      <c r="D1706" s="3"/>
      <c r="E1706" s="3"/>
      <c r="F1706" s="3"/>
      <c r="G1706" s="3"/>
    </row>
    <row r="1707" spans="2:7">
      <c r="B1707" s="3"/>
      <c r="C1707" s="3"/>
      <c r="D1707" s="3"/>
      <c r="E1707" s="3"/>
      <c r="F1707" s="3"/>
      <c r="G1707" s="3"/>
    </row>
    <row r="1708" spans="2:7">
      <c r="B1708" s="3"/>
      <c r="C1708" s="3"/>
      <c r="D1708" s="3"/>
      <c r="E1708" s="3"/>
      <c r="F1708" s="3"/>
      <c r="G1708" s="3"/>
    </row>
    <row r="1709" spans="2:7">
      <c r="B1709" s="3"/>
      <c r="C1709" s="3"/>
      <c r="D1709" s="3"/>
      <c r="E1709" s="3"/>
      <c r="F1709" s="3"/>
      <c r="G1709" s="3"/>
    </row>
    <row r="1710" spans="2:7">
      <c r="B1710" s="3"/>
      <c r="C1710" s="3"/>
      <c r="D1710" s="3"/>
      <c r="E1710" s="3"/>
      <c r="F1710" s="3"/>
      <c r="G1710" s="3"/>
    </row>
    <row r="1711" spans="2:7">
      <c r="B1711" s="3"/>
      <c r="C1711" s="3"/>
      <c r="D1711" s="3"/>
      <c r="E1711" s="3"/>
      <c r="F1711" s="3"/>
      <c r="G1711" s="3"/>
    </row>
    <row r="1712" spans="2:7">
      <c r="B1712" s="3"/>
      <c r="C1712" s="3"/>
      <c r="D1712" s="3"/>
      <c r="E1712" s="3"/>
      <c r="F1712" s="3"/>
      <c r="G1712" s="3"/>
    </row>
    <row r="1713" spans="2:7">
      <c r="B1713" s="3"/>
      <c r="C1713" s="3"/>
      <c r="D1713" s="3"/>
      <c r="E1713" s="3"/>
      <c r="F1713" s="3"/>
      <c r="G1713" s="3"/>
    </row>
    <row r="1714" spans="2:7">
      <c r="B1714" s="3"/>
      <c r="C1714" s="3"/>
      <c r="D1714" s="3"/>
      <c r="E1714" s="3"/>
      <c r="F1714" s="3"/>
      <c r="G1714" s="3"/>
    </row>
    <row r="1715" spans="2:7">
      <c r="B1715" s="3"/>
      <c r="C1715" s="3"/>
      <c r="D1715" s="3"/>
      <c r="E1715" s="3"/>
      <c r="F1715" s="3"/>
      <c r="G1715" s="3"/>
    </row>
    <row r="1716" spans="2:7">
      <c r="B1716" s="3"/>
      <c r="C1716" s="3"/>
      <c r="D1716" s="3"/>
      <c r="E1716" s="3"/>
      <c r="F1716" s="3"/>
      <c r="G1716" s="3"/>
    </row>
    <row r="1717" spans="2:7">
      <c r="B1717" s="3"/>
      <c r="C1717" s="3"/>
      <c r="D1717" s="3"/>
      <c r="E1717" s="3"/>
      <c r="F1717" s="3"/>
      <c r="G1717" s="3"/>
    </row>
    <row r="1718" spans="2:7">
      <c r="B1718" s="3"/>
      <c r="C1718" s="3"/>
      <c r="D1718" s="3"/>
      <c r="E1718" s="3"/>
      <c r="F1718" s="3"/>
      <c r="G1718" s="3"/>
    </row>
    <row r="1719" spans="2:7">
      <c r="B1719" s="3"/>
      <c r="C1719" s="3"/>
      <c r="D1719" s="3"/>
      <c r="E1719" s="3"/>
      <c r="F1719" s="3"/>
      <c r="G1719" s="3"/>
    </row>
    <row r="1720" spans="2:7">
      <c r="B1720" s="3"/>
      <c r="C1720" s="3"/>
      <c r="D1720" s="3"/>
      <c r="E1720" s="3"/>
      <c r="F1720" s="3"/>
      <c r="G1720" s="3"/>
    </row>
    <row r="1721" spans="2:7">
      <c r="B1721" s="3"/>
      <c r="C1721" s="3"/>
      <c r="D1721" s="3"/>
      <c r="E1721" s="3"/>
      <c r="F1721" s="3"/>
      <c r="G1721" s="3"/>
    </row>
    <row r="1722" spans="2:7">
      <c r="B1722" s="3"/>
      <c r="C1722" s="3"/>
      <c r="D1722" s="3"/>
      <c r="E1722" s="3"/>
      <c r="F1722" s="3"/>
      <c r="G1722" s="3"/>
    </row>
    <row r="1723" spans="2:7">
      <c r="B1723" s="3"/>
      <c r="C1723" s="3"/>
      <c r="D1723" s="3"/>
      <c r="E1723" s="3"/>
      <c r="F1723" s="3"/>
      <c r="G1723" s="3"/>
    </row>
    <row r="1724" spans="2:7">
      <c r="B1724" s="3"/>
      <c r="C1724" s="3"/>
      <c r="D1724" s="3"/>
      <c r="E1724" s="3"/>
      <c r="F1724" s="3"/>
      <c r="G1724" s="3"/>
    </row>
    <row r="1725" spans="2:7">
      <c r="B1725" s="3"/>
      <c r="C1725" s="3"/>
      <c r="D1725" s="3"/>
      <c r="E1725" s="3"/>
      <c r="F1725" s="3"/>
      <c r="G1725" s="3"/>
    </row>
    <row r="1726" spans="2:7">
      <c r="B1726" s="3"/>
      <c r="C1726" s="3"/>
      <c r="D1726" s="3"/>
      <c r="E1726" s="3"/>
      <c r="F1726" s="3"/>
      <c r="G1726" s="3"/>
    </row>
    <row r="1727" spans="2:7">
      <c r="B1727" s="3"/>
      <c r="C1727" s="3"/>
      <c r="D1727" s="3"/>
      <c r="E1727" s="3"/>
      <c r="F1727" s="3"/>
      <c r="G1727" s="3"/>
    </row>
    <row r="1728" spans="2:7">
      <c r="B1728" s="3"/>
      <c r="C1728" s="3"/>
      <c r="D1728" s="3"/>
      <c r="E1728" s="3"/>
      <c r="F1728" s="3"/>
      <c r="G1728" s="3"/>
    </row>
    <row r="1729" spans="2:7">
      <c r="B1729" s="3"/>
      <c r="C1729" s="3"/>
      <c r="D1729" s="3"/>
      <c r="E1729" s="3"/>
      <c r="F1729" s="3"/>
      <c r="G1729" s="3"/>
    </row>
    <row r="1730" spans="2:7">
      <c r="B1730" s="3"/>
      <c r="C1730" s="3"/>
      <c r="D1730" s="3"/>
      <c r="E1730" s="3"/>
      <c r="F1730" s="3"/>
      <c r="G1730" s="3"/>
    </row>
    <row r="1731" spans="2:7">
      <c r="B1731" s="3"/>
      <c r="C1731" s="3"/>
      <c r="D1731" s="3"/>
      <c r="E1731" s="3"/>
      <c r="F1731" s="3"/>
      <c r="G1731" s="3"/>
    </row>
    <row r="1732" spans="2:7">
      <c r="B1732" s="3"/>
      <c r="C1732" s="3"/>
      <c r="D1732" s="3"/>
      <c r="E1732" s="3"/>
      <c r="F1732" s="3"/>
      <c r="G1732" s="3"/>
    </row>
    <row r="1733" spans="2:7">
      <c r="B1733" s="3"/>
      <c r="C1733" s="3"/>
      <c r="D1733" s="3"/>
      <c r="E1733" s="3"/>
      <c r="F1733" s="3"/>
      <c r="G1733" s="3"/>
    </row>
    <row r="1734" spans="2:7">
      <c r="B1734" s="3"/>
      <c r="C1734" s="3"/>
      <c r="D1734" s="3"/>
      <c r="E1734" s="3"/>
      <c r="F1734" s="3"/>
      <c r="G1734" s="3"/>
    </row>
    <row r="1735" spans="2:7">
      <c r="B1735" s="3"/>
      <c r="C1735" s="3"/>
      <c r="D1735" s="3"/>
      <c r="E1735" s="3"/>
      <c r="F1735" s="3"/>
      <c r="G1735" s="3"/>
    </row>
    <row r="1736" spans="2:7">
      <c r="B1736" s="3"/>
      <c r="C1736" s="3"/>
      <c r="D1736" s="3"/>
      <c r="E1736" s="3"/>
      <c r="F1736" s="3"/>
      <c r="G1736" s="3"/>
    </row>
    <row r="1737" spans="2:7">
      <c r="B1737" s="3"/>
      <c r="C1737" s="3"/>
      <c r="D1737" s="3"/>
      <c r="E1737" s="3"/>
      <c r="F1737" s="3"/>
      <c r="G1737" s="3"/>
    </row>
    <row r="1738" spans="2:7">
      <c r="B1738" s="3"/>
      <c r="C1738" s="3"/>
      <c r="D1738" s="3"/>
      <c r="E1738" s="3"/>
      <c r="F1738" s="3"/>
      <c r="G1738" s="3"/>
    </row>
    <row r="1739" spans="2:7">
      <c r="B1739" s="3"/>
      <c r="C1739" s="3"/>
      <c r="D1739" s="3"/>
      <c r="E1739" s="3"/>
      <c r="F1739" s="3"/>
      <c r="G1739" s="3"/>
    </row>
    <row r="1740" spans="2:7">
      <c r="B1740" s="3"/>
      <c r="C1740" s="3"/>
      <c r="D1740" s="3"/>
      <c r="E1740" s="3"/>
      <c r="F1740" s="3"/>
      <c r="G1740" s="3"/>
    </row>
    <row r="1741" spans="2:7">
      <c r="B1741" s="3"/>
      <c r="C1741" s="3"/>
      <c r="D1741" s="3"/>
      <c r="E1741" s="3"/>
      <c r="F1741" s="3"/>
      <c r="G1741" s="3"/>
    </row>
    <row r="1742" spans="2:7">
      <c r="B1742" s="3"/>
      <c r="C1742" s="3"/>
      <c r="D1742" s="3"/>
      <c r="E1742" s="3"/>
      <c r="F1742" s="3"/>
      <c r="G1742" s="3"/>
    </row>
    <row r="1743" spans="2:7">
      <c r="B1743" s="3"/>
      <c r="C1743" s="3"/>
      <c r="D1743" s="3"/>
      <c r="E1743" s="3"/>
      <c r="F1743" s="3"/>
      <c r="G1743" s="3"/>
    </row>
    <row r="1744" spans="2:7">
      <c r="B1744" s="3"/>
      <c r="C1744" s="3"/>
      <c r="D1744" s="3"/>
      <c r="E1744" s="3"/>
      <c r="F1744" s="3"/>
      <c r="G1744" s="3"/>
    </row>
    <row r="1745" spans="2:7">
      <c r="B1745" s="3"/>
      <c r="C1745" s="3"/>
      <c r="D1745" s="3"/>
      <c r="E1745" s="3"/>
      <c r="F1745" s="3"/>
      <c r="G1745" s="3"/>
    </row>
    <row r="1746" spans="2:7">
      <c r="B1746" s="3"/>
      <c r="C1746" s="3"/>
      <c r="D1746" s="3"/>
      <c r="E1746" s="3"/>
      <c r="F1746" s="3"/>
      <c r="G1746" s="3"/>
    </row>
    <row r="1747" spans="2:7">
      <c r="B1747" s="3"/>
      <c r="C1747" s="3"/>
      <c r="D1747" s="3"/>
      <c r="E1747" s="3"/>
      <c r="F1747" s="3"/>
      <c r="G1747" s="3"/>
    </row>
    <row r="1748" spans="2:7">
      <c r="B1748" s="3"/>
      <c r="C1748" s="3"/>
      <c r="D1748" s="3"/>
      <c r="E1748" s="3"/>
      <c r="F1748" s="3"/>
      <c r="G1748" s="3"/>
    </row>
    <row r="1749" spans="2:7">
      <c r="B1749" s="3"/>
      <c r="C1749" s="3"/>
      <c r="D1749" s="3"/>
      <c r="E1749" s="3"/>
      <c r="F1749" s="3"/>
      <c r="G1749" s="3"/>
    </row>
    <row r="1750" spans="2:7">
      <c r="B1750" s="3"/>
      <c r="C1750" s="3"/>
      <c r="D1750" s="3"/>
      <c r="E1750" s="3"/>
      <c r="F1750" s="3"/>
      <c r="G1750" s="3"/>
    </row>
    <row r="1751" spans="2:7">
      <c r="B1751" s="3"/>
      <c r="C1751" s="3"/>
      <c r="D1751" s="3"/>
      <c r="E1751" s="3"/>
      <c r="F1751" s="3"/>
      <c r="G1751" s="3"/>
    </row>
    <row r="1752" spans="2:7">
      <c r="B1752" s="3"/>
      <c r="C1752" s="3"/>
      <c r="D1752" s="3"/>
      <c r="E1752" s="3"/>
      <c r="F1752" s="3"/>
      <c r="G1752" s="3"/>
    </row>
    <row r="1753" spans="2:7">
      <c r="B1753" s="3"/>
      <c r="C1753" s="3"/>
      <c r="D1753" s="3"/>
      <c r="E1753" s="3"/>
      <c r="F1753" s="3"/>
      <c r="G1753" s="3"/>
    </row>
    <row r="1754" spans="2:7">
      <c r="B1754" s="3"/>
      <c r="C1754" s="3"/>
      <c r="D1754" s="3"/>
      <c r="E1754" s="3"/>
      <c r="F1754" s="3"/>
      <c r="G1754" s="3"/>
    </row>
    <row r="1755" spans="2:7">
      <c r="B1755" s="3"/>
      <c r="C1755" s="3"/>
      <c r="D1755" s="3"/>
      <c r="E1755" s="3"/>
      <c r="F1755" s="3"/>
      <c r="G1755" s="3"/>
    </row>
    <row r="1756" spans="2:7">
      <c r="B1756" s="3"/>
      <c r="C1756" s="3"/>
      <c r="D1756" s="3"/>
      <c r="E1756" s="3"/>
      <c r="F1756" s="3"/>
      <c r="G1756" s="3"/>
    </row>
    <row r="1757" spans="2:7">
      <c r="B1757" s="3"/>
      <c r="C1757" s="3"/>
      <c r="D1757" s="3"/>
      <c r="E1757" s="3"/>
      <c r="F1757" s="3"/>
      <c r="G1757" s="3"/>
    </row>
    <row r="1758" spans="2:7">
      <c r="B1758" s="3"/>
      <c r="C1758" s="3"/>
      <c r="D1758" s="3"/>
      <c r="E1758" s="3"/>
      <c r="F1758" s="3"/>
      <c r="G1758" s="3"/>
    </row>
    <row r="1759" spans="2:7">
      <c r="B1759" s="3"/>
      <c r="C1759" s="3"/>
      <c r="D1759" s="3"/>
      <c r="E1759" s="3"/>
      <c r="F1759" s="3"/>
      <c r="G1759" s="3"/>
    </row>
    <row r="1760" spans="2:7">
      <c r="B1760" s="3"/>
      <c r="C1760" s="3"/>
      <c r="D1760" s="3"/>
      <c r="E1760" s="3"/>
      <c r="F1760" s="3"/>
      <c r="G1760" s="3"/>
    </row>
    <row r="1761" spans="2:7">
      <c r="B1761" s="3"/>
      <c r="C1761" s="3"/>
      <c r="D1761" s="3"/>
      <c r="E1761" s="3"/>
      <c r="F1761" s="3"/>
      <c r="G1761" s="3"/>
    </row>
    <row r="1762" spans="2:7">
      <c r="B1762" s="3"/>
      <c r="C1762" s="3"/>
      <c r="D1762" s="3"/>
      <c r="E1762" s="3"/>
      <c r="F1762" s="3"/>
      <c r="G1762" s="3"/>
    </row>
    <row r="1763" spans="2:7">
      <c r="B1763" s="3"/>
      <c r="C1763" s="3"/>
      <c r="D1763" s="3"/>
      <c r="E1763" s="3"/>
      <c r="F1763" s="3"/>
      <c r="G1763" s="3"/>
    </row>
    <row r="1764" spans="2:7">
      <c r="B1764" s="3"/>
      <c r="C1764" s="3"/>
      <c r="D1764" s="3"/>
      <c r="E1764" s="3"/>
      <c r="F1764" s="3"/>
      <c r="G1764" s="3"/>
    </row>
    <row r="1765" spans="2:7">
      <c r="B1765" s="3"/>
      <c r="C1765" s="3"/>
      <c r="D1765" s="3"/>
      <c r="E1765" s="3"/>
      <c r="F1765" s="3"/>
      <c r="G1765" s="3"/>
    </row>
    <row r="1766" spans="2:7">
      <c r="B1766" s="3"/>
      <c r="C1766" s="3"/>
      <c r="D1766" s="3"/>
      <c r="E1766" s="3"/>
      <c r="F1766" s="3"/>
      <c r="G1766" s="3"/>
    </row>
    <row r="1767" spans="2:7">
      <c r="B1767" s="3"/>
      <c r="C1767" s="3"/>
      <c r="D1767" s="3"/>
      <c r="E1767" s="3"/>
      <c r="F1767" s="3"/>
      <c r="G1767" s="3"/>
    </row>
    <row r="1768" spans="2:7">
      <c r="B1768" s="3"/>
      <c r="C1768" s="3"/>
      <c r="D1768" s="3"/>
      <c r="E1768" s="3"/>
      <c r="F1768" s="3"/>
      <c r="G1768" s="3"/>
    </row>
    <row r="1769" spans="2:7">
      <c r="B1769" s="3"/>
      <c r="C1769" s="3"/>
      <c r="D1769" s="3"/>
      <c r="E1769" s="3"/>
      <c r="F1769" s="3"/>
      <c r="G1769" s="3"/>
    </row>
    <row r="1770" spans="2:7">
      <c r="B1770" s="3"/>
      <c r="C1770" s="3"/>
      <c r="D1770" s="3"/>
      <c r="E1770" s="3"/>
      <c r="F1770" s="3"/>
      <c r="G1770" s="3"/>
    </row>
    <row r="1771" spans="2:7">
      <c r="B1771" s="3"/>
      <c r="C1771" s="3"/>
      <c r="D1771" s="3"/>
      <c r="E1771" s="3"/>
      <c r="F1771" s="3"/>
      <c r="G1771" s="3"/>
    </row>
    <row r="1772" spans="2:7">
      <c r="B1772" s="3"/>
      <c r="C1772" s="3"/>
      <c r="D1772" s="3"/>
      <c r="E1772" s="3"/>
      <c r="F1772" s="3"/>
      <c r="G1772" s="3"/>
    </row>
    <row r="1773" spans="2:7">
      <c r="B1773" s="3"/>
      <c r="C1773" s="3"/>
      <c r="D1773" s="3"/>
      <c r="E1773" s="3"/>
      <c r="F1773" s="3"/>
      <c r="G1773" s="3"/>
    </row>
    <row r="1774" spans="2:7">
      <c r="B1774" s="3"/>
      <c r="C1774" s="3"/>
      <c r="D1774" s="3"/>
      <c r="E1774" s="3"/>
      <c r="F1774" s="3"/>
      <c r="G1774" s="3"/>
    </row>
    <row r="1775" spans="2:7">
      <c r="B1775" s="3"/>
      <c r="C1775" s="3"/>
      <c r="D1775" s="3"/>
      <c r="E1775" s="3"/>
      <c r="F1775" s="3"/>
      <c r="G1775" s="3"/>
    </row>
    <row r="1776" spans="2:7">
      <c r="B1776" s="3"/>
      <c r="C1776" s="3"/>
      <c r="D1776" s="3"/>
      <c r="E1776" s="3"/>
      <c r="F1776" s="3"/>
      <c r="G1776" s="3"/>
    </row>
    <row r="1777" spans="2:7">
      <c r="B1777" s="3"/>
      <c r="C1777" s="3"/>
      <c r="D1777" s="3"/>
      <c r="E1777" s="3"/>
      <c r="F1777" s="3"/>
      <c r="G1777" s="3"/>
    </row>
    <row r="1778" spans="2:7">
      <c r="B1778" s="3"/>
      <c r="C1778" s="3"/>
      <c r="D1778" s="3"/>
      <c r="E1778" s="3"/>
      <c r="F1778" s="3"/>
      <c r="G1778" s="3"/>
    </row>
    <row r="1779" spans="2:7">
      <c r="B1779" s="3"/>
      <c r="C1779" s="3"/>
      <c r="D1779" s="3"/>
      <c r="E1779" s="3"/>
      <c r="F1779" s="3"/>
      <c r="G1779" s="3"/>
    </row>
    <row r="1780" spans="2:7">
      <c r="B1780" s="3"/>
      <c r="C1780" s="3"/>
      <c r="D1780" s="3"/>
      <c r="E1780" s="3"/>
      <c r="F1780" s="3"/>
      <c r="G1780" s="3"/>
    </row>
    <row r="1781" spans="2:7">
      <c r="B1781" s="3"/>
      <c r="C1781" s="3"/>
      <c r="D1781" s="3"/>
      <c r="E1781" s="3"/>
      <c r="F1781" s="3"/>
      <c r="G1781" s="3"/>
    </row>
    <row r="1782" spans="2:7">
      <c r="B1782" s="3"/>
      <c r="C1782" s="3"/>
      <c r="D1782" s="3"/>
      <c r="E1782" s="3"/>
      <c r="F1782" s="3"/>
      <c r="G1782" s="3"/>
    </row>
    <row r="1783" spans="2:7">
      <c r="B1783" s="3"/>
      <c r="C1783" s="3"/>
      <c r="D1783" s="3"/>
      <c r="E1783" s="3"/>
      <c r="F1783" s="3"/>
      <c r="G1783" s="3"/>
    </row>
    <row r="1784" spans="2:7">
      <c r="B1784" s="3"/>
      <c r="C1784" s="3"/>
      <c r="D1784" s="3"/>
      <c r="E1784" s="3"/>
      <c r="F1784" s="3"/>
      <c r="G1784" s="3"/>
    </row>
    <row r="1785" spans="2:7">
      <c r="B1785" s="3"/>
      <c r="C1785" s="3"/>
      <c r="D1785" s="3"/>
      <c r="E1785" s="3"/>
      <c r="F1785" s="3"/>
      <c r="G1785" s="3"/>
    </row>
    <row r="1786" spans="2:7">
      <c r="B1786" s="3"/>
      <c r="C1786" s="3"/>
      <c r="D1786" s="3"/>
      <c r="E1786" s="3"/>
      <c r="F1786" s="3"/>
      <c r="G1786" s="3"/>
    </row>
    <row r="1787" spans="2:7">
      <c r="B1787" s="3"/>
      <c r="C1787" s="3"/>
      <c r="D1787" s="3"/>
      <c r="E1787" s="3"/>
      <c r="F1787" s="3"/>
      <c r="G1787" s="3"/>
    </row>
    <row r="1788" spans="2:7">
      <c r="B1788" s="3"/>
      <c r="C1788" s="3"/>
      <c r="D1788" s="3"/>
      <c r="E1788" s="3"/>
      <c r="F1788" s="3"/>
      <c r="G1788" s="3"/>
    </row>
    <row r="1789" spans="2:7">
      <c r="B1789" s="3"/>
      <c r="C1789" s="3"/>
      <c r="D1789" s="3"/>
      <c r="E1789" s="3"/>
      <c r="F1789" s="3"/>
      <c r="G1789" s="3"/>
    </row>
    <row r="1790" spans="2:7">
      <c r="B1790" s="3"/>
      <c r="C1790" s="3"/>
      <c r="D1790" s="3"/>
      <c r="E1790" s="3"/>
      <c r="F1790" s="3"/>
      <c r="G1790" s="3"/>
    </row>
    <row r="1791" spans="2:7">
      <c r="B1791" s="3"/>
      <c r="C1791" s="3"/>
      <c r="D1791" s="3"/>
      <c r="E1791" s="3"/>
      <c r="F1791" s="3"/>
      <c r="G1791" s="3"/>
    </row>
    <row r="1792" spans="2:7">
      <c r="B1792" s="3"/>
      <c r="C1792" s="3"/>
      <c r="D1792" s="3"/>
      <c r="E1792" s="3"/>
      <c r="F1792" s="3"/>
      <c r="G1792" s="3"/>
    </row>
    <row r="1793" spans="2:7">
      <c r="B1793" s="3"/>
      <c r="C1793" s="3"/>
      <c r="D1793" s="3"/>
      <c r="E1793" s="3"/>
      <c r="F1793" s="3"/>
      <c r="G1793" s="3"/>
    </row>
    <row r="1794" spans="2:7">
      <c r="B1794" s="3"/>
      <c r="C1794" s="3"/>
      <c r="D1794" s="3"/>
      <c r="E1794" s="3"/>
      <c r="F1794" s="3"/>
      <c r="G1794" s="3"/>
    </row>
    <row r="1795" spans="2:7">
      <c r="B1795" s="3"/>
      <c r="C1795" s="3"/>
      <c r="D1795" s="3"/>
      <c r="E1795" s="3"/>
      <c r="F1795" s="3"/>
      <c r="G1795" s="3"/>
    </row>
    <row r="1796" spans="2:7">
      <c r="B1796" s="3"/>
      <c r="C1796" s="3"/>
      <c r="D1796" s="3"/>
      <c r="E1796" s="3"/>
      <c r="F1796" s="3"/>
      <c r="G1796" s="3"/>
    </row>
    <row r="1797" spans="2:7">
      <c r="B1797" s="3"/>
      <c r="C1797" s="3"/>
      <c r="D1797" s="3"/>
      <c r="E1797" s="3"/>
      <c r="F1797" s="3"/>
      <c r="G1797" s="3"/>
    </row>
    <row r="1798" spans="2:7">
      <c r="B1798" s="3"/>
      <c r="C1798" s="3"/>
      <c r="D1798" s="3"/>
      <c r="E1798" s="3"/>
      <c r="F1798" s="3"/>
      <c r="G1798" s="3"/>
    </row>
    <row r="1799" spans="2:7">
      <c r="B1799" s="3"/>
      <c r="C1799" s="3"/>
      <c r="D1799" s="3"/>
      <c r="E1799" s="3"/>
      <c r="F1799" s="3"/>
      <c r="G1799" s="3"/>
    </row>
    <row r="1800" spans="2:7">
      <c r="B1800" s="3"/>
      <c r="C1800" s="3"/>
      <c r="D1800" s="3"/>
      <c r="E1800" s="3"/>
      <c r="F1800" s="3"/>
      <c r="G1800" s="3"/>
    </row>
    <row r="1801" spans="2:7">
      <c r="B1801" s="3"/>
      <c r="C1801" s="3"/>
      <c r="D1801" s="3"/>
      <c r="E1801" s="3"/>
      <c r="F1801" s="3"/>
      <c r="G1801" s="3"/>
    </row>
    <row r="1802" spans="2:7">
      <c r="B1802" s="3"/>
      <c r="C1802" s="3"/>
      <c r="D1802" s="3"/>
      <c r="E1802" s="3"/>
      <c r="F1802" s="3"/>
      <c r="G1802" s="3"/>
    </row>
    <row r="1803" spans="2:7">
      <c r="B1803" s="3"/>
      <c r="C1803" s="3"/>
      <c r="D1803" s="3"/>
      <c r="E1803" s="3"/>
      <c r="F1803" s="3"/>
      <c r="G1803" s="3"/>
    </row>
    <row r="1804" spans="2:7">
      <c r="B1804" s="3"/>
      <c r="C1804" s="3"/>
      <c r="D1804" s="3"/>
      <c r="E1804" s="3"/>
      <c r="F1804" s="3"/>
      <c r="G1804" s="3"/>
    </row>
    <row r="1805" spans="2:7">
      <c r="B1805" s="3"/>
      <c r="C1805" s="3"/>
      <c r="D1805" s="3"/>
      <c r="E1805" s="3"/>
      <c r="F1805" s="3"/>
      <c r="G1805" s="3"/>
    </row>
    <row r="1806" spans="2:7">
      <c r="B1806" s="3"/>
      <c r="C1806" s="3"/>
      <c r="D1806" s="3"/>
      <c r="E1806" s="3"/>
      <c r="F1806" s="3"/>
      <c r="G1806" s="3"/>
    </row>
    <row r="1807" spans="2:7">
      <c r="B1807" s="3"/>
      <c r="C1807" s="3"/>
      <c r="D1807" s="3"/>
      <c r="E1807" s="3"/>
      <c r="F1807" s="3"/>
      <c r="G1807" s="3"/>
    </row>
    <row r="1808" spans="2:7">
      <c r="B1808" s="3"/>
      <c r="C1808" s="3"/>
      <c r="D1808" s="3"/>
      <c r="E1808" s="3"/>
      <c r="F1808" s="3"/>
      <c r="G1808" s="3"/>
    </row>
    <row r="1809" spans="2:7">
      <c r="B1809" s="3"/>
      <c r="C1809" s="3"/>
      <c r="D1809" s="3"/>
      <c r="E1809" s="3"/>
      <c r="F1809" s="3"/>
      <c r="G1809" s="3"/>
    </row>
    <row r="1810" spans="2:7">
      <c r="B1810" s="3"/>
      <c r="C1810" s="3"/>
      <c r="D1810" s="3"/>
      <c r="E1810" s="3"/>
      <c r="F1810" s="3"/>
      <c r="G1810" s="3"/>
    </row>
    <row r="1811" spans="2:7">
      <c r="B1811" s="3"/>
      <c r="C1811" s="3"/>
      <c r="D1811" s="3"/>
      <c r="E1811" s="3"/>
      <c r="F1811" s="3"/>
      <c r="G1811" s="3"/>
    </row>
    <row r="1812" spans="2:7">
      <c r="B1812" s="3"/>
      <c r="C1812" s="3"/>
      <c r="D1812" s="3"/>
      <c r="E1812" s="3"/>
      <c r="F1812" s="3"/>
      <c r="G1812" s="3"/>
    </row>
    <row r="1813" spans="2:7">
      <c r="B1813" s="3"/>
      <c r="C1813" s="3"/>
      <c r="D1813" s="3"/>
      <c r="E1813" s="3"/>
      <c r="F1813" s="3"/>
      <c r="G1813" s="3"/>
    </row>
    <row r="1814" spans="2:7">
      <c r="B1814" s="3"/>
      <c r="C1814" s="3"/>
      <c r="D1814" s="3"/>
      <c r="E1814" s="3"/>
      <c r="F1814" s="3"/>
      <c r="G1814" s="3"/>
    </row>
    <row r="1815" spans="2:7">
      <c r="B1815" s="3"/>
      <c r="C1815" s="3"/>
      <c r="D1815" s="3"/>
      <c r="E1815" s="3"/>
      <c r="F1815" s="3"/>
      <c r="G1815" s="3"/>
    </row>
    <row r="1816" spans="2:7">
      <c r="B1816" s="3"/>
      <c r="C1816" s="3"/>
      <c r="D1816" s="3"/>
      <c r="E1816" s="3"/>
      <c r="F1816" s="3"/>
      <c r="G1816" s="3"/>
    </row>
    <row r="1817" spans="2:7">
      <c r="B1817" s="3"/>
      <c r="C1817" s="3"/>
      <c r="D1817" s="3"/>
      <c r="E1817" s="3"/>
      <c r="F1817" s="3"/>
      <c r="G1817" s="3"/>
    </row>
    <row r="1818" spans="2:7">
      <c r="B1818" s="3"/>
      <c r="C1818" s="3"/>
      <c r="D1818" s="3"/>
      <c r="E1818" s="3"/>
      <c r="F1818" s="3"/>
      <c r="G1818" s="3"/>
    </row>
    <row r="1819" spans="2:7">
      <c r="B1819" s="3"/>
      <c r="C1819" s="3"/>
      <c r="D1819" s="3"/>
      <c r="E1819" s="3"/>
      <c r="F1819" s="3"/>
      <c r="G1819" s="3"/>
    </row>
    <row r="1820" spans="2:7">
      <c r="B1820" s="3"/>
      <c r="C1820" s="3"/>
      <c r="D1820" s="3"/>
      <c r="E1820" s="3"/>
      <c r="F1820" s="3"/>
      <c r="G1820" s="3"/>
    </row>
    <row r="1821" spans="2:7">
      <c r="B1821" s="3"/>
      <c r="C1821" s="3"/>
      <c r="D1821" s="3"/>
      <c r="E1821" s="3"/>
      <c r="F1821" s="3"/>
      <c r="G1821" s="3"/>
    </row>
    <row r="1822" spans="2:7">
      <c r="B1822" s="3"/>
      <c r="C1822" s="3"/>
      <c r="D1822" s="3"/>
      <c r="E1822" s="3"/>
      <c r="F1822" s="3"/>
      <c r="G1822" s="3"/>
    </row>
    <row r="1823" spans="2:7">
      <c r="B1823" s="3"/>
      <c r="C1823" s="3"/>
      <c r="D1823" s="3"/>
      <c r="E1823" s="3"/>
      <c r="F1823" s="3"/>
      <c r="G1823" s="3"/>
    </row>
    <row r="1824" spans="2:7">
      <c r="B1824" s="3"/>
      <c r="C1824" s="3"/>
      <c r="D1824" s="3"/>
      <c r="E1824" s="3"/>
      <c r="F1824" s="3"/>
      <c r="G1824" s="3"/>
    </row>
    <row r="1825" spans="2:7">
      <c r="B1825" s="3"/>
      <c r="C1825" s="3"/>
      <c r="D1825" s="3"/>
      <c r="E1825" s="3"/>
      <c r="F1825" s="3"/>
      <c r="G1825" s="3"/>
    </row>
    <row r="1826" spans="2:7">
      <c r="B1826" s="3"/>
      <c r="C1826" s="3"/>
      <c r="D1826" s="3"/>
      <c r="E1826" s="3"/>
      <c r="F1826" s="3"/>
      <c r="G1826" s="3"/>
    </row>
    <row r="1827" spans="2:7">
      <c r="B1827" s="3"/>
      <c r="C1827" s="3"/>
      <c r="D1827" s="3"/>
      <c r="E1827" s="3"/>
      <c r="F1827" s="3"/>
      <c r="G1827" s="3"/>
    </row>
    <row r="1828" spans="2:7">
      <c r="B1828" s="3"/>
      <c r="C1828" s="3"/>
      <c r="D1828" s="3"/>
      <c r="E1828" s="3"/>
      <c r="F1828" s="3"/>
      <c r="G1828" s="3"/>
    </row>
    <row r="1829" spans="2:7">
      <c r="B1829" s="3"/>
      <c r="C1829" s="3"/>
      <c r="D1829" s="3"/>
      <c r="E1829" s="3"/>
      <c r="F1829" s="3"/>
      <c r="G1829" s="3"/>
    </row>
    <row r="1830" spans="2:7">
      <c r="B1830" s="3"/>
      <c r="C1830" s="3"/>
      <c r="D1830" s="3"/>
      <c r="E1830" s="3"/>
      <c r="F1830" s="3"/>
      <c r="G1830" s="3"/>
    </row>
    <row r="1831" spans="2:7">
      <c r="B1831" s="3"/>
      <c r="C1831" s="3"/>
      <c r="D1831" s="3"/>
      <c r="E1831" s="3"/>
      <c r="F1831" s="3"/>
      <c r="G1831" s="3"/>
    </row>
    <row r="1832" spans="2:7">
      <c r="B1832" s="3"/>
      <c r="C1832" s="3"/>
      <c r="D1832" s="3"/>
      <c r="E1832" s="3"/>
      <c r="F1832" s="3"/>
      <c r="G1832" s="3"/>
    </row>
    <row r="1833" spans="2:7">
      <c r="B1833" s="3"/>
      <c r="C1833" s="3"/>
      <c r="D1833" s="3"/>
      <c r="E1833" s="3"/>
      <c r="F1833" s="3"/>
      <c r="G1833" s="3"/>
    </row>
    <row r="1834" spans="2:7">
      <c r="B1834" s="3"/>
      <c r="C1834" s="3"/>
      <c r="D1834" s="3"/>
      <c r="E1834" s="3"/>
      <c r="F1834" s="3"/>
      <c r="G1834" s="3"/>
    </row>
    <row r="1835" spans="2:7">
      <c r="B1835" s="3"/>
      <c r="C1835" s="3"/>
      <c r="D1835" s="3"/>
      <c r="E1835" s="3"/>
      <c r="F1835" s="3"/>
      <c r="G1835" s="3"/>
    </row>
    <row r="1836" spans="2:7">
      <c r="B1836" s="3"/>
      <c r="C1836" s="3"/>
      <c r="D1836" s="3"/>
      <c r="E1836" s="3"/>
      <c r="F1836" s="3"/>
      <c r="G1836" s="3"/>
    </row>
    <row r="1837" spans="2:7">
      <c r="B1837" s="3"/>
      <c r="C1837" s="3"/>
      <c r="D1837" s="3"/>
      <c r="E1837" s="3"/>
      <c r="F1837" s="3"/>
      <c r="G1837" s="3"/>
    </row>
    <row r="1838" spans="2:7">
      <c r="B1838" s="3"/>
      <c r="C1838" s="3"/>
      <c r="D1838" s="3"/>
      <c r="E1838" s="3"/>
      <c r="F1838" s="3"/>
      <c r="G1838" s="3"/>
    </row>
    <row r="1839" spans="2:7">
      <c r="B1839" s="3"/>
      <c r="C1839" s="3"/>
      <c r="D1839" s="3"/>
      <c r="E1839" s="3"/>
      <c r="F1839" s="3"/>
      <c r="G1839" s="3"/>
    </row>
    <row r="1840" spans="2:7">
      <c r="B1840" s="3"/>
      <c r="C1840" s="3"/>
      <c r="D1840" s="3"/>
      <c r="E1840" s="3"/>
      <c r="F1840" s="3"/>
      <c r="G1840" s="3"/>
    </row>
    <row r="1841" spans="2:7">
      <c r="B1841" s="3"/>
      <c r="C1841" s="3"/>
      <c r="D1841" s="3"/>
      <c r="E1841" s="3"/>
      <c r="F1841" s="3"/>
      <c r="G1841" s="3"/>
    </row>
    <row r="1842" spans="2:7">
      <c r="B1842" s="3"/>
      <c r="C1842" s="3"/>
      <c r="D1842" s="3"/>
      <c r="E1842" s="3"/>
      <c r="F1842" s="3"/>
      <c r="G1842" s="3"/>
    </row>
    <row r="1843" spans="2:7">
      <c r="B1843" s="3"/>
      <c r="C1843" s="3"/>
      <c r="D1843" s="3"/>
      <c r="E1843" s="3"/>
      <c r="F1843" s="3"/>
      <c r="G1843" s="3"/>
    </row>
    <row r="1844" spans="2:7">
      <c r="B1844" s="3"/>
      <c r="C1844" s="3"/>
      <c r="D1844" s="3"/>
      <c r="E1844" s="3"/>
      <c r="F1844" s="3"/>
      <c r="G1844" s="3"/>
    </row>
    <row r="1845" spans="2:7">
      <c r="B1845" s="3"/>
      <c r="C1845" s="3"/>
      <c r="D1845" s="3"/>
      <c r="E1845" s="3"/>
      <c r="F1845" s="3"/>
      <c r="G1845" s="3"/>
    </row>
    <row r="1846" spans="2:7">
      <c r="B1846" s="3"/>
      <c r="C1846" s="3"/>
      <c r="D1846" s="3"/>
      <c r="E1846" s="3"/>
      <c r="F1846" s="3"/>
      <c r="G1846" s="3"/>
    </row>
    <row r="1847" spans="2:7">
      <c r="B1847" s="3"/>
      <c r="C1847" s="3"/>
      <c r="D1847" s="3"/>
      <c r="E1847" s="3"/>
      <c r="F1847" s="3"/>
      <c r="G1847" s="3"/>
    </row>
    <row r="1848" spans="2:7">
      <c r="B1848" s="3"/>
      <c r="C1848" s="3"/>
      <c r="D1848" s="3"/>
      <c r="E1848" s="3"/>
      <c r="F1848" s="3"/>
      <c r="G1848" s="3"/>
    </row>
    <row r="1849" spans="2:7">
      <c r="B1849" s="3"/>
      <c r="C1849" s="3"/>
      <c r="D1849" s="3"/>
      <c r="E1849" s="3"/>
      <c r="F1849" s="3"/>
      <c r="G1849" s="3"/>
    </row>
    <row r="1850" spans="2:7">
      <c r="B1850" s="3"/>
      <c r="C1850" s="3"/>
      <c r="D1850" s="3"/>
      <c r="E1850" s="3"/>
      <c r="F1850" s="3"/>
      <c r="G1850" s="3"/>
    </row>
    <row r="1851" spans="2:7">
      <c r="B1851" s="3"/>
      <c r="C1851" s="3"/>
      <c r="D1851" s="3"/>
      <c r="E1851" s="3"/>
      <c r="F1851" s="3"/>
      <c r="G1851" s="3"/>
    </row>
    <row r="1852" spans="2:7">
      <c r="B1852" s="3"/>
      <c r="C1852" s="3"/>
      <c r="D1852" s="3"/>
      <c r="E1852" s="3"/>
      <c r="F1852" s="3"/>
      <c r="G1852" s="3"/>
    </row>
    <row r="1853" spans="2:7">
      <c r="B1853" s="3"/>
      <c r="C1853" s="3"/>
      <c r="D1853" s="3"/>
      <c r="E1853" s="3"/>
      <c r="F1853" s="3"/>
      <c r="G1853" s="3"/>
    </row>
    <row r="1854" spans="2:7">
      <c r="B1854" s="3"/>
      <c r="C1854" s="3"/>
      <c r="D1854" s="3"/>
      <c r="E1854" s="3"/>
      <c r="F1854" s="3"/>
      <c r="G1854" s="3"/>
    </row>
    <row r="1855" spans="2:7">
      <c r="B1855" s="3"/>
      <c r="C1855" s="3"/>
      <c r="D1855" s="3"/>
      <c r="E1855" s="3"/>
      <c r="F1855" s="3"/>
      <c r="G1855" s="3"/>
    </row>
    <row r="1856" spans="2:7">
      <c r="B1856" s="3"/>
      <c r="C1856" s="3"/>
      <c r="D1856" s="3"/>
      <c r="E1856" s="3"/>
      <c r="F1856" s="3"/>
      <c r="G1856" s="3"/>
    </row>
    <row r="1857" spans="2:7">
      <c r="B1857" s="3"/>
      <c r="C1857" s="3"/>
      <c r="D1857" s="3"/>
      <c r="E1857" s="3"/>
      <c r="F1857" s="3"/>
      <c r="G1857" s="3"/>
    </row>
    <row r="1858" spans="2:7">
      <c r="B1858" s="3"/>
      <c r="C1858" s="3"/>
      <c r="D1858" s="3"/>
      <c r="E1858" s="3"/>
      <c r="F1858" s="3"/>
      <c r="G1858" s="3"/>
    </row>
    <row r="1859" spans="2:7">
      <c r="B1859" s="3"/>
      <c r="C1859" s="3"/>
      <c r="D1859" s="3"/>
      <c r="E1859" s="3"/>
      <c r="F1859" s="3"/>
      <c r="G1859" s="3"/>
    </row>
    <row r="1860" spans="2:7">
      <c r="B1860" s="3"/>
      <c r="C1860" s="3"/>
      <c r="D1860" s="3"/>
      <c r="E1860" s="3"/>
      <c r="F1860" s="3"/>
      <c r="G1860" s="3"/>
    </row>
    <row r="1861" spans="2:7">
      <c r="B1861" s="3"/>
      <c r="C1861" s="3"/>
      <c r="D1861" s="3"/>
      <c r="E1861" s="3"/>
      <c r="F1861" s="3"/>
      <c r="G1861" s="3"/>
    </row>
    <row r="1862" spans="2:7">
      <c r="B1862" s="3"/>
      <c r="C1862" s="3"/>
      <c r="D1862" s="3"/>
      <c r="E1862" s="3"/>
      <c r="F1862" s="3"/>
      <c r="G1862" s="3"/>
    </row>
    <row r="1863" spans="2:7">
      <c r="B1863" s="3"/>
      <c r="C1863" s="3"/>
      <c r="D1863" s="3"/>
      <c r="E1863" s="3"/>
      <c r="F1863" s="3"/>
      <c r="G1863" s="3"/>
    </row>
    <row r="1864" spans="2:7">
      <c r="B1864" s="3"/>
      <c r="C1864" s="3"/>
      <c r="D1864" s="3"/>
      <c r="E1864" s="3"/>
      <c r="F1864" s="3"/>
      <c r="G1864" s="3"/>
    </row>
    <row r="1865" spans="2:7">
      <c r="B1865" s="3"/>
      <c r="C1865" s="3"/>
      <c r="D1865" s="3"/>
      <c r="E1865" s="3"/>
      <c r="F1865" s="3"/>
      <c r="G1865" s="3"/>
    </row>
    <row r="1866" spans="2:7">
      <c r="B1866" s="3"/>
      <c r="C1866" s="3"/>
      <c r="D1866" s="3"/>
      <c r="E1866" s="3"/>
      <c r="F1866" s="3"/>
      <c r="G1866" s="3"/>
    </row>
    <row r="1867" spans="2:7">
      <c r="B1867" s="3"/>
      <c r="C1867" s="3"/>
      <c r="D1867" s="3"/>
      <c r="E1867" s="3"/>
      <c r="F1867" s="3"/>
      <c r="G1867" s="3"/>
    </row>
    <row r="1868" spans="2:7">
      <c r="B1868" s="3"/>
      <c r="C1868" s="3"/>
      <c r="D1868" s="3"/>
      <c r="E1868" s="3"/>
      <c r="F1868" s="3"/>
      <c r="G1868" s="3"/>
    </row>
    <row r="1869" spans="2:7">
      <c r="B1869" s="3"/>
      <c r="C1869" s="3"/>
      <c r="D1869" s="3"/>
      <c r="E1869" s="3"/>
      <c r="F1869" s="3"/>
      <c r="G1869" s="3"/>
    </row>
    <row r="1870" spans="2:7">
      <c r="B1870" s="3"/>
      <c r="C1870" s="3"/>
      <c r="D1870" s="3"/>
      <c r="E1870" s="3"/>
      <c r="F1870" s="3"/>
      <c r="G1870" s="3"/>
    </row>
    <row r="1871" spans="2:7">
      <c r="B1871" s="3"/>
      <c r="C1871" s="3"/>
      <c r="D1871" s="3"/>
      <c r="E1871" s="3"/>
      <c r="F1871" s="3"/>
      <c r="G1871" s="3"/>
    </row>
    <row r="1872" spans="2:7">
      <c r="B1872" s="3"/>
      <c r="C1872" s="3"/>
      <c r="D1872" s="3"/>
      <c r="E1872" s="3"/>
      <c r="F1872" s="3"/>
      <c r="G1872" s="3"/>
    </row>
    <row r="1873" spans="2:7">
      <c r="B1873" s="3"/>
      <c r="C1873" s="3"/>
      <c r="D1873" s="3"/>
      <c r="E1873" s="3"/>
      <c r="F1873" s="3"/>
      <c r="G1873" s="3"/>
    </row>
    <row r="1874" spans="2:7">
      <c r="B1874" s="3"/>
      <c r="C1874" s="3"/>
      <c r="D1874" s="3"/>
      <c r="E1874" s="3"/>
      <c r="F1874" s="3"/>
      <c r="G1874" s="3"/>
    </row>
    <row r="1875" spans="2:7">
      <c r="B1875" s="3"/>
      <c r="C1875" s="3"/>
      <c r="D1875" s="3"/>
      <c r="E1875" s="3"/>
      <c r="F1875" s="3"/>
      <c r="G1875" s="3"/>
    </row>
    <row r="1876" spans="2:7">
      <c r="B1876" s="3"/>
      <c r="C1876" s="3"/>
      <c r="D1876" s="3"/>
      <c r="E1876" s="3"/>
      <c r="F1876" s="3"/>
      <c r="G1876" s="3"/>
    </row>
    <row r="1877" spans="2:7">
      <c r="B1877" s="3"/>
      <c r="C1877" s="3"/>
      <c r="D1877" s="3"/>
      <c r="E1877" s="3"/>
      <c r="F1877" s="3"/>
      <c r="G1877" s="3"/>
    </row>
    <row r="1878" spans="2:7">
      <c r="B1878" s="3"/>
      <c r="C1878" s="3"/>
      <c r="D1878" s="3"/>
      <c r="E1878" s="3"/>
      <c r="F1878" s="3"/>
      <c r="G1878" s="3"/>
    </row>
    <row r="1879" spans="2:7">
      <c r="B1879" s="3"/>
      <c r="C1879" s="3"/>
      <c r="D1879" s="3"/>
      <c r="E1879" s="3"/>
      <c r="F1879" s="3"/>
      <c r="G1879" s="3"/>
    </row>
    <row r="1880" spans="2:7">
      <c r="B1880" s="3"/>
      <c r="C1880" s="3"/>
      <c r="D1880" s="3"/>
      <c r="E1880" s="3"/>
      <c r="F1880" s="3"/>
      <c r="G1880" s="3"/>
    </row>
    <row r="1881" spans="2:7">
      <c r="B1881" s="3"/>
      <c r="C1881" s="3"/>
      <c r="D1881" s="3"/>
      <c r="E1881" s="3"/>
      <c r="F1881" s="3"/>
      <c r="G1881" s="3"/>
    </row>
    <row r="1882" spans="2:7">
      <c r="B1882" s="3"/>
      <c r="C1882" s="3"/>
      <c r="D1882" s="3"/>
      <c r="E1882" s="3"/>
      <c r="F1882" s="3"/>
      <c r="G1882" s="3"/>
    </row>
    <row r="1883" spans="2:7">
      <c r="B1883" s="3"/>
      <c r="C1883" s="3"/>
      <c r="D1883" s="3"/>
      <c r="E1883" s="3"/>
      <c r="F1883" s="3"/>
      <c r="G1883" s="3"/>
    </row>
    <row r="1884" spans="2:7">
      <c r="B1884" s="3"/>
      <c r="C1884" s="3"/>
      <c r="D1884" s="3"/>
      <c r="E1884" s="3"/>
      <c r="F1884" s="3"/>
      <c r="G1884" s="3"/>
    </row>
    <row r="1885" spans="2:7">
      <c r="B1885" s="3"/>
      <c r="C1885" s="3"/>
      <c r="D1885" s="3"/>
      <c r="E1885" s="3"/>
      <c r="F1885" s="3"/>
      <c r="G1885" s="3"/>
    </row>
    <row r="1886" spans="2:7">
      <c r="B1886" s="3"/>
      <c r="C1886" s="3"/>
      <c r="D1886" s="3"/>
      <c r="E1886" s="3"/>
      <c r="F1886" s="3"/>
      <c r="G1886" s="3"/>
    </row>
    <row r="1887" spans="2:7">
      <c r="B1887" s="3"/>
      <c r="C1887" s="3"/>
      <c r="D1887" s="3"/>
      <c r="E1887" s="3"/>
      <c r="F1887" s="3"/>
      <c r="G1887" s="3"/>
    </row>
    <row r="1888" spans="2:7">
      <c r="B1888" s="3"/>
      <c r="C1888" s="3"/>
      <c r="D1888" s="3"/>
      <c r="E1888" s="3"/>
      <c r="F1888" s="3"/>
      <c r="G1888" s="3"/>
    </row>
    <row r="1889" spans="2:7">
      <c r="B1889" s="3"/>
      <c r="C1889" s="3"/>
      <c r="D1889" s="3"/>
      <c r="E1889" s="3"/>
      <c r="F1889" s="3"/>
      <c r="G1889" s="3"/>
    </row>
    <row r="1890" spans="2:7">
      <c r="B1890" s="3"/>
      <c r="C1890" s="3"/>
      <c r="D1890" s="3"/>
      <c r="E1890" s="3"/>
      <c r="F1890" s="3"/>
      <c r="G1890" s="3"/>
    </row>
    <row r="1891" spans="2:7">
      <c r="B1891" s="3"/>
      <c r="C1891" s="3"/>
      <c r="D1891" s="3"/>
      <c r="E1891" s="3"/>
      <c r="F1891" s="3"/>
      <c r="G1891" s="3"/>
    </row>
    <row r="1892" spans="2:7">
      <c r="B1892" s="3"/>
      <c r="C1892" s="3"/>
      <c r="D1892" s="3"/>
      <c r="E1892" s="3"/>
      <c r="F1892" s="3"/>
      <c r="G1892" s="3"/>
    </row>
    <row r="1893" spans="2:7">
      <c r="B1893" s="3"/>
      <c r="C1893" s="3"/>
      <c r="D1893" s="3"/>
      <c r="E1893" s="3"/>
      <c r="F1893" s="3"/>
      <c r="G1893" s="3"/>
    </row>
    <row r="1894" spans="2:7">
      <c r="B1894" s="3"/>
      <c r="C1894" s="3"/>
      <c r="D1894" s="3"/>
      <c r="E1894" s="3"/>
      <c r="F1894" s="3"/>
      <c r="G1894" s="3"/>
    </row>
    <row r="1895" spans="2:7">
      <c r="B1895" s="3"/>
      <c r="C1895" s="3"/>
      <c r="D1895" s="3"/>
      <c r="E1895" s="3"/>
      <c r="F1895" s="3"/>
      <c r="G1895" s="3"/>
    </row>
    <row r="1896" spans="2:7">
      <c r="B1896" s="3"/>
      <c r="C1896" s="3"/>
      <c r="D1896" s="3"/>
      <c r="E1896" s="3"/>
      <c r="F1896" s="3"/>
      <c r="G1896" s="3"/>
    </row>
    <row r="1897" spans="2:7">
      <c r="B1897" s="3"/>
      <c r="C1897" s="3"/>
      <c r="D1897" s="3"/>
      <c r="E1897" s="3"/>
      <c r="F1897" s="3"/>
      <c r="G1897" s="3"/>
    </row>
    <row r="1898" spans="2:7">
      <c r="B1898" s="3"/>
      <c r="C1898" s="3"/>
      <c r="D1898" s="3"/>
      <c r="E1898" s="3"/>
      <c r="F1898" s="3"/>
      <c r="G1898" s="3"/>
    </row>
    <row r="1899" spans="2:7">
      <c r="B1899" s="3"/>
      <c r="C1899" s="3"/>
      <c r="D1899" s="3"/>
      <c r="E1899" s="3"/>
      <c r="F1899" s="3"/>
      <c r="G1899" s="3"/>
    </row>
    <row r="1900" spans="2:7">
      <c r="B1900" s="3"/>
      <c r="C1900" s="3"/>
      <c r="D1900" s="3"/>
      <c r="E1900" s="3"/>
      <c r="F1900" s="3"/>
      <c r="G1900" s="3"/>
    </row>
    <row r="1901" spans="2:7">
      <c r="B1901" s="3"/>
      <c r="C1901" s="3"/>
      <c r="D1901" s="3"/>
      <c r="E1901" s="3"/>
      <c r="F1901" s="3"/>
      <c r="G1901" s="3"/>
    </row>
    <row r="1902" spans="2:7">
      <c r="B1902" s="3"/>
      <c r="C1902" s="3"/>
      <c r="D1902" s="3"/>
      <c r="E1902" s="3"/>
      <c r="F1902" s="3"/>
      <c r="G1902" s="3"/>
    </row>
    <row r="1903" spans="2:7">
      <c r="B1903" s="3"/>
      <c r="C1903" s="3"/>
      <c r="D1903" s="3"/>
      <c r="E1903" s="3"/>
      <c r="F1903" s="3"/>
      <c r="G1903" s="3"/>
    </row>
    <row r="1904" spans="2:7">
      <c r="B1904" s="3"/>
      <c r="C1904" s="3"/>
      <c r="D1904" s="3"/>
      <c r="E1904" s="3"/>
      <c r="F1904" s="3"/>
      <c r="G1904" s="3"/>
    </row>
    <row r="1905" spans="2:7">
      <c r="B1905" s="3"/>
      <c r="C1905" s="3"/>
      <c r="D1905" s="3"/>
      <c r="E1905" s="3"/>
      <c r="F1905" s="3"/>
      <c r="G1905" s="3"/>
    </row>
    <row r="1906" spans="2:7">
      <c r="B1906" s="3"/>
      <c r="C1906" s="3"/>
      <c r="D1906" s="3"/>
      <c r="E1906" s="3"/>
      <c r="F1906" s="3"/>
      <c r="G1906" s="3"/>
    </row>
    <row r="1907" spans="2:7">
      <c r="B1907" s="3"/>
      <c r="C1907" s="3"/>
      <c r="D1907" s="3"/>
      <c r="E1907" s="3"/>
      <c r="F1907" s="3"/>
      <c r="G1907" s="3"/>
    </row>
    <row r="1908" spans="2:7">
      <c r="B1908" s="3"/>
      <c r="C1908" s="3"/>
      <c r="D1908" s="3"/>
      <c r="E1908" s="3"/>
      <c r="F1908" s="3"/>
      <c r="G1908" s="3"/>
    </row>
    <row r="1909" spans="2:7">
      <c r="B1909" s="3"/>
      <c r="C1909" s="3"/>
      <c r="D1909" s="3"/>
      <c r="E1909" s="3"/>
      <c r="F1909" s="3"/>
      <c r="G1909" s="3"/>
    </row>
    <row r="1910" spans="2:7">
      <c r="B1910" s="3"/>
      <c r="C1910" s="3"/>
      <c r="D1910" s="3"/>
      <c r="E1910" s="3"/>
      <c r="F1910" s="3"/>
      <c r="G1910" s="3"/>
    </row>
    <row r="1911" spans="2:7">
      <c r="B1911" s="3"/>
      <c r="C1911" s="3"/>
      <c r="D1911" s="3"/>
      <c r="E1911" s="3"/>
      <c r="F1911" s="3"/>
      <c r="G1911" s="3"/>
    </row>
    <row r="1912" spans="2:7">
      <c r="B1912" s="3"/>
      <c r="C1912" s="3"/>
      <c r="D1912" s="3"/>
      <c r="E1912" s="3"/>
      <c r="F1912" s="3"/>
      <c r="G1912" s="3"/>
    </row>
    <row r="1913" spans="2:7">
      <c r="B1913" s="3"/>
      <c r="C1913" s="3"/>
      <c r="D1913" s="3"/>
      <c r="E1913" s="3"/>
      <c r="F1913" s="3"/>
      <c r="G1913" s="3"/>
    </row>
    <row r="1914" spans="2:7">
      <c r="B1914" s="3"/>
      <c r="C1914" s="3"/>
      <c r="D1914" s="3"/>
      <c r="E1914" s="3"/>
      <c r="F1914" s="3"/>
      <c r="G1914" s="3"/>
    </row>
    <row r="1915" spans="2:7">
      <c r="B1915" s="3"/>
      <c r="C1915" s="3"/>
      <c r="D1915" s="3"/>
      <c r="E1915" s="3"/>
      <c r="F1915" s="3"/>
      <c r="G1915" s="3"/>
    </row>
    <row r="1916" spans="2:7">
      <c r="B1916" s="3"/>
      <c r="C1916" s="3"/>
      <c r="D1916" s="3"/>
      <c r="E1916" s="3"/>
      <c r="F1916" s="3"/>
      <c r="G1916" s="3"/>
    </row>
    <row r="1917" spans="2:7">
      <c r="B1917" s="3"/>
      <c r="C1917" s="3"/>
      <c r="D1917" s="3"/>
      <c r="E1917" s="3"/>
      <c r="F1917" s="3"/>
      <c r="G1917" s="3"/>
    </row>
    <row r="1918" spans="2:7">
      <c r="B1918" s="3"/>
      <c r="C1918" s="3"/>
      <c r="D1918" s="3"/>
      <c r="E1918" s="3"/>
      <c r="F1918" s="3"/>
      <c r="G1918" s="3"/>
    </row>
    <row r="1919" spans="2:7">
      <c r="B1919" s="3"/>
      <c r="C1919" s="3"/>
      <c r="D1919" s="3"/>
      <c r="E1919" s="3"/>
      <c r="F1919" s="3"/>
      <c r="G1919" s="3"/>
    </row>
    <row r="1920" spans="2:7">
      <c r="B1920" s="3"/>
      <c r="C1920" s="3"/>
      <c r="D1920" s="3"/>
      <c r="E1920" s="3"/>
      <c r="F1920" s="3"/>
      <c r="G1920" s="3"/>
    </row>
    <row r="1921" spans="2:7">
      <c r="B1921" s="3"/>
      <c r="C1921" s="3"/>
      <c r="D1921" s="3"/>
      <c r="E1921" s="3"/>
      <c r="F1921" s="3"/>
      <c r="G1921" s="3"/>
    </row>
    <row r="1922" spans="2:7">
      <c r="B1922" s="3"/>
      <c r="C1922" s="3"/>
      <c r="D1922" s="3"/>
      <c r="E1922" s="3"/>
      <c r="F1922" s="3"/>
      <c r="G1922" s="3"/>
    </row>
    <row r="1923" spans="2:7">
      <c r="B1923" s="3"/>
      <c r="C1923" s="3"/>
      <c r="D1923" s="3"/>
      <c r="E1923" s="3"/>
      <c r="F1923" s="3"/>
      <c r="G1923" s="3"/>
    </row>
    <row r="1924" spans="2:7">
      <c r="B1924" s="3"/>
      <c r="C1924" s="3"/>
      <c r="D1924" s="3"/>
      <c r="E1924" s="3"/>
      <c r="F1924" s="3"/>
      <c r="G1924" s="3"/>
    </row>
    <row r="1925" spans="2:7">
      <c r="B1925" s="3"/>
      <c r="C1925" s="3"/>
      <c r="D1925" s="3"/>
      <c r="E1925" s="3"/>
      <c r="F1925" s="3"/>
      <c r="G1925" s="3"/>
    </row>
    <row r="1926" spans="2:7">
      <c r="B1926" s="3"/>
      <c r="C1926" s="3"/>
      <c r="D1926" s="3"/>
      <c r="E1926" s="3"/>
      <c r="F1926" s="3"/>
      <c r="G1926" s="3"/>
    </row>
    <row r="1927" spans="2:7">
      <c r="B1927" s="3"/>
      <c r="C1927" s="3"/>
      <c r="D1927" s="3"/>
      <c r="E1927" s="3"/>
      <c r="F1927" s="3"/>
      <c r="G1927" s="3"/>
    </row>
    <row r="1928" spans="2:7">
      <c r="B1928" s="3"/>
      <c r="C1928" s="3"/>
      <c r="D1928" s="3"/>
      <c r="E1928" s="3"/>
      <c r="F1928" s="3"/>
      <c r="G1928" s="3"/>
    </row>
    <row r="1929" spans="2:7">
      <c r="B1929" s="3"/>
      <c r="C1929" s="3"/>
      <c r="D1929" s="3"/>
      <c r="E1929" s="3"/>
      <c r="F1929" s="3"/>
      <c r="G1929" s="3"/>
    </row>
    <row r="1930" spans="2:7">
      <c r="B1930" s="3"/>
      <c r="C1930" s="3"/>
      <c r="D1930" s="3"/>
      <c r="E1930" s="3"/>
      <c r="F1930" s="3"/>
      <c r="G1930" s="3"/>
    </row>
    <row r="1931" spans="2:7">
      <c r="B1931" s="3"/>
      <c r="C1931" s="3"/>
      <c r="D1931" s="3"/>
      <c r="E1931" s="3"/>
      <c r="F1931" s="3"/>
      <c r="G1931" s="3"/>
    </row>
    <row r="1932" spans="2:7">
      <c r="B1932" s="3"/>
      <c r="C1932" s="3"/>
      <c r="D1932" s="3"/>
      <c r="E1932" s="3"/>
      <c r="F1932" s="3"/>
      <c r="G1932" s="3"/>
    </row>
    <row r="1933" spans="2:7">
      <c r="B1933" s="3"/>
      <c r="C1933" s="3"/>
      <c r="D1933" s="3"/>
      <c r="E1933" s="3"/>
      <c r="F1933" s="3"/>
      <c r="G1933" s="3"/>
    </row>
    <row r="1934" spans="2:7">
      <c r="B1934" s="3"/>
      <c r="C1934" s="3"/>
      <c r="D1934" s="3"/>
      <c r="E1934" s="3"/>
      <c r="F1934" s="3"/>
      <c r="G1934" s="3"/>
    </row>
    <row r="1935" spans="2:7">
      <c r="B1935" s="3"/>
      <c r="C1935" s="3"/>
      <c r="D1935" s="3"/>
      <c r="E1935" s="3"/>
      <c r="F1935" s="3"/>
      <c r="G1935" s="3"/>
    </row>
    <row r="1936" spans="2:7">
      <c r="B1936" s="3"/>
      <c r="C1936" s="3"/>
      <c r="D1936" s="3"/>
      <c r="E1936" s="3"/>
      <c r="F1936" s="3"/>
      <c r="G1936" s="3"/>
    </row>
    <row r="1937" spans="2:7">
      <c r="B1937" s="3"/>
      <c r="C1937" s="3"/>
      <c r="D1937" s="3"/>
      <c r="E1937" s="3"/>
      <c r="F1937" s="3"/>
      <c r="G1937" s="3"/>
    </row>
    <row r="1938" spans="2:7">
      <c r="B1938" s="3"/>
      <c r="C1938" s="3"/>
      <c r="D1938" s="3"/>
      <c r="E1938" s="3"/>
      <c r="F1938" s="3"/>
      <c r="G1938" s="3"/>
    </row>
    <row r="1939" spans="2:7">
      <c r="B1939" s="3"/>
      <c r="C1939" s="3"/>
      <c r="D1939" s="3"/>
      <c r="E1939" s="3"/>
      <c r="F1939" s="3"/>
      <c r="G1939" s="3"/>
    </row>
    <row r="1940" spans="2:7">
      <c r="B1940" s="3"/>
      <c r="C1940" s="3"/>
      <c r="D1940" s="3"/>
      <c r="E1940" s="3"/>
      <c r="F1940" s="3"/>
      <c r="G1940" s="3"/>
    </row>
    <row r="1941" spans="2:7">
      <c r="B1941" s="3"/>
      <c r="C1941" s="3"/>
      <c r="D1941" s="3"/>
      <c r="E1941" s="3"/>
      <c r="F1941" s="3"/>
      <c r="G1941" s="3"/>
    </row>
    <row r="1942" spans="2:7">
      <c r="B1942" s="3"/>
      <c r="C1942" s="3"/>
      <c r="D1942" s="3"/>
      <c r="E1942" s="3"/>
      <c r="F1942" s="3"/>
      <c r="G1942" s="3"/>
    </row>
    <row r="1943" spans="2:7">
      <c r="B1943" s="3"/>
      <c r="C1943" s="3"/>
      <c r="D1943" s="3"/>
      <c r="E1943" s="3"/>
      <c r="F1943" s="3"/>
      <c r="G1943" s="3"/>
    </row>
    <row r="1944" spans="2:7">
      <c r="B1944" s="3"/>
      <c r="C1944" s="3"/>
      <c r="D1944" s="3"/>
      <c r="E1944" s="3"/>
      <c r="F1944" s="3"/>
      <c r="G1944" s="3"/>
    </row>
    <row r="1945" spans="2:7">
      <c r="B1945" s="3"/>
      <c r="C1945" s="3"/>
      <c r="D1945" s="3"/>
      <c r="E1945" s="3"/>
      <c r="F1945" s="3"/>
      <c r="G1945" s="3"/>
    </row>
    <row r="1946" spans="2:7">
      <c r="B1946" s="3"/>
      <c r="C1946" s="3"/>
      <c r="D1946" s="3"/>
      <c r="E1946" s="3"/>
      <c r="F1946" s="3"/>
      <c r="G1946" s="3"/>
    </row>
    <row r="1947" spans="2:7">
      <c r="B1947" s="3"/>
      <c r="C1947" s="3"/>
      <c r="D1947" s="3"/>
      <c r="E1947" s="3"/>
      <c r="F1947" s="3"/>
      <c r="G1947" s="3"/>
    </row>
    <row r="1948" spans="2:7">
      <c r="B1948" s="3"/>
      <c r="C1948" s="3"/>
      <c r="D1948" s="3"/>
      <c r="E1948" s="3"/>
      <c r="F1948" s="3"/>
      <c r="G1948" s="3"/>
    </row>
    <row r="1949" spans="2:7">
      <c r="B1949" s="3"/>
      <c r="C1949" s="3"/>
      <c r="D1949" s="3"/>
      <c r="E1949" s="3"/>
      <c r="F1949" s="3"/>
      <c r="G1949" s="3"/>
    </row>
    <row r="1950" spans="2:7">
      <c r="B1950" s="3"/>
      <c r="C1950" s="3"/>
      <c r="D1950" s="3"/>
      <c r="E1950" s="3"/>
      <c r="F1950" s="3"/>
      <c r="G1950" s="3"/>
    </row>
    <row r="1951" spans="2:7">
      <c r="B1951" s="3"/>
      <c r="C1951" s="3"/>
      <c r="D1951" s="3"/>
      <c r="E1951" s="3"/>
      <c r="F1951" s="3"/>
      <c r="G1951" s="3"/>
    </row>
    <row r="1952" spans="2:7">
      <c r="B1952" s="3"/>
      <c r="C1952" s="3"/>
      <c r="D1952" s="3"/>
      <c r="E1952" s="3"/>
      <c r="F1952" s="3"/>
      <c r="G1952" s="3"/>
    </row>
    <row r="1953" spans="2:7">
      <c r="B1953" s="3"/>
      <c r="C1953" s="3"/>
      <c r="D1953" s="3"/>
      <c r="E1953" s="3"/>
      <c r="F1953" s="3"/>
      <c r="G1953" s="3"/>
    </row>
    <row r="1954" spans="2:7">
      <c r="B1954" s="3"/>
      <c r="C1954" s="3"/>
      <c r="D1954" s="3"/>
      <c r="E1954" s="3"/>
      <c r="F1954" s="3"/>
      <c r="G1954" s="3"/>
    </row>
    <row r="1955" spans="2:7">
      <c r="B1955" s="3"/>
      <c r="C1955" s="3"/>
      <c r="D1955" s="3"/>
      <c r="E1955" s="3"/>
      <c r="F1955" s="3"/>
      <c r="G1955" s="3"/>
    </row>
    <row r="1956" spans="2:7">
      <c r="B1956" s="3"/>
      <c r="C1956" s="3"/>
      <c r="D1956" s="3"/>
      <c r="E1956" s="3"/>
      <c r="F1956" s="3"/>
      <c r="G1956" s="3"/>
    </row>
    <row r="1957" spans="2:7">
      <c r="B1957" s="3"/>
      <c r="C1957" s="3"/>
      <c r="D1957" s="3"/>
      <c r="E1957" s="3"/>
      <c r="F1957" s="3"/>
      <c r="G1957" s="3"/>
    </row>
    <row r="1958" spans="2:7">
      <c r="B1958" s="3"/>
      <c r="C1958" s="3"/>
      <c r="D1958" s="3"/>
      <c r="E1958" s="3"/>
      <c r="F1958" s="3"/>
      <c r="G1958" s="3"/>
    </row>
    <row r="1959" spans="2:7">
      <c r="B1959" s="3"/>
      <c r="C1959" s="3"/>
      <c r="D1959" s="3"/>
      <c r="E1959" s="3"/>
      <c r="F1959" s="3"/>
      <c r="G1959" s="3"/>
    </row>
    <row r="1960" spans="2:7">
      <c r="B1960" s="3"/>
      <c r="C1960" s="3"/>
      <c r="D1960" s="3"/>
      <c r="E1960" s="3"/>
      <c r="F1960" s="3"/>
      <c r="G1960" s="3"/>
    </row>
    <row r="1961" spans="2:7">
      <c r="B1961" s="3"/>
      <c r="C1961" s="3"/>
      <c r="D1961" s="3"/>
      <c r="E1961" s="3"/>
      <c r="F1961" s="3"/>
      <c r="G1961" s="3"/>
    </row>
    <row r="1962" spans="2:7">
      <c r="B1962" s="3"/>
      <c r="C1962" s="3"/>
      <c r="D1962" s="3"/>
      <c r="E1962" s="3"/>
      <c r="F1962" s="3"/>
      <c r="G1962" s="3"/>
    </row>
    <row r="1963" spans="2:7">
      <c r="B1963" s="3"/>
      <c r="C1963" s="3"/>
      <c r="D1963" s="3"/>
      <c r="E1963" s="3"/>
      <c r="F1963" s="3"/>
      <c r="G1963" s="3"/>
    </row>
    <row r="1964" spans="2:7">
      <c r="B1964" s="3"/>
      <c r="C1964" s="3"/>
      <c r="D1964" s="3"/>
      <c r="E1964" s="3"/>
      <c r="F1964" s="3"/>
      <c r="G1964" s="3"/>
    </row>
    <row r="1965" spans="2:7">
      <c r="B1965" s="3"/>
      <c r="C1965" s="3"/>
      <c r="D1965" s="3"/>
      <c r="E1965" s="3"/>
      <c r="F1965" s="3"/>
      <c r="G1965" s="3"/>
    </row>
    <row r="1966" spans="2:7">
      <c r="B1966" s="3"/>
      <c r="C1966" s="3"/>
      <c r="D1966" s="3"/>
      <c r="E1966" s="3"/>
      <c r="F1966" s="3"/>
      <c r="G1966" s="3"/>
    </row>
    <row r="1967" spans="2:7">
      <c r="B1967" s="3"/>
      <c r="C1967" s="3"/>
      <c r="D1967" s="3"/>
      <c r="E1967" s="3"/>
      <c r="F1967" s="3"/>
      <c r="G1967" s="3"/>
    </row>
    <row r="1968" spans="2:7">
      <c r="B1968" s="3"/>
      <c r="C1968" s="3"/>
      <c r="D1968" s="3"/>
      <c r="E1968" s="3"/>
      <c r="F1968" s="3"/>
      <c r="G1968" s="3"/>
    </row>
    <row r="1969" spans="2:7">
      <c r="B1969" s="3"/>
      <c r="C1969" s="3"/>
      <c r="D1969" s="3"/>
      <c r="E1969" s="3"/>
      <c r="F1969" s="3"/>
      <c r="G1969" s="3"/>
    </row>
    <row r="1970" spans="2:7">
      <c r="B1970" s="3"/>
      <c r="C1970" s="3"/>
      <c r="D1970" s="3"/>
      <c r="E1970" s="3"/>
      <c r="F1970" s="3"/>
      <c r="G1970" s="3"/>
    </row>
    <row r="1971" spans="2:7">
      <c r="B1971" s="3"/>
      <c r="C1971" s="3"/>
      <c r="D1971" s="3"/>
      <c r="E1971" s="3"/>
      <c r="F1971" s="3"/>
      <c r="G1971" s="3"/>
    </row>
    <row r="1972" spans="2:7">
      <c r="B1972" s="3"/>
      <c r="C1972" s="3"/>
      <c r="D1972" s="3"/>
      <c r="E1972" s="3"/>
      <c r="F1972" s="3"/>
      <c r="G1972" s="3"/>
    </row>
    <row r="1973" spans="2:7">
      <c r="B1973" s="3"/>
      <c r="C1973" s="3"/>
      <c r="D1973" s="3"/>
      <c r="E1973" s="3"/>
      <c r="F1973" s="3"/>
      <c r="G1973" s="3"/>
    </row>
    <row r="1974" spans="2:7">
      <c r="B1974" s="3"/>
      <c r="C1974" s="3"/>
      <c r="D1974" s="3"/>
      <c r="E1974" s="3"/>
      <c r="F1974" s="3"/>
      <c r="G1974" s="3"/>
    </row>
    <row r="1975" spans="2:7">
      <c r="B1975" s="3"/>
      <c r="C1975" s="3"/>
      <c r="D1975" s="3"/>
      <c r="E1975" s="3"/>
      <c r="F1975" s="3"/>
      <c r="G1975" s="3"/>
    </row>
    <row r="1976" spans="2:7">
      <c r="B1976" s="3"/>
      <c r="C1976" s="3"/>
      <c r="D1976" s="3"/>
      <c r="E1976" s="3"/>
      <c r="F1976" s="3"/>
      <c r="G1976" s="3"/>
    </row>
  </sheetData>
  <autoFilter ref="E1:E1976" xr:uid="{00000000-0009-0000-0000-000003000000}"/>
  <customSheetViews>
    <customSheetView guid="{7B2DB1C0-B16B-4D0B-B4E2-7078121D3D36}" filter="1" showAutoFilter="1">
      <pageMargins left="0.7" right="0.7" top="0.75" bottom="0.75" header="0.3" footer="0.3"/>
      <autoFilter ref="F1:F1976" xr:uid="{10D963DA-BE63-4C79-B76A-6579E4EBC51F}"/>
    </customSheetView>
    <customSheetView guid="{C26E5E53-F287-4EDA-90DC-758E090C44F5}" filter="1" showAutoFilter="1">
      <pageMargins left="0.7" right="0.7" top="0.75" bottom="0.75" header="0.3" footer="0.3"/>
      <autoFilter ref="E1:E1976" xr:uid="{F05FA958-F113-4627-BEE6-C6A7007BE33A}"/>
    </customSheetView>
  </customSheetViews>
  <conditionalFormatting sqref="F1:F1976">
    <cfRule type="notContainsBlanks" dxfId="0" priority="1">
      <formula>LEN(TRIM(F1))&gt;0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Q1985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/>
  <cols>
    <col min="1" max="1" width="41.140625" customWidth="1"/>
    <col min="5" max="5" width="21.28515625" customWidth="1"/>
    <col min="6" max="6" width="16.5703125" customWidth="1"/>
    <col min="8" max="8" width="43.85546875" customWidth="1"/>
    <col min="9" max="9" width="33" customWidth="1"/>
    <col min="13" max="13" width="22.42578125" customWidth="1"/>
    <col min="15" max="15" width="19.85546875" customWidth="1"/>
    <col min="16" max="16" width="15.85546875" customWidth="1"/>
  </cols>
  <sheetData>
    <row r="1" spans="1:9">
      <c r="A1" s="43" t="s">
        <v>774</v>
      </c>
      <c r="B1" s="58" t="s">
        <v>1</v>
      </c>
      <c r="C1" s="58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" t="s">
        <v>3539</v>
      </c>
      <c r="I1" s="43" t="s">
        <v>2101</v>
      </c>
    </row>
    <row r="2" spans="1:9">
      <c r="B2" s="32"/>
      <c r="H2" s="9">
        <f>SUM(B3+B119+B214+B316+B425+B521+B620+B716+B826+B927+B1020+B1120)</f>
        <v>259693762</v>
      </c>
    </row>
    <row r="3" spans="1:9">
      <c r="A3" s="11">
        <v>44927</v>
      </c>
      <c r="B3" s="9">
        <f t="shared" ref="B3:C3" si="0">SUM(B4:B118)</f>
        <v>25169350</v>
      </c>
      <c r="C3" s="9">
        <f t="shared" si="0"/>
        <v>376628.625</v>
      </c>
      <c r="D3" s="59"/>
      <c r="E3" s="59"/>
      <c r="F3" s="59"/>
      <c r="G3" s="59"/>
    </row>
    <row r="4" spans="1:9">
      <c r="A4" s="16" t="s">
        <v>3540</v>
      </c>
      <c r="B4" s="20">
        <v>325000</v>
      </c>
      <c r="C4" s="20">
        <f t="shared" ref="C4:C11" si="1">0.0125*B4</f>
        <v>4062.5</v>
      </c>
      <c r="D4" s="27">
        <v>44929</v>
      </c>
      <c r="E4" s="16" t="s">
        <v>11</v>
      </c>
      <c r="F4" s="16" t="s">
        <v>1448</v>
      </c>
      <c r="G4" s="16"/>
    </row>
    <row r="5" spans="1:9">
      <c r="A5" s="16" t="s">
        <v>3541</v>
      </c>
      <c r="B5" s="20">
        <v>550000</v>
      </c>
      <c r="C5" s="20">
        <f t="shared" si="1"/>
        <v>6875</v>
      </c>
      <c r="D5" s="27">
        <v>44929</v>
      </c>
      <c r="E5" s="16" t="s">
        <v>11</v>
      </c>
      <c r="F5" s="16" t="s">
        <v>1448</v>
      </c>
    </row>
    <row r="6" spans="1:9">
      <c r="A6" s="16" t="s">
        <v>3542</v>
      </c>
      <c r="B6" s="20">
        <v>250000</v>
      </c>
      <c r="C6" s="20">
        <f t="shared" si="1"/>
        <v>3125</v>
      </c>
      <c r="D6" s="27">
        <v>44929</v>
      </c>
      <c r="E6" s="16" t="s">
        <v>73</v>
      </c>
      <c r="F6" s="16" t="s">
        <v>1448</v>
      </c>
    </row>
    <row r="7" spans="1:9">
      <c r="A7" s="16" t="s">
        <v>3543</v>
      </c>
      <c r="B7" s="20">
        <v>150000</v>
      </c>
      <c r="C7" s="20">
        <f t="shared" si="1"/>
        <v>1875</v>
      </c>
      <c r="D7" s="27">
        <v>44929</v>
      </c>
      <c r="E7" s="16" t="s">
        <v>73</v>
      </c>
      <c r="F7" s="16" t="s">
        <v>1448</v>
      </c>
    </row>
    <row r="8" spans="1:9">
      <c r="A8" s="16" t="s">
        <v>239</v>
      </c>
      <c r="B8" s="20">
        <v>600000</v>
      </c>
      <c r="C8" s="20">
        <f t="shared" si="1"/>
        <v>7500</v>
      </c>
      <c r="D8" s="27">
        <v>44929</v>
      </c>
      <c r="E8" s="16" t="s">
        <v>73</v>
      </c>
      <c r="F8" s="16" t="s">
        <v>1448</v>
      </c>
    </row>
    <row r="9" spans="1:9">
      <c r="A9" s="16" t="s">
        <v>3544</v>
      </c>
      <c r="B9" s="20">
        <v>500000</v>
      </c>
      <c r="C9" s="20">
        <f t="shared" si="1"/>
        <v>6250</v>
      </c>
      <c r="D9" s="27">
        <v>44930</v>
      </c>
      <c r="E9" s="16" t="s">
        <v>11</v>
      </c>
      <c r="F9" s="16" t="s">
        <v>1448</v>
      </c>
    </row>
    <row r="10" spans="1:9">
      <c r="A10" s="16" t="s">
        <v>2386</v>
      </c>
      <c r="B10" s="20">
        <v>500000</v>
      </c>
      <c r="C10" s="20">
        <f t="shared" si="1"/>
        <v>6250</v>
      </c>
      <c r="D10" s="27">
        <v>44930</v>
      </c>
      <c r="E10" s="16" t="s">
        <v>60</v>
      </c>
      <c r="F10" s="16" t="s">
        <v>1448</v>
      </c>
    </row>
    <row r="11" spans="1:9">
      <c r="A11" s="16" t="s">
        <v>3545</v>
      </c>
      <c r="B11" s="20">
        <v>350000</v>
      </c>
      <c r="C11" s="20">
        <f t="shared" si="1"/>
        <v>4375</v>
      </c>
      <c r="D11" s="27">
        <v>44931</v>
      </c>
      <c r="E11" s="16" t="s">
        <v>60</v>
      </c>
      <c r="F11" s="16" t="s">
        <v>1448</v>
      </c>
    </row>
    <row r="12" spans="1:9">
      <c r="A12" s="16" t="s">
        <v>3546</v>
      </c>
      <c r="B12" s="20">
        <v>225000</v>
      </c>
      <c r="C12" s="20">
        <f t="shared" ref="C12:C13" si="2">0.0175*B12</f>
        <v>3937.5000000000005</v>
      </c>
      <c r="D12" s="27">
        <v>44931</v>
      </c>
      <c r="E12" s="16" t="s">
        <v>60</v>
      </c>
      <c r="F12" s="16" t="s">
        <v>28</v>
      </c>
      <c r="I12" s="21" t="s">
        <v>30</v>
      </c>
    </row>
    <row r="13" spans="1:9">
      <c r="A13" s="16" t="s">
        <v>3547</v>
      </c>
      <c r="B13" s="20">
        <v>20000</v>
      </c>
      <c r="C13" s="20">
        <f t="shared" si="2"/>
        <v>350.00000000000006</v>
      </c>
      <c r="D13" s="27">
        <v>44931</v>
      </c>
      <c r="E13" s="16" t="s">
        <v>11</v>
      </c>
      <c r="F13" s="16" t="s">
        <v>28</v>
      </c>
    </row>
    <row r="14" spans="1:9">
      <c r="A14" s="16" t="s">
        <v>3548</v>
      </c>
      <c r="B14" s="20">
        <v>200000</v>
      </c>
      <c r="C14" s="20">
        <f>0.0125*B14</f>
        <v>2500</v>
      </c>
      <c r="D14" s="27">
        <v>44931</v>
      </c>
      <c r="E14" s="16" t="s">
        <v>11</v>
      </c>
      <c r="F14" s="16" t="s">
        <v>1448</v>
      </c>
    </row>
    <row r="15" spans="1:9">
      <c r="A15" s="16" t="s">
        <v>3549</v>
      </c>
      <c r="B15" s="20">
        <v>20000</v>
      </c>
      <c r="C15" s="20">
        <f t="shared" ref="C15:C16" si="3">0.0175*B15</f>
        <v>350.00000000000006</v>
      </c>
      <c r="D15" s="27">
        <v>44931</v>
      </c>
      <c r="E15" s="16" t="s">
        <v>11</v>
      </c>
      <c r="F15" s="16" t="s">
        <v>28</v>
      </c>
    </row>
    <row r="16" spans="1:9">
      <c r="A16" s="16" t="s">
        <v>3550</v>
      </c>
      <c r="B16" s="20">
        <v>25000</v>
      </c>
      <c r="C16" s="20">
        <f t="shared" si="3"/>
        <v>437.50000000000006</v>
      </c>
      <c r="D16" s="27">
        <v>44931</v>
      </c>
      <c r="E16" s="16" t="s">
        <v>11</v>
      </c>
      <c r="F16" s="16" t="s">
        <v>28</v>
      </c>
    </row>
    <row r="17" spans="1:9">
      <c r="A17" s="16" t="s">
        <v>584</v>
      </c>
      <c r="B17" s="20">
        <v>140000</v>
      </c>
      <c r="C17" s="20">
        <f>0.0125*B17</f>
        <v>1750</v>
      </c>
      <c r="D17" s="27">
        <v>44566</v>
      </c>
      <c r="E17" s="16" t="s">
        <v>60</v>
      </c>
      <c r="F17" s="16" t="s">
        <v>1448</v>
      </c>
    </row>
    <row r="18" spans="1:9">
      <c r="A18" s="16" t="s">
        <v>3551</v>
      </c>
      <c r="B18" s="20">
        <v>350000</v>
      </c>
      <c r="C18" s="20">
        <f t="shared" ref="C18:C19" si="4">0.0175*B18</f>
        <v>6125.0000000000009</v>
      </c>
      <c r="D18" s="27">
        <v>44932</v>
      </c>
      <c r="E18" s="16" t="s">
        <v>11</v>
      </c>
      <c r="F18" s="16" t="s">
        <v>28</v>
      </c>
      <c r="I18" s="21" t="s">
        <v>30</v>
      </c>
    </row>
    <row r="19" spans="1:9">
      <c r="A19" s="16" t="s">
        <v>3552</v>
      </c>
      <c r="B19" s="20">
        <v>1175000</v>
      </c>
      <c r="C19" s="20">
        <f t="shared" si="4"/>
        <v>20562.500000000004</v>
      </c>
      <c r="D19" s="27">
        <v>44932</v>
      </c>
      <c r="E19" s="16" t="s">
        <v>2405</v>
      </c>
      <c r="F19" s="16" t="s">
        <v>28</v>
      </c>
    </row>
    <row r="20" spans="1:9">
      <c r="A20" s="16" t="s">
        <v>3553</v>
      </c>
      <c r="B20" s="20">
        <v>320000</v>
      </c>
      <c r="C20" s="20">
        <f>0.0125*B20</f>
        <v>4000</v>
      </c>
      <c r="D20" s="27">
        <v>44932</v>
      </c>
      <c r="E20" s="16" t="s">
        <v>11</v>
      </c>
      <c r="F20" s="16" t="s">
        <v>1448</v>
      </c>
    </row>
    <row r="21" spans="1:9">
      <c r="A21" s="16" t="s">
        <v>3554</v>
      </c>
      <c r="B21" s="20">
        <v>85000</v>
      </c>
      <c r="C21" s="20">
        <f>0.0175*B21</f>
        <v>1487.5000000000002</v>
      </c>
      <c r="D21" s="27">
        <v>44932</v>
      </c>
      <c r="E21" s="16" t="s">
        <v>11</v>
      </c>
      <c r="F21" s="16" t="s">
        <v>28</v>
      </c>
      <c r="I21" s="21" t="s">
        <v>30</v>
      </c>
    </row>
    <row r="22" spans="1:9">
      <c r="A22" s="16" t="s">
        <v>2702</v>
      </c>
      <c r="B22" s="20">
        <v>150000</v>
      </c>
      <c r="C22" s="20">
        <f t="shared" ref="C22:C24" si="5">0.0125*B22</f>
        <v>1875</v>
      </c>
      <c r="D22" s="27">
        <v>44932</v>
      </c>
      <c r="E22" s="16" t="s">
        <v>11</v>
      </c>
      <c r="F22" s="16" t="s">
        <v>28</v>
      </c>
    </row>
    <row r="23" spans="1:9">
      <c r="A23" s="16" t="s">
        <v>3555</v>
      </c>
      <c r="B23" s="20">
        <v>200000</v>
      </c>
      <c r="C23" s="20">
        <f t="shared" si="5"/>
        <v>2500</v>
      </c>
      <c r="D23" s="27">
        <v>44935</v>
      </c>
      <c r="E23" s="16" t="s">
        <v>11</v>
      </c>
      <c r="F23" s="16" t="s">
        <v>1448</v>
      </c>
    </row>
    <row r="24" spans="1:9">
      <c r="A24" s="16" t="s">
        <v>3556</v>
      </c>
      <c r="B24" s="20">
        <v>110000</v>
      </c>
      <c r="C24" s="20">
        <f t="shared" si="5"/>
        <v>1375</v>
      </c>
      <c r="D24" s="27">
        <v>44936</v>
      </c>
      <c r="E24" s="16" t="s">
        <v>60</v>
      </c>
      <c r="F24" s="16" t="s">
        <v>1448</v>
      </c>
    </row>
    <row r="25" spans="1:9">
      <c r="A25" s="16" t="s">
        <v>3557</v>
      </c>
      <c r="B25" s="20">
        <v>300000</v>
      </c>
      <c r="C25" s="20">
        <f t="shared" ref="C25:C27" si="6">0.0175*B25</f>
        <v>5250.0000000000009</v>
      </c>
      <c r="D25" s="27">
        <v>44937</v>
      </c>
      <c r="E25" s="16" t="s">
        <v>11</v>
      </c>
      <c r="F25" s="16" t="s">
        <v>28</v>
      </c>
    </row>
    <row r="26" spans="1:9">
      <c r="A26" s="16" t="s">
        <v>650</v>
      </c>
      <c r="B26" s="20">
        <v>60000</v>
      </c>
      <c r="C26" s="20">
        <f t="shared" si="6"/>
        <v>1050</v>
      </c>
      <c r="D26" s="27">
        <v>44937</v>
      </c>
      <c r="E26" s="16" t="s">
        <v>461</v>
      </c>
      <c r="F26" s="16" t="s">
        <v>28</v>
      </c>
      <c r="I26" s="21" t="s">
        <v>30</v>
      </c>
    </row>
    <row r="27" spans="1:9">
      <c r="A27" s="16" t="s">
        <v>3558</v>
      </c>
      <c r="B27" s="20">
        <v>700000</v>
      </c>
      <c r="C27" s="20">
        <f t="shared" si="6"/>
        <v>12250.000000000002</v>
      </c>
      <c r="D27" s="27">
        <v>44937</v>
      </c>
      <c r="E27" s="16" t="s">
        <v>3559</v>
      </c>
      <c r="F27" s="16" t="s">
        <v>28</v>
      </c>
      <c r="I27" s="21" t="s">
        <v>30</v>
      </c>
    </row>
    <row r="28" spans="1:9">
      <c r="A28" s="16" t="s">
        <v>3560</v>
      </c>
      <c r="B28" s="20">
        <v>100000</v>
      </c>
      <c r="C28" s="20">
        <f>0.0125*B28</f>
        <v>1250</v>
      </c>
      <c r="D28" s="27">
        <v>44938</v>
      </c>
      <c r="E28" s="16" t="s">
        <v>11</v>
      </c>
      <c r="F28" s="16" t="s">
        <v>1448</v>
      </c>
    </row>
    <row r="29" spans="1:9">
      <c r="A29" s="16" t="s">
        <v>3561</v>
      </c>
      <c r="B29" s="20">
        <v>250000</v>
      </c>
      <c r="C29" s="20">
        <f t="shared" ref="C29:C32" si="7">0.0175*B29</f>
        <v>4375</v>
      </c>
      <c r="D29" s="27">
        <v>44938</v>
      </c>
      <c r="E29" s="16" t="s">
        <v>11</v>
      </c>
      <c r="F29" s="16" t="s">
        <v>28</v>
      </c>
      <c r="I29" s="21" t="s">
        <v>30</v>
      </c>
    </row>
    <row r="30" spans="1:9">
      <c r="A30" s="16" t="s">
        <v>3562</v>
      </c>
      <c r="B30" s="20">
        <v>600000</v>
      </c>
      <c r="C30" s="20">
        <f t="shared" si="7"/>
        <v>10500.000000000002</v>
      </c>
      <c r="D30" s="27">
        <v>44938</v>
      </c>
      <c r="E30" s="16" t="s">
        <v>3563</v>
      </c>
      <c r="F30" s="16" t="s">
        <v>28</v>
      </c>
      <c r="I30" s="21" t="s">
        <v>30</v>
      </c>
    </row>
    <row r="31" spans="1:9">
      <c r="A31" s="16" t="s">
        <v>3564</v>
      </c>
      <c r="B31" s="20">
        <v>50000</v>
      </c>
      <c r="C31" s="20">
        <f t="shared" si="7"/>
        <v>875.00000000000011</v>
      </c>
      <c r="D31" s="27">
        <v>44938</v>
      </c>
      <c r="E31" s="16" t="s">
        <v>11</v>
      </c>
      <c r="F31" s="16" t="s">
        <v>28</v>
      </c>
      <c r="I31" s="21" t="s">
        <v>30</v>
      </c>
    </row>
    <row r="32" spans="1:9">
      <c r="A32" s="16" t="s">
        <v>3565</v>
      </c>
      <c r="B32" s="20">
        <v>150000</v>
      </c>
      <c r="C32" s="20">
        <f t="shared" si="7"/>
        <v>2625.0000000000005</v>
      </c>
      <c r="D32" s="27">
        <v>44938</v>
      </c>
      <c r="E32" s="16" t="s">
        <v>3566</v>
      </c>
      <c r="F32" s="16" t="s">
        <v>28</v>
      </c>
      <c r="I32" s="21" t="s">
        <v>30</v>
      </c>
    </row>
    <row r="33" spans="1:9">
      <c r="A33" s="16" t="s">
        <v>3567</v>
      </c>
      <c r="B33" s="20">
        <v>17000</v>
      </c>
      <c r="C33" s="20">
        <f>0.0125*B33</f>
        <v>212.5</v>
      </c>
      <c r="D33" s="27">
        <v>44938</v>
      </c>
      <c r="E33" s="16" t="s">
        <v>11</v>
      </c>
      <c r="F33" s="16" t="s">
        <v>1448</v>
      </c>
    </row>
    <row r="34" spans="1:9">
      <c r="A34" s="16" t="s">
        <v>3568</v>
      </c>
      <c r="B34" s="20">
        <v>85000</v>
      </c>
      <c r="C34" s="20">
        <f>0.0175*B34</f>
        <v>1487.5000000000002</v>
      </c>
      <c r="D34" s="27">
        <v>44938</v>
      </c>
      <c r="E34" s="16" t="s">
        <v>11</v>
      </c>
      <c r="F34" s="16" t="s">
        <v>28</v>
      </c>
    </row>
    <row r="35" spans="1:9">
      <c r="A35" s="16" t="s">
        <v>391</v>
      </c>
      <c r="B35" s="20">
        <v>25000</v>
      </c>
      <c r="C35" s="20">
        <f>0.0125*B35</f>
        <v>312.5</v>
      </c>
      <c r="D35" s="27">
        <v>44938</v>
      </c>
      <c r="E35" s="16" t="s">
        <v>11</v>
      </c>
      <c r="F35" s="16" t="s">
        <v>1448</v>
      </c>
    </row>
    <row r="36" spans="1:9">
      <c r="A36" s="16" t="s">
        <v>3569</v>
      </c>
      <c r="B36" s="20">
        <v>35000</v>
      </c>
      <c r="C36" s="20">
        <f t="shared" ref="C36:C41" si="8">0.0175*B36</f>
        <v>612.50000000000011</v>
      </c>
      <c r="D36" s="27">
        <v>44938</v>
      </c>
      <c r="E36" s="16" t="s">
        <v>11</v>
      </c>
      <c r="F36" s="16" t="s">
        <v>28</v>
      </c>
    </row>
    <row r="37" spans="1:9">
      <c r="A37" s="16" t="s">
        <v>3570</v>
      </c>
      <c r="B37" s="20">
        <v>13850</v>
      </c>
      <c r="C37" s="20">
        <f t="shared" si="8"/>
        <v>242.37500000000003</v>
      </c>
      <c r="D37" s="27">
        <v>44938</v>
      </c>
      <c r="E37" s="16" t="s">
        <v>11</v>
      </c>
      <c r="F37" s="16" t="s">
        <v>28</v>
      </c>
    </row>
    <row r="38" spans="1:9">
      <c r="A38" s="16" t="s">
        <v>3571</v>
      </c>
      <c r="B38" s="20">
        <v>15000</v>
      </c>
      <c r="C38" s="20">
        <f t="shared" si="8"/>
        <v>262.5</v>
      </c>
      <c r="D38" s="27">
        <v>44938</v>
      </c>
      <c r="E38" s="16" t="s">
        <v>11</v>
      </c>
      <c r="F38" s="16" t="s">
        <v>28</v>
      </c>
    </row>
    <row r="39" spans="1:9">
      <c r="A39" s="16" t="s">
        <v>3572</v>
      </c>
      <c r="B39" s="20">
        <v>10000</v>
      </c>
      <c r="C39" s="20">
        <f t="shared" si="8"/>
        <v>175.00000000000003</v>
      </c>
      <c r="D39" s="27">
        <v>44938</v>
      </c>
      <c r="E39" s="16" t="s">
        <v>11</v>
      </c>
      <c r="F39" s="16" t="s">
        <v>28</v>
      </c>
    </row>
    <row r="40" spans="1:9">
      <c r="A40" s="16" t="s">
        <v>3573</v>
      </c>
      <c r="B40" s="20">
        <v>150000</v>
      </c>
      <c r="C40" s="20">
        <f t="shared" si="8"/>
        <v>2625.0000000000005</v>
      </c>
      <c r="D40" s="27">
        <v>44938</v>
      </c>
      <c r="E40" s="16" t="s">
        <v>11</v>
      </c>
      <c r="F40" s="16" t="s">
        <v>28</v>
      </c>
    </row>
    <row r="41" spans="1:9">
      <c r="A41" s="16" t="s">
        <v>3574</v>
      </c>
      <c r="B41" s="20">
        <v>70000</v>
      </c>
      <c r="C41" s="20">
        <f t="shared" si="8"/>
        <v>1225.0000000000002</v>
      </c>
      <c r="D41" s="27">
        <v>44938</v>
      </c>
      <c r="E41" s="16" t="s">
        <v>11</v>
      </c>
      <c r="F41" s="16" t="s">
        <v>28</v>
      </c>
    </row>
    <row r="42" spans="1:9">
      <c r="A42" s="16" t="s">
        <v>199</v>
      </c>
      <c r="B42" s="20">
        <v>230000</v>
      </c>
      <c r="C42" s="20">
        <f>0.0125*B42</f>
        <v>2875</v>
      </c>
      <c r="D42" s="27">
        <v>44938</v>
      </c>
      <c r="E42" s="16" t="s">
        <v>11</v>
      </c>
      <c r="F42" s="16" t="s">
        <v>1448</v>
      </c>
    </row>
    <row r="43" spans="1:9">
      <c r="A43" s="16" t="s">
        <v>3575</v>
      </c>
      <c r="B43" s="20">
        <v>2000000</v>
      </c>
      <c r="C43" s="20">
        <f t="shared" ref="C43:C44" si="9">0.0175*B43</f>
        <v>35000</v>
      </c>
      <c r="D43" s="27">
        <v>44938</v>
      </c>
      <c r="E43" s="16" t="s">
        <v>3576</v>
      </c>
      <c r="F43" s="16" t="s">
        <v>28</v>
      </c>
      <c r="I43" s="21" t="s">
        <v>30</v>
      </c>
    </row>
    <row r="44" spans="1:9">
      <c r="A44" s="16" t="s">
        <v>95</v>
      </c>
      <c r="B44" s="20">
        <v>200000</v>
      </c>
      <c r="C44" s="20">
        <f t="shared" si="9"/>
        <v>3500.0000000000005</v>
      </c>
      <c r="D44" s="27">
        <v>44938</v>
      </c>
      <c r="E44" s="16" t="s">
        <v>11</v>
      </c>
      <c r="F44" s="16" t="s">
        <v>28</v>
      </c>
    </row>
    <row r="45" spans="1:9">
      <c r="A45" s="16" t="s">
        <v>838</v>
      </c>
      <c r="B45" s="20">
        <v>390000</v>
      </c>
      <c r="C45" s="20">
        <f>0.0125*B45</f>
        <v>4875</v>
      </c>
      <c r="D45" s="27">
        <v>44938</v>
      </c>
      <c r="E45" s="16" t="s">
        <v>11</v>
      </c>
      <c r="F45" s="16" t="s">
        <v>1448</v>
      </c>
    </row>
    <row r="46" spans="1:9">
      <c r="A46" s="16" t="s">
        <v>3577</v>
      </c>
      <c r="B46" s="20">
        <v>150000</v>
      </c>
      <c r="C46" s="20">
        <f t="shared" ref="C46:C48" si="10">0.0175*B46</f>
        <v>2625.0000000000005</v>
      </c>
      <c r="D46" s="27">
        <v>44939</v>
      </c>
      <c r="E46" s="16" t="s">
        <v>11</v>
      </c>
      <c r="F46" s="16" t="s">
        <v>28</v>
      </c>
      <c r="I46" s="21" t="s">
        <v>30</v>
      </c>
    </row>
    <row r="47" spans="1:9">
      <c r="A47" s="16" t="s">
        <v>3578</v>
      </c>
      <c r="B47" s="20">
        <v>300000</v>
      </c>
      <c r="C47" s="20">
        <f t="shared" si="10"/>
        <v>5250.0000000000009</v>
      </c>
      <c r="D47" s="27">
        <v>44939</v>
      </c>
      <c r="E47" s="16" t="s">
        <v>11</v>
      </c>
      <c r="F47" s="16" t="s">
        <v>28</v>
      </c>
      <c r="I47" s="21" t="s">
        <v>30</v>
      </c>
    </row>
    <row r="48" spans="1:9">
      <c r="A48" s="16" t="s">
        <v>3579</v>
      </c>
      <c r="B48" s="20">
        <v>300000</v>
      </c>
      <c r="C48" s="20">
        <f t="shared" si="10"/>
        <v>5250.0000000000009</v>
      </c>
      <c r="D48" s="27">
        <v>44939</v>
      </c>
      <c r="E48" s="16" t="s">
        <v>902</v>
      </c>
      <c r="F48" s="16" t="s">
        <v>28</v>
      </c>
    </row>
    <row r="49" spans="1:9">
      <c r="A49" s="16" t="s">
        <v>3580</v>
      </c>
      <c r="B49" s="20">
        <v>95000</v>
      </c>
      <c r="C49" s="20">
        <f t="shared" ref="C49:C50" si="11">0.0125*B49</f>
        <v>1187.5</v>
      </c>
      <c r="D49" s="27">
        <v>44943</v>
      </c>
      <c r="E49" s="16" t="s">
        <v>69</v>
      </c>
      <c r="F49" s="16" t="s">
        <v>1448</v>
      </c>
      <c r="H49" s="16" t="s">
        <v>3581</v>
      </c>
    </row>
    <row r="50" spans="1:9">
      <c r="A50" s="16" t="s">
        <v>3582</v>
      </c>
      <c r="B50" s="20">
        <v>330000</v>
      </c>
      <c r="C50" s="20">
        <f t="shared" si="11"/>
        <v>4125</v>
      </c>
      <c r="D50" s="27">
        <v>44943</v>
      </c>
      <c r="E50" s="16" t="s">
        <v>3583</v>
      </c>
      <c r="F50" s="16" t="s">
        <v>1448</v>
      </c>
    </row>
    <row r="51" spans="1:9">
      <c r="A51" s="16" t="s">
        <v>3584</v>
      </c>
      <c r="B51" s="20">
        <v>50000</v>
      </c>
      <c r="C51" s="20">
        <f>0.0175*B51</f>
        <v>875.00000000000011</v>
      </c>
      <c r="D51" s="27">
        <v>44943</v>
      </c>
      <c r="E51" s="16" t="s">
        <v>2328</v>
      </c>
      <c r="F51" s="16" t="s">
        <v>28</v>
      </c>
      <c r="H51" s="16" t="s">
        <v>3581</v>
      </c>
      <c r="I51" s="21" t="s">
        <v>30</v>
      </c>
    </row>
    <row r="52" spans="1:9">
      <c r="A52" s="16" t="s">
        <v>3585</v>
      </c>
      <c r="B52" s="20">
        <v>50000</v>
      </c>
      <c r="C52" s="20">
        <v>875</v>
      </c>
      <c r="D52" s="27">
        <v>44578</v>
      </c>
      <c r="E52" s="16" t="s">
        <v>11</v>
      </c>
      <c r="F52" s="16" t="s">
        <v>28</v>
      </c>
    </row>
    <row r="53" spans="1:9">
      <c r="A53" s="16" t="s">
        <v>3586</v>
      </c>
      <c r="B53" s="20">
        <v>15000</v>
      </c>
      <c r="C53" s="20">
        <f t="shared" ref="C53:C57" si="12">0.0175*B53</f>
        <v>262.5</v>
      </c>
      <c r="D53" s="27">
        <v>44944</v>
      </c>
      <c r="E53" s="16" t="s">
        <v>11</v>
      </c>
      <c r="F53" s="16" t="s">
        <v>28</v>
      </c>
    </row>
    <row r="54" spans="1:9">
      <c r="A54" s="16" t="s">
        <v>3587</v>
      </c>
      <c r="B54" s="20">
        <v>26000</v>
      </c>
      <c r="C54" s="20">
        <f t="shared" si="12"/>
        <v>455.00000000000006</v>
      </c>
      <c r="D54" s="27">
        <v>44944</v>
      </c>
      <c r="E54" s="16" t="s">
        <v>11</v>
      </c>
      <c r="F54" s="16" t="s">
        <v>28</v>
      </c>
    </row>
    <row r="55" spans="1:9">
      <c r="A55" s="16" t="s">
        <v>3588</v>
      </c>
      <c r="B55" s="20">
        <v>85000</v>
      </c>
      <c r="C55" s="20">
        <f t="shared" si="12"/>
        <v>1487.5000000000002</v>
      </c>
      <c r="D55" s="27">
        <v>44944</v>
      </c>
      <c r="E55" s="16" t="s">
        <v>11</v>
      </c>
      <c r="F55" s="16" t="s">
        <v>28</v>
      </c>
    </row>
    <row r="56" spans="1:9">
      <c r="A56" s="16" t="s">
        <v>3589</v>
      </c>
      <c r="B56" s="20">
        <v>45000</v>
      </c>
      <c r="C56" s="20">
        <f t="shared" si="12"/>
        <v>787.50000000000011</v>
      </c>
      <c r="D56" s="27">
        <v>44944</v>
      </c>
      <c r="E56" s="16" t="s">
        <v>11</v>
      </c>
      <c r="F56" s="16" t="s">
        <v>28</v>
      </c>
    </row>
    <row r="57" spans="1:9">
      <c r="A57" s="16" t="s">
        <v>3590</v>
      </c>
      <c r="B57" s="20">
        <v>150000</v>
      </c>
      <c r="C57" s="20">
        <f t="shared" si="12"/>
        <v>2625.0000000000005</v>
      </c>
      <c r="D57" s="27">
        <v>44944</v>
      </c>
      <c r="E57" s="16" t="s">
        <v>2328</v>
      </c>
      <c r="F57" s="16" t="s">
        <v>28</v>
      </c>
      <c r="H57" s="16" t="s">
        <v>3581</v>
      </c>
    </row>
    <row r="58" spans="1:9">
      <c r="A58" s="16" t="s">
        <v>3591</v>
      </c>
      <c r="B58" s="20">
        <v>140000</v>
      </c>
      <c r="C58" s="20">
        <f>0.0125*B58</f>
        <v>1750</v>
      </c>
      <c r="D58" s="27">
        <v>44944</v>
      </c>
      <c r="E58" s="16" t="s">
        <v>73</v>
      </c>
      <c r="F58" s="16" t="s">
        <v>1448</v>
      </c>
    </row>
    <row r="59" spans="1:9">
      <c r="A59" s="16" t="s">
        <v>3592</v>
      </c>
      <c r="B59" s="20">
        <v>250000</v>
      </c>
      <c r="C59" s="20">
        <f t="shared" ref="C59:C60" si="13">0.0175*B59</f>
        <v>4375</v>
      </c>
      <c r="D59" s="27">
        <v>44945</v>
      </c>
      <c r="E59" s="16" t="s">
        <v>13</v>
      </c>
      <c r="F59" s="16" t="s">
        <v>28</v>
      </c>
      <c r="H59" s="16" t="s">
        <v>3593</v>
      </c>
      <c r="I59" s="21" t="s">
        <v>30</v>
      </c>
    </row>
    <row r="60" spans="1:9">
      <c r="A60" s="16" t="s">
        <v>3594</v>
      </c>
      <c r="B60" s="20">
        <v>250000</v>
      </c>
      <c r="C60" s="20">
        <f t="shared" si="13"/>
        <v>4375</v>
      </c>
      <c r="D60" s="27">
        <v>44945</v>
      </c>
      <c r="E60" s="16" t="s">
        <v>11</v>
      </c>
      <c r="F60" s="16" t="s">
        <v>28</v>
      </c>
    </row>
    <row r="61" spans="1:9">
      <c r="A61" s="16" t="s">
        <v>3595</v>
      </c>
      <c r="B61" s="20">
        <v>67500</v>
      </c>
      <c r="C61" s="20">
        <f>0.0125*B61</f>
        <v>843.75</v>
      </c>
      <c r="D61" s="27">
        <v>44945</v>
      </c>
      <c r="E61" s="16" t="s">
        <v>11</v>
      </c>
      <c r="F61" s="16" t="s">
        <v>1448</v>
      </c>
    </row>
    <row r="62" spans="1:9">
      <c r="A62" s="16" t="s">
        <v>3596</v>
      </c>
      <c r="B62" s="20">
        <v>50000</v>
      </c>
      <c r="C62" s="20">
        <f t="shared" ref="C62:C65" si="14">0.0175*B62</f>
        <v>875.00000000000011</v>
      </c>
      <c r="D62" s="27">
        <v>44945</v>
      </c>
      <c r="E62" s="16" t="s">
        <v>11</v>
      </c>
      <c r="F62" s="16" t="s">
        <v>28</v>
      </c>
    </row>
    <row r="63" spans="1:9">
      <c r="A63" s="16" t="s">
        <v>3597</v>
      </c>
      <c r="B63" s="20">
        <v>175000</v>
      </c>
      <c r="C63" s="20">
        <f t="shared" si="14"/>
        <v>3062.5000000000005</v>
      </c>
      <c r="D63" s="27">
        <v>44945</v>
      </c>
      <c r="E63" s="16" t="s">
        <v>69</v>
      </c>
      <c r="F63" s="16" t="s">
        <v>28</v>
      </c>
      <c r="H63" s="16" t="s">
        <v>3581</v>
      </c>
      <c r="I63" s="21" t="s">
        <v>30</v>
      </c>
    </row>
    <row r="64" spans="1:9">
      <c r="A64" s="16" t="s">
        <v>3598</v>
      </c>
      <c r="B64" s="20">
        <v>30000</v>
      </c>
      <c r="C64" s="20">
        <f t="shared" si="14"/>
        <v>525</v>
      </c>
      <c r="D64" s="27">
        <v>44945</v>
      </c>
      <c r="E64" s="16" t="s">
        <v>11</v>
      </c>
      <c r="F64" s="16" t="s">
        <v>28</v>
      </c>
    </row>
    <row r="65" spans="1:9">
      <c r="A65" s="16" t="s">
        <v>3599</v>
      </c>
      <c r="B65" s="20">
        <v>60000</v>
      </c>
      <c r="C65" s="20">
        <f t="shared" si="14"/>
        <v>1050</v>
      </c>
      <c r="D65" s="27">
        <v>44945</v>
      </c>
      <c r="E65" s="16" t="s">
        <v>11</v>
      </c>
      <c r="F65" s="16" t="s">
        <v>28</v>
      </c>
    </row>
    <row r="66" spans="1:9">
      <c r="A66" s="16" t="s">
        <v>3600</v>
      </c>
      <c r="B66" s="20">
        <v>1180000</v>
      </c>
      <c r="C66" s="20">
        <f t="shared" ref="C66:C69" si="15">0.0125*B66</f>
        <v>14750</v>
      </c>
      <c r="D66" s="27">
        <v>44946</v>
      </c>
      <c r="E66" s="16" t="s">
        <v>3601</v>
      </c>
      <c r="F66" s="16" t="s">
        <v>1448</v>
      </c>
    </row>
    <row r="67" spans="1:9">
      <c r="A67" s="16" t="s">
        <v>3602</v>
      </c>
      <c r="B67" s="20">
        <v>40000</v>
      </c>
      <c r="C67" s="20">
        <f t="shared" si="15"/>
        <v>500</v>
      </c>
      <c r="D67" s="27">
        <v>44946</v>
      </c>
      <c r="E67" s="16" t="s">
        <v>73</v>
      </c>
      <c r="F67" s="16" t="s">
        <v>1448</v>
      </c>
    </row>
    <row r="68" spans="1:9">
      <c r="A68" s="16" t="s">
        <v>2545</v>
      </c>
      <c r="B68" s="20">
        <v>152500</v>
      </c>
      <c r="C68" s="20">
        <f t="shared" si="15"/>
        <v>1906.25</v>
      </c>
      <c r="D68" s="27">
        <v>44946</v>
      </c>
      <c r="E68" s="16" t="s">
        <v>11</v>
      </c>
      <c r="F68" s="16" t="s">
        <v>1448</v>
      </c>
    </row>
    <row r="69" spans="1:9">
      <c r="A69" s="16" t="s">
        <v>3603</v>
      </c>
      <c r="B69" s="20">
        <v>50000</v>
      </c>
      <c r="C69" s="20">
        <f t="shared" si="15"/>
        <v>625</v>
      </c>
      <c r="D69" s="27">
        <v>44946</v>
      </c>
      <c r="E69" s="16" t="s">
        <v>11</v>
      </c>
      <c r="F69" s="16" t="s">
        <v>1448</v>
      </c>
    </row>
    <row r="70" spans="1:9">
      <c r="A70" s="16" t="s">
        <v>3604</v>
      </c>
      <c r="B70" s="20">
        <v>10000</v>
      </c>
      <c r="C70" s="20">
        <f t="shared" ref="C70:C73" si="16">0.0175*B70</f>
        <v>175.00000000000003</v>
      </c>
      <c r="D70" s="27">
        <v>44946</v>
      </c>
      <c r="E70" s="16" t="s">
        <v>11</v>
      </c>
      <c r="F70" s="16" t="s">
        <v>28</v>
      </c>
    </row>
    <row r="71" spans="1:9">
      <c r="A71" s="16" t="s">
        <v>3605</v>
      </c>
      <c r="B71" s="20">
        <v>40000</v>
      </c>
      <c r="C71" s="20">
        <f t="shared" si="16"/>
        <v>700.00000000000011</v>
      </c>
      <c r="D71" s="27">
        <v>44946</v>
      </c>
      <c r="E71" s="16" t="s">
        <v>11</v>
      </c>
      <c r="F71" s="16" t="s">
        <v>28</v>
      </c>
    </row>
    <row r="72" spans="1:9">
      <c r="A72" s="16" t="s">
        <v>3606</v>
      </c>
      <c r="B72" s="20">
        <v>750000</v>
      </c>
      <c r="C72" s="20">
        <f t="shared" si="16"/>
        <v>13125.000000000002</v>
      </c>
      <c r="D72" s="27">
        <v>44946</v>
      </c>
      <c r="E72" s="16" t="s">
        <v>2120</v>
      </c>
      <c r="F72" s="16" t="s">
        <v>28</v>
      </c>
      <c r="I72" s="21" t="s">
        <v>30</v>
      </c>
    </row>
    <row r="73" spans="1:9">
      <c r="A73" s="16" t="s">
        <v>3607</v>
      </c>
      <c r="B73" s="20">
        <v>200000</v>
      </c>
      <c r="C73" s="20">
        <f t="shared" si="16"/>
        <v>3500.0000000000005</v>
      </c>
      <c r="D73" s="27">
        <v>44946</v>
      </c>
      <c r="E73" s="16" t="s">
        <v>345</v>
      </c>
      <c r="F73" s="16" t="s">
        <v>28</v>
      </c>
      <c r="H73" s="16" t="s">
        <v>3581</v>
      </c>
      <c r="I73" s="21" t="s">
        <v>30</v>
      </c>
    </row>
    <row r="74" spans="1:9">
      <c r="A74" s="16" t="s">
        <v>3608</v>
      </c>
      <c r="B74" s="20">
        <v>425000</v>
      </c>
      <c r="C74" s="20">
        <f>0.0125*B74</f>
        <v>5312.5</v>
      </c>
      <c r="D74" s="27">
        <v>44946</v>
      </c>
      <c r="E74" s="16" t="s">
        <v>11</v>
      </c>
      <c r="F74" s="16" t="s">
        <v>1448</v>
      </c>
    </row>
    <row r="75" spans="1:9">
      <c r="A75" s="16" t="s">
        <v>3609</v>
      </c>
      <c r="B75" s="20">
        <v>62000</v>
      </c>
      <c r="C75" s="20">
        <f t="shared" ref="C75:C76" si="17">0.0175*B75</f>
        <v>1085</v>
      </c>
      <c r="D75" s="27">
        <v>44946</v>
      </c>
      <c r="E75" s="16" t="s">
        <v>11</v>
      </c>
      <c r="F75" s="16" t="s">
        <v>28</v>
      </c>
    </row>
    <row r="76" spans="1:9">
      <c r="A76" s="16" t="s">
        <v>3610</v>
      </c>
      <c r="B76" s="20">
        <v>415000</v>
      </c>
      <c r="C76" s="20">
        <f t="shared" si="17"/>
        <v>7262.5000000000009</v>
      </c>
      <c r="D76" s="27">
        <v>44949</v>
      </c>
      <c r="E76" s="16" t="s">
        <v>60</v>
      </c>
      <c r="F76" s="16" t="s">
        <v>28</v>
      </c>
      <c r="I76" s="21" t="s">
        <v>30</v>
      </c>
    </row>
    <row r="77" spans="1:9">
      <c r="A77" s="16" t="s">
        <v>3611</v>
      </c>
      <c r="B77" s="20">
        <v>35000</v>
      </c>
      <c r="C77" s="20">
        <f t="shared" ref="C77:C79" si="18">0.0125*B77</f>
        <v>437.5</v>
      </c>
      <c r="D77" s="27">
        <v>44950</v>
      </c>
      <c r="E77" s="16" t="s">
        <v>73</v>
      </c>
      <c r="F77" s="16" t="s">
        <v>1448</v>
      </c>
    </row>
    <row r="78" spans="1:9">
      <c r="A78" s="16" t="s">
        <v>3612</v>
      </c>
      <c r="B78" s="20">
        <v>170000</v>
      </c>
      <c r="C78" s="20">
        <f t="shared" si="18"/>
        <v>2125</v>
      </c>
      <c r="D78" s="27">
        <v>44950</v>
      </c>
      <c r="E78" s="16" t="s">
        <v>73</v>
      </c>
      <c r="F78" s="16" t="s">
        <v>1448</v>
      </c>
    </row>
    <row r="79" spans="1:9">
      <c r="A79" s="16" t="s">
        <v>3613</v>
      </c>
      <c r="B79" s="20">
        <v>525000</v>
      </c>
      <c r="C79" s="20">
        <f t="shared" si="18"/>
        <v>6562.5</v>
      </c>
      <c r="D79" s="27">
        <v>44950</v>
      </c>
      <c r="E79" s="16" t="s">
        <v>60</v>
      </c>
      <c r="F79" s="16" t="s">
        <v>1448</v>
      </c>
    </row>
    <row r="80" spans="1:9">
      <c r="A80" s="16" t="s">
        <v>966</v>
      </c>
      <c r="B80" s="20">
        <v>400000</v>
      </c>
      <c r="C80" s="20">
        <f>0.0175*B80</f>
        <v>7000.0000000000009</v>
      </c>
      <c r="D80" s="27">
        <v>44951</v>
      </c>
      <c r="E80" s="16" t="s">
        <v>60</v>
      </c>
      <c r="F80" s="16" t="s">
        <v>28</v>
      </c>
      <c r="H80" s="16" t="s">
        <v>3614</v>
      </c>
    </row>
    <row r="81" spans="1:9">
      <c r="A81" s="16" t="s">
        <v>3615</v>
      </c>
      <c r="B81" s="20">
        <v>125000</v>
      </c>
      <c r="C81" s="20">
        <f t="shared" ref="C81:C84" si="19">0.0125*B81</f>
        <v>1562.5</v>
      </c>
      <c r="D81" s="27">
        <v>44951</v>
      </c>
      <c r="E81" s="16" t="s">
        <v>11</v>
      </c>
      <c r="F81" s="16" t="s">
        <v>1448</v>
      </c>
    </row>
    <row r="82" spans="1:9">
      <c r="A82" s="16" t="s">
        <v>3616</v>
      </c>
      <c r="B82" s="20">
        <v>175000</v>
      </c>
      <c r="C82" s="20">
        <f t="shared" si="19"/>
        <v>2187.5</v>
      </c>
      <c r="D82" s="27">
        <v>44951</v>
      </c>
      <c r="E82" s="16" t="s">
        <v>60</v>
      </c>
      <c r="F82" s="16" t="s">
        <v>1448</v>
      </c>
    </row>
    <row r="83" spans="1:9">
      <c r="A83" s="16" t="s">
        <v>3617</v>
      </c>
      <c r="B83" s="20">
        <v>935000</v>
      </c>
      <c r="C83" s="20">
        <f t="shared" si="19"/>
        <v>11687.5</v>
      </c>
      <c r="D83" s="27">
        <v>44951</v>
      </c>
      <c r="E83" s="16" t="s">
        <v>11</v>
      </c>
      <c r="F83" s="16" t="s">
        <v>1448</v>
      </c>
    </row>
    <row r="84" spans="1:9">
      <c r="A84" s="16" t="s">
        <v>3618</v>
      </c>
      <c r="B84" s="20">
        <v>640000</v>
      </c>
      <c r="C84" s="20">
        <f t="shared" si="19"/>
        <v>8000</v>
      </c>
      <c r="D84" s="27">
        <v>44952</v>
      </c>
      <c r="E84" s="16" t="s">
        <v>11</v>
      </c>
      <c r="F84" s="16" t="s">
        <v>1448</v>
      </c>
    </row>
    <row r="85" spans="1:9">
      <c r="A85" s="16" t="s">
        <v>3619</v>
      </c>
      <c r="B85" s="20">
        <v>150000</v>
      </c>
      <c r="C85" s="20">
        <f t="shared" ref="C85:C88" si="20">0.0175*B85</f>
        <v>2625.0000000000005</v>
      </c>
      <c r="D85" s="27">
        <v>44952</v>
      </c>
      <c r="E85" s="16" t="s">
        <v>11</v>
      </c>
      <c r="F85" s="16" t="s">
        <v>28</v>
      </c>
      <c r="I85" s="21" t="s">
        <v>30</v>
      </c>
    </row>
    <row r="86" spans="1:9">
      <c r="A86" s="16" t="s">
        <v>3620</v>
      </c>
      <c r="B86" s="20">
        <v>75000</v>
      </c>
      <c r="C86" s="20">
        <f t="shared" si="20"/>
        <v>1312.5000000000002</v>
      </c>
      <c r="D86" s="27">
        <v>44952</v>
      </c>
      <c r="E86" s="16" t="s">
        <v>3621</v>
      </c>
      <c r="F86" s="16" t="s">
        <v>28</v>
      </c>
      <c r="H86" s="16" t="s">
        <v>3581</v>
      </c>
      <c r="I86" s="21" t="s">
        <v>30</v>
      </c>
    </row>
    <row r="87" spans="1:9">
      <c r="A87" s="16" t="s">
        <v>3622</v>
      </c>
      <c r="B87" s="20">
        <v>250000</v>
      </c>
      <c r="C87" s="20">
        <f t="shared" si="20"/>
        <v>4375</v>
      </c>
      <c r="D87" s="27">
        <v>44952</v>
      </c>
      <c r="E87" s="16" t="s">
        <v>92</v>
      </c>
      <c r="F87" s="16" t="s">
        <v>28</v>
      </c>
      <c r="I87" s="21" t="s">
        <v>30</v>
      </c>
    </row>
    <row r="88" spans="1:9">
      <c r="A88" s="16" t="s">
        <v>3623</v>
      </c>
      <c r="B88" s="20">
        <v>150000</v>
      </c>
      <c r="C88" s="20">
        <f t="shared" si="20"/>
        <v>2625.0000000000005</v>
      </c>
      <c r="D88" s="27">
        <v>44952</v>
      </c>
      <c r="E88" s="16" t="s">
        <v>11</v>
      </c>
      <c r="F88" s="16" t="s">
        <v>28</v>
      </c>
    </row>
    <row r="89" spans="1:9">
      <c r="A89" s="16" t="s">
        <v>3624</v>
      </c>
      <c r="B89" s="20">
        <v>30000</v>
      </c>
      <c r="C89" s="20">
        <f t="shared" ref="C89:C90" si="21">0.0125*B89</f>
        <v>375</v>
      </c>
      <c r="D89" s="27">
        <v>44952</v>
      </c>
      <c r="E89" s="16" t="s">
        <v>11</v>
      </c>
      <c r="F89" s="16" t="s">
        <v>1448</v>
      </c>
    </row>
    <row r="90" spans="1:9">
      <c r="A90" s="16" t="s">
        <v>2402</v>
      </c>
      <c r="B90" s="20">
        <v>157500</v>
      </c>
      <c r="C90" s="20">
        <f t="shared" si="21"/>
        <v>1968.75</v>
      </c>
      <c r="D90" s="27">
        <v>44952</v>
      </c>
      <c r="E90" s="16" t="s">
        <v>60</v>
      </c>
      <c r="F90" s="16" t="s">
        <v>1448</v>
      </c>
    </row>
    <row r="91" spans="1:9">
      <c r="A91" s="16" t="s">
        <v>3625</v>
      </c>
      <c r="B91" s="20">
        <v>140000</v>
      </c>
      <c r="C91" s="20">
        <f t="shared" ref="C91:C92" si="22">0.0175*B91</f>
        <v>2450.0000000000005</v>
      </c>
      <c r="D91" s="27">
        <v>44952</v>
      </c>
      <c r="E91" s="16" t="s">
        <v>11</v>
      </c>
      <c r="F91" s="16" t="s">
        <v>28</v>
      </c>
      <c r="I91" s="21" t="s">
        <v>30</v>
      </c>
    </row>
    <row r="92" spans="1:9">
      <c r="A92" s="16" t="s">
        <v>3626</v>
      </c>
      <c r="B92" s="20">
        <v>62000</v>
      </c>
      <c r="C92" s="20">
        <f t="shared" si="22"/>
        <v>1085</v>
      </c>
      <c r="D92" s="27">
        <v>44952</v>
      </c>
      <c r="E92" s="16" t="s">
        <v>11</v>
      </c>
      <c r="F92" s="16" t="s">
        <v>28</v>
      </c>
    </row>
    <row r="93" spans="1:9">
      <c r="A93" s="16" t="s">
        <v>3627</v>
      </c>
      <c r="B93" s="20">
        <v>60000</v>
      </c>
      <c r="C93" s="20">
        <f t="shared" ref="C93:C95" si="23">0.0125*B93</f>
        <v>750</v>
      </c>
      <c r="D93" s="27">
        <v>44952</v>
      </c>
      <c r="E93" s="16" t="s">
        <v>11</v>
      </c>
      <c r="F93" s="16" t="s">
        <v>1448</v>
      </c>
    </row>
    <row r="94" spans="1:9">
      <c r="A94" s="16" t="s">
        <v>2402</v>
      </c>
      <c r="B94" s="20">
        <v>157500</v>
      </c>
      <c r="C94" s="20">
        <f t="shared" si="23"/>
        <v>1968.75</v>
      </c>
      <c r="D94" s="27">
        <v>44952</v>
      </c>
      <c r="E94" s="16" t="s">
        <v>11</v>
      </c>
      <c r="F94" s="16" t="s">
        <v>1448</v>
      </c>
    </row>
    <row r="95" spans="1:9">
      <c r="A95" s="16" t="s">
        <v>3628</v>
      </c>
      <c r="B95" s="20">
        <v>25000</v>
      </c>
      <c r="C95" s="20">
        <f t="shared" si="23"/>
        <v>312.5</v>
      </c>
      <c r="D95" s="27">
        <v>44952</v>
      </c>
      <c r="E95" s="16" t="s">
        <v>60</v>
      </c>
      <c r="F95" s="16" t="s">
        <v>1448</v>
      </c>
    </row>
    <row r="96" spans="1:9">
      <c r="A96" s="16" t="s">
        <v>3629</v>
      </c>
      <c r="B96" s="20">
        <v>50000</v>
      </c>
      <c r="C96" s="20">
        <f t="shared" ref="C96:C100" si="24">0.0175*B96</f>
        <v>875.00000000000011</v>
      </c>
      <c r="D96" s="27">
        <v>44952</v>
      </c>
      <c r="E96" s="16" t="s">
        <v>11</v>
      </c>
      <c r="F96" s="16" t="s">
        <v>28</v>
      </c>
    </row>
    <row r="97" spans="1:9">
      <c r="A97" s="16" t="s">
        <v>3630</v>
      </c>
      <c r="B97" s="20">
        <v>15000</v>
      </c>
      <c r="C97" s="20">
        <f t="shared" si="24"/>
        <v>262.5</v>
      </c>
      <c r="D97" s="27">
        <v>44952</v>
      </c>
      <c r="E97" s="16" t="s">
        <v>11</v>
      </c>
      <c r="F97" s="16" t="s">
        <v>28</v>
      </c>
    </row>
    <row r="98" spans="1:9">
      <c r="A98" s="16" t="s">
        <v>3630</v>
      </c>
      <c r="B98" s="20">
        <v>35000</v>
      </c>
      <c r="C98" s="20">
        <f t="shared" si="24"/>
        <v>612.50000000000011</v>
      </c>
      <c r="D98" s="27">
        <v>44952</v>
      </c>
      <c r="E98" s="16" t="s">
        <v>11</v>
      </c>
      <c r="F98" s="16" t="s">
        <v>28</v>
      </c>
    </row>
    <row r="99" spans="1:9">
      <c r="A99" s="16" t="s">
        <v>3631</v>
      </c>
      <c r="B99" s="20">
        <v>10000</v>
      </c>
      <c r="C99" s="20">
        <f t="shared" si="24"/>
        <v>175.00000000000003</v>
      </c>
      <c r="D99" s="27">
        <v>44952</v>
      </c>
      <c r="E99" s="16" t="s">
        <v>11</v>
      </c>
      <c r="F99" s="16" t="s">
        <v>28</v>
      </c>
    </row>
    <row r="100" spans="1:9">
      <c r="A100" s="16" t="s">
        <v>3632</v>
      </c>
      <c r="B100" s="20">
        <v>45000</v>
      </c>
      <c r="C100" s="20">
        <f t="shared" si="24"/>
        <v>787.50000000000011</v>
      </c>
      <c r="D100" s="27">
        <v>44953</v>
      </c>
      <c r="E100" s="16" t="s">
        <v>3563</v>
      </c>
      <c r="F100" s="16" t="s">
        <v>28</v>
      </c>
      <c r="I100" s="21" t="s">
        <v>30</v>
      </c>
    </row>
    <row r="101" spans="1:9">
      <c r="A101" s="16" t="s">
        <v>3633</v>
      </c>
      <c r="B101" s="20">
        <v>460000</v>
      </c>
      <c r="C101" s="20">
        <f t="shared" ref="C101:C102" si="25">0.0125*B101</f>
        <v>5750</v>
      </c>
      <c r="D101" s="27">
        <v>44953</v>
      </c>
      <c r="E101" s="16" t="s">
        <v>11</v>
      </c>
      <c r="F101" s="16" t="s">
        <v>1448</v>
      </c>
    </row>
    <row r="102" spans="1:9">
      <c r="A102" s="16" t="s">
        <v>3634</v>
      </c>
      <c r="B102" s="20">
        <v>135000</v>
      </c>
      <c r="C102" s="20">
        <f t="shared" si="25"/>
        <v>1687.5</v>
      </c>
      <c r="D102" s="27">
        <v>44953</v>
      </c>
      <c r="E102" s="16" t="s">
        <v>11</v>
      </c>
      <c r="F102" s="16" t="s">
        <v>1448</v>
      </c>
    </row>
    <row r="103" spans="1:9">
      <c r="A103" s="16" t="s">
        <v>3635</v>
      </c>
      <c r="B103" s="20">
        <v>250000</v>
      </c>
      <c r="C103" s="20">
        <f t="shared" ref="C103:C107" si="26">0.0175*B103</f>
        <v>4375</v>
      </c>
      <c r="D103" s="27">
        <v>44953</v>
      </c>
      <c r="E103" s="16" t="s">
        <v>3566</v>
      </c>
      <c r="F103" s="16" t="s">
        <v>28</v>
      </c>
      <c r="I103" s="21" t="s">
        <v>30</v>
      </c>
    </row>
    <row r="104" spans="1:9">
      <c r="A104" s="16" t="s">
        <v>3636</v>
      </c>
      <c r="B104" s="20">
        <v>80000</v>
      </c>
      <c r="C104" s="20">
        <f t="shared" si="26"/>
        <v>1400.0000000000002</v>
      </c>
      <c r="D104" s="27">
        <v>44953</v>
      </c>
      <c r="E104" s="16" t="s">
        <v>345</v>
      </c>
      <c r="F104" s="16" t="s">
        <v>28</v>
      </c>
      <c r="H104" s="16" t="s">
        <v>3581</v>
      </c>
      <c r="I104" s="21" t="s">
        <v>30</v>
      </c>
    </row>
    <row r="105" spans="1:9">
      <c r="A105" s="16" t="s">
        <v>3637</v>
      </c>
      <c r="B105" s="20">
        <v>160000</v>
      </c>
      <c r="C105" s="20">
        <f t="shared" si="26"/>
        <v>2800.0000000000005</v>
      </c>
      <c r="D105" s="27">
        <v>44953</v>
      </c>
      <c r="E105" s="16" t="s">
        <v>11</v>
      </c>
      <c r="F105" s="16" t="s">
        <v>28</v>
      </c>
      <c r="I105" s="21" t="s">
        <v>30</v>
      </c>
    </row>
    <row r="106" spans="1:9">
      <c r="A106" s="16" t="s">
        <v>3638</v>
      </c>
      <c r="B106" s="20">
        <v>50000</v>
      </c>
      <c r="C106" s="20">
        <f t="shared" si="26"/>
        <v>875.00000000000011</v>
      </c>
      <c r="D106" s="27">
        <v>44953</v>
      </c>
      <c r="E106" s="16" t="s">
        <v>11</v>
      </c>
      <c r="F106" s="16" t="s">
        <v>28</v>
      </c>
      <c r="I106" s="21" t="s">
        <v>30</v>
      </c>
    </row>
    <row r="107" spans="1:9">
      <c r="A107" s="16" t="s">
        <v>3639</v>
      </c>
      <c r="B107" s="20">
        <v>36000</v>
      </c>
      <c r="C107" s="20">
        <f t="shared" si="26"/>
        <v>630.00000000000011</v>
      </c>
      <c r="D107" s="27">
        <v>44956</v>
      </c>
      <c r="E107" s="16" t="s">
        <v>3640</v>
      </c>
      <c r="F107" s="16" t="s">
        <v>28</v>
      </c>
      <c r="I107" s="21" t="s">
        <v>30</v>
      </c>
    </row>
    <row r="108" spans="1:9">
      <c r="A108" s="16" t="s">
        <v>3641</v>
      </c>
      <c r="B108" s="20">
        <v>500000</v>
      </c>
      <c r="C108" s="20">
        <f>0.0125*B108</f>
        <v>6250</v>
      </c>
      <c r="D108" s="27">
        <v>44957</v>
      </c>
      <c r="E108" s="16" t="s">
        <v>11</v>
      </c>
      <c r="F108" s="16" t="s">
        <v>1448</v>
      </c>
    </row>
    <row r="109" spans="1:9">
      <c r="A109" s="16" t="s">
        <v>3642</v>
      </c>
      <c r="B109" s="20">
        <v>12500</v>
      </c>
      <c r="C109" s="20">
        <f>0.0175*B109</f>
        <v>218.75000000000003</v>
      </c>
      <c r="D109" s="27">
        <v>44957</v>
      </c>
      <c r="E109" s="16" t="s">
        <v>11</v>
      </c>
      <c r="F109" s="16" t="s">
        <v>28</v>
      </c>
    </row>
    <row r="110" spans="1:9">
      <c r="A110" s="16" t="s">
        <v>3643</v>
      </c>
      <c r="B110" s="20">
        <v>125000</v>
      </c>
      <c r="C110" s="20">
        <f t="shared" ref="C110:C111" si="27">0.0125*B110</f>
        <v>1562.5</v>
      </c>
      <c r="D110" s="27">
        <v>44957</v>
      </c>
      <c r="E110" s="16" t="s">
        <v>60</v>
      </c>
      <c r="F110" s="16" t="s">
        <v>1448</v>
      </c>
    </row>
    <row r="111" spans="1:9">
      <c r="A111" s="16" t="s">
        <v>3644</v>
      </c>
      <c r="B111" s="20">
        <v>450000</v>
      </c>
      <c r="C111" s="20">
        <f t="shared" si="27"/>
        <v>5625</v>
      </c>
      <c r="D111" s="27">
        <v>44957</v>
      </c>
      <c r="E111" s="16" t="s">
        <v>60</v>
      </c>
      <c r="F111" s="16" t="s">
        <v>1448</v>
      </c>
    </row>
    <row r="112" spans="1:9">
      <c r="A112" s="16" t="s">
        <v>3645</v>
      </c>
      <c r="B112" s="20">
        <v>200000</v>
      </c>
      <c r="C112" s="20">
        <f>0.0175*B112</f>
        <v>3500.0000000000005</v>
      </c>
      <c r="D112" s="27">
        <v>44957</v>
      </c>
      <c r="E112" s="16" t="s">
        <v>11</v>
      </c>
      <c r="F112" s="16" t="s">
        <v>28</v>
      </c>
    </row>
    <row r="113" spans="1:9">
      <c r="A113" s="16" t="s">
        <v>3646</v>
      </c>
      <c r="B113" s="20">
        <v>50000</v>
      </c>
      <c r="C113" s="20">
        <f t="shared" ref="C113:C115" si="28">0.0125*B113</f>
        <v>625</v>
      </c>
      <c r="D113" s="27">
        <v>44957</v>
      </c>
      <c r="E113" s="16" t="s">
        <v>11</v>
      </c>
      <c r="F113" s="16" t="s">
        <v>1448</v>
      </c>
      <c r="I113" s="23"/>
    </row>
    <row r="114" spans="1:9">
      <c r="A114" s="16" t="s">
        <v>3647</v>
      </c>
      <c r="B114" s="20">
        <v>400000</v>
      </c>
      <c r="C114" s="20">
        <f t="shared" si="28"/>
        <v>5000</v>
      </c>
      <c r="D114" s="27">
        <v>44957</v>
      </c>
      <c r="E114" s="16" t="s">
        <v>11</v>
      </c>
      <c r="F114" s="16" t="s">
        <v>1448</v>
      </c>
    </row>
    <row r="115" spans="1:9">
      <c r="A115" s="16" t="s">
        <v>3648</v>
      </c>
      <c r="B115" s="20">
        <v>25000</v>
      </c>
      <c r="C115" s="20">
        <f t="shared" si="28"/>
        <v>312.5</v>
      </c>
      <c r="D115" s="27">
        <v>44957</v>
      </c>
      <c r="E115" s="16" t="s">
        <v>11</v>
      </c>
      <c r="F115" s="16" t="s">
        <v>1448</v>
      </c>
    </row>
    <row r="116" spans="1:9">
      <c r="A116" s="16" t="s">
        <v>3649</v>
      </c>
      <c r="B116" s="20">
        <v>45000</v>
      </c>
      <c r="C116" s="20">
        <f t="shared" ref="C116:C118" si="29">0.0175*B116</f>
        <v>787.50000000000011</v>
      </c>
      <c r="D116" s="27">
        <v>44957</v>
      </c>
      <c r="E116" s="16" t="s">
        <v>11</v>
      </c>
      <c r="F116" s="16" t="s">
        <v>28</v>
      </c>
    </row>
    <row r="117" spans="1:9">
      <c r="A117" s="16" t="s">
        <v>3650</v>
      </c>
      <c r="B117" s="20">
        <v>60000</v>
      </c>
      <c r="C117" s="20">
        <f t="shared" si="29"/>
        <v>1050</v>
      </c>
      <c r="D117" s="27">
        <v>44957</v>
      </c>
      <c r="E117" s="16" t="s">
        <v>11</v>
      </c>
      <c r="F117" s="16" t="s">
        <v>28</v>
      </c>
    </row>
    <row r="118" spans="1:9">
      <c r="A118" s="16" t="s">
        <v>3651</v>
      </c>
      <c r="B118" s="20">
        <v>75000</v>
      </c>
      <c r="C118" s="20">
        <f t="shared" si="29"/>
        <v>1312.5000000000002</v>
      </c>
      <c r="D118" s="27">
        <v>44957</v>
      </c>
      <c r="E118" s="16" t="s">
        <v>11</v>
      </c>
      <c r="F118" s="16" t="s">
        <v>28</v>
      </c>
    </row>
    <row r="119" spans="1:9">
      <c r="A119" s="11">
        <v>44958</v>
      </c>
      <c r="B119" s="9">
        <f t="shared" ref="B119:C119" si="30">SUM(B120:B213)</f>
        <v>20313662</v>
      </c>
      <c r="C119" s="9">
        <f t="shared" si="30"/>
        <v>327728.27500000002</v>
      </c>
      <c r="D119" s="59"/>
      <c r="E119" s="59"/>
      <c r="F119" s="59"/>
      <c r="G119" s="59"/>
    </row>
    <row r="120" spans="1:9">
      <c r="A120" s="16" t="s">
        <v>3652</v>
      </c>
      <c r="B120" s="20">
        <v>95000</v>
      </c>
      <c r="C120" s="20">
        <f t="shared" ref="C120:C123" si="31">0.0175*B120</f>
        <v>1662.5000000000002</v>
      </c>
      <c r="D120" s="27">
        <v>44958</v>
      </c>
      <c r="E120" s="16" t="s">
        <v>60</v>
      </c>
      <c r="F120" s="16" t="s">
        <v>28</v>
      </c>
      <c r="H120" s="16" t="s">
        <v>3653</v>
      </c>
      <c r="I120" s="21" t="s">
        <v>30</v>
      </c>
    </row>
    <row r="121" spans="1:9">
      <c r="A121" s="16" t="s">
        <v>3654</v>
      </c>
      <c r="B121" s="20">
        <v>350000</v>
      </c>
      <c r="C121" s="20">
        <f t="shared" si="31"/>
        <v>6125.0000000000009</v>
      </c>
      <c r="D121" s="27">
        <v>44958</v>
      </c>
      <c r="E121" s="16" t="s">
        <v>11</v>
      </c>
      <c r="F121" s="16" t="s">
        <v>28</v>
      </c>
      <c r="I121" s="21" t="s">
        <v>30</v>
      </c>
    </row>
    <row r="122" spans="1:9">
      <c r="A122" s="16" t="s">
        <v>3655</v>
      </c>
      <c r="B122" s="20">
        <v>200000</v>
      </c>
      <c r="C122" s="20">
        <f t="shared" si="31"/>
        <v>3500.0000000000005</v>
      </c>
      <c r="D122" s="27">
        <v>44958</v>
      </c>
      <c r="E122" s="16" t="s">
        <v>60</v>
      </c>
      <c r="F122" s="16" t="s">
        <v>28</v>
      </c>
      <c r="I122" s="21" t="s">
        <v>30</v>
      </c>
    </row>
    <row r="123" spans="1:9">
      <c r="A123" s="16" t="s">
        <v>3656</v>
      </c>
      <c r="B123" s="20">
        <v>200000</v>
      </c>
      <c r="C123" s="20">
        <f t="shared" si="31"/>
        <v>3500.0000000000005</v>
      </c>
      <c r="D123" s="27">
        <v>44958</v>
      </c>
      <c r="E123" s="16" t="s">
        <v>461</v>
      </c>
      <c r="F123" s="16" t="s">
        <v>28</v>
      </c>
      <c r="I123" s="21" t="s">
        <v>30</v>
      </c>
    </row>
    <row r="124" spans="1:9">
      <c r="A124" s="16" t="s">
        <v>3657</v>
      </c>
      <c r="B124" s="20">
        <v>40000</v>
      </c>
      <c r="C124" s="20">
        <f>0.0125*B124</f>
        <v>500</v>
      </c>
      <c r="D124" s="27">
        <v>44958</v>
      </c>
      <c r="E124" s="16" t="s">
        <v>11</v>
      </c>
      <c r="F124" s="16" t="s">
        <v>1448</v>
      </c>
    </row>
    <row r="125" spans="1:9">
      <c r="A125" s="16" t="s">
        <v>3658</v>
      </c>
      <c r="B125" s="20">
        <v>300000</v>
      </c>
      <c r="C125" s="20">
        <f t="shared" ref="C125:C128" si="32">0.0175*B125</f>
        <v>5250.0000000000009</v>
      </c>
      <c r="D125" s="27">
        <v>44959</v>
      </c>
      <c r="E125" s="16" t="s">
        <v>11</v>
      </c>
      <c r="F125" s="16" t="s">
        <v>28</v>
      </c>
      <c r="I125" s="21" t="s">
        <v>30</v>
      </c>
    </row>
    <row r="126" spans="1:9">
      <c r="A126" s="16" t="s">
        <v>3659</v>
      </c>
      <c r="B126" s="20">
        <v>275000</v>
      </c>
      <c r="C126" s="20">
        <f t="shared" si="32"/>
        <v>4812.5000000000009</v>
      </c>
      <c r="D126" s="27">
        <v>44959</v>
      </c>
      <c r="E126" s="16" t="s">
        <v>60</v>
      </c>
      <c r="F126" s="16" t="s">
        <v>28</v>
      </c>
      <c r="I126" s="21" t="s">
        <v>30</v>
      </c>
    </row>
    <row r="127" spans="1:9">
      <c r="A127" s="16" t="s">
        <v>3660</v>
      </c>
      <c r="B127" s="20">
        <v>200000</v>
      </c>
      <c r="C127" s="20">
        <f t="shared" si="32"/>
        <v>3500.0000000000005</v>
      </c>
      <c r="D127" s="27">
        <v>44959</v>
      </c>
      <c r="E127" s="16" t="s">
        <v>11</v>
      </c>
      <c r="F127" s="16" t="s">
        <v>28</v>
      </c>
      <c r="I127" s="21" t="s">
        <v>30</v>
      </c>
    </row>
    <row r="128" spans="1:9">
      <c r="A128" s="16" t="s">
        <v>3661</v>
      </c>
      <c r="B128" s="20">
        <v>30000</v>
      </c>
      <c r="C128" s="20">
        <f t="shared" si="32"/>
        <v>525</v>
      </c>
      <c r="D128" s="27">
        <v>44959</v>
      </c>
      <c r="E128" s="16" t="s">
        <v>11</v>
      </c>
      <c r="F128" s="16" t="s">
        <v>28</v>
      </c>
    </row>
    <row r="129" spans="1:9">
      <c r="A129" s="16" t="s">
        <v>454</v>
      </c>
      <c r="B129" s="20">
        <v>1000000</v>
      </c>
      <c r="C129" s="20">
        <f>0.0125*B129</f>
        <v>12500</v>
      </c>
      <c r="D129" s="27">
        <v>44959</v>
      </c>
      <c r="E129" s="16" t="s">
        <v>11</v>
      </c>
      <c r="F129" s="16" t="s">
        <v>1448</v>
      </c>
    </row>
    <row r="130" spans="1:9">
      <c r="A130" s="16" t="s">
        <v>3662</v>
      </c>
      <c r="B130" s="20">
        <v>500000</v>
      </c>
      <c r="C130" s="20">
        <f>0.0175*B130</f>
        <v>8750</v>
      </c>
      <c r="D130" s="27">
        <v>44595</v>
      </c>
      <c r="E130" s="16" t="s">
        <v>69</v>
      </c>
      <c r="F130" s="16" t="s">
        <v>28</v>
      </c>
      <c r="H130" s="16" t="s">
        <v>296</v>
      </c>
      <c r="I130" s="21" t="s">
        <v>30</v>
      </c>
    </row>
    <row r="131" spans="1:9">
      <c r="A131" s="16" t="s">
        <v>3663</v>
      </c>
      <c r="B131" s="20">
        <v>315000</v>
      </c>
      <c r="C131" s="20">
        <f>0.0125*B131</f>
        <v>3937.5</v>
      </c>
      <c r="D131" s="27">
        <v>44595</v>
      </c>
      <c r="E131" s="16" t="s">
        <v>60</v>
      </c>
      <c r="F131" s="16" t="s">
        <v>1448</v>
      </c>
    </row>
    <row r="132" spans="1:9">
      <c r="A132" s="16" t="s">
        <v>3664</v>
      </c>
      <c r="B132" s="20">
        <v>750000</v>
      </c>
      <c r="C132" s="20">
        <f t="shared" ref="C132:C135" si="33">0.0175*B132</f>
        <v>13125.000000000002</v>
      </c>
      <c r="D132" s="27">
        <v>44595</v>
      </c>
      <c r="E132" s="16" t="s">
        <v>3566</v>
      </c>
      <c r="F132" s="16" t="s">
        <v>28</v>
      </c>
      <c r="I132" s="21" t="s">
        <v>30</v>
      </c>
    </row>
    <row r="133" spans="1:9">
      <c r="A133" s="16" t="s">
        <v>2164</v>
      </c>
      <c r="B133" s="20">
        <v>250000</v>
      </c>
      <c r="C133" s="20">
        <f t="shared" si="33"/>
        <v>4375</v>
      </c>
      <c r="D133" s="27">
        <v>44963</v>
      </c>
      <c r="E133" s="16" t="s">
        <v>11</v>
      </c>
      <c r="F133" s="16" t="s">
        <v>28</v>
      </c>
      <c r="I133" s="21" t="s">
        <v>30</v>
      </c>
    </row>
    <row r="134" spans="1:9">
      <c r="A134" s="16" t="s">
        <v>3665</v>
      </c>
      <c r="B134" s="20">
        <v>40000</v>
      </c>
      <c r="C134" s="20">
        <f t="shared" si="33"/>
        <v>700.00000000000011</v>
      </c>
      <c r="D134" s="27">
        <v>44964</v>
      </c>
      <c r="E134" s="16" t="s">
        <v>11</v>
      </c>
      <c r="F134" s="16" t="s">
        <v>28</v>
      </c>
      <c r="I134" s="21" t="s">
        <v>30</v>
      </c>
    </row>
    <row r="135" spans="1:9">
      <c r="A135" s="16" t="s">
        <v>777</v>
      </c>
      <c r="B135" s="20">
        <v>100000</v>
      </c>
      <c r="C135" s="20">
        <f t="shared" si="33"/>
        <v>1750.0000000000002</v>
      </c>
      <c r="D135" s="27">
        <v>44964</v>
      </c>
      <c r="E135" s="16" t="s">
        <v>11</v>
      </c>
      <c r="F135" s="16" t="s">
        <v>28</v>
      </c>
      <c r="I135" s="21" t="s">
        <v>30</v>
      </c>
    </row>
    <row r="136" spans="1:9">
      <c r="A136" s="16" t="s">
        <v>3666</v>
      </c>
      <c r="B136" s="20">
        <v>80000</v>
      </c>
      <c r="C136" s="20">
        <f>0.0125*B136</f>
        <v>1000</v>
      </c>
      <c r="D136" s="27">
        <v>44965</v>
      </c>
      <c r="E136" s="16" t="s">
        <v>11</v>
      </c>
      <c r="F136" s="16" t="s">
        <v>1448</v>
      </c>
    </row>
    <row r="137" spans="1:9">
      <c r="A137" s="16" t="s">
        <v>3667</v>
      </c>
      <c r="B137" s="20">
        <v>300000</v>
      </c>
      <c r="C137" s="20">
        <f t="shared" ref="C137:C142" si="34">0.0175*B137</f>
        <v>5250.0000000000009</v>
      </c>
      <c r="D137" s="27">
        <v>44966</v>
      </c>
      <c r="E137" s="16" t="s">
        <v>3668</v>
      </c>
      <c r="F137" s="16" t="s">
        <v>28</v>
      </c>
      <c r="I137" s="21" t="s">
        <v>30</v>
      </c>
    </row>
    <row r="138" spans="1:9">
      <c r="A138" s="16" t="s">
        <v>3669</v>
      </c>
      <c r="B138" s="20">
        <v>450000</v>
      </c>
      <c r="C138" s="20">
        <f t="shared" si="34"/>
        <v>7875.0000000000009</v>
      </c>
      <c r="D138" s="27">
        <v>44966</v>
      </c>
      <c r="E138" s="16" t="s">
        <v>3583</v>
      </c>
      <c r="F138" s="16" t="s">
        <v>28</v>
      </c>
      <c r="I138" s="21" t="s">
        <v>30</v>
      </c>
    </row>
    <row r="139" spans="1:9">
      <c r="A139" s="16" t="s">
        <v>3670</v>
      </c>
      <c r="B139" s="20">
        <v>150000</v>
      </c>
      <c r="C139" s="20">
        <f t="shared" si="34"/>
        <v>2625.0000000000005</v>
      </c>
      <c r="D139" s="27">
        <v>44966</v>
      </c>
      <c r="E139" s="16" t="s">
        <v>11</v>
      </c>
      <c r="F139" s="16" t="s">
        <v>28</v>
      </c>
      <c r="I139" s="21" t="s">
        <v>30</v>
      </c>
    </row>
    <row r="140" spans="1:9">
      <c r="A140" s="16" t="s">
        <v>3671</v>
      </c>
      <c r="B140" s="20">
        <v>120000</v>
      </c>
      <c r="C140" s="20">
        <f t="shared" si="34"/>
        <v>2100</v>
      </c>
      <c r="D140" s="27">
        <v>44966</v>
      </c>
      <c r="E140" s="16" t="s">
        <v>11</v>
      </c>
      <c r="F140" s="16" t="s">
        <v>28</v>
      </c>
    </row>
    <row r="141" spans="1:9">
      <c r="A141" s="16" t="s">
        <v>3672</v>
      </c>
      <c r="B141" s="20">
        <v>60000</v>
      </c>
      <c r="C141" s="20">
        <f t="shared" si="34"/>
        <v>1050</v>
      </c>
      <c r="D141" s="27">
        <v>44966</v>
      </c>
      <c r="E141" s="16" t="s">
        <v>11</v>
      </c>
      <c r="F141" s="16" t="s">
        <v>28</v>
      </c>
    </row>
    <row r="142" spans="1:9">
      <c r="A142" s="16" t="s">
        <v>3673</v>
      </c>
      <c r="B142" s="20">
        <v>15000</v>
      </c>
      <c r="C142" s="20">
        <f t="shared" si="34"/>
        <v>262.5</v>
      </c>
      <c r="D142" s="27">
        <v>44966</v>
      </c>
      <c r="E142" s="16" t="s">
        <v>11</v>
      </c>
      <c r="F142" s="16" t="s">
        <v>28</v>
      </c>
    </row>
    <row r="143" spans="1:9">
      <c r="A143" s="16" t="s">
        <v>3674</v>
      </c>
      <c r="B143" s="20">
        <v>200000</v>
      </c>
      <c r="C143" s="20">
        <f>0.0125*B143</f>
        <v>2500</v>
      </c>
      <c r="D143" s="27">
        <v>44966</v>
      </c>
      <c r="E143" s="16" t="s">
        <v>11</v>
      </c>
      <c r="F143" s="16" t="s">
        <v>1448</v>
      </c>
    </row>
    <row r="144" spans="1:9">
      <c r="A144" s="16" t="s">
        <v>3414</v>
      </c>
      <c r="B144" s="20">
        <v>35000</v>
      </c>
      <c r="C144" s="20">
        <f t="shared" ref="C144:C145" si="35">0.0175*B144</f>
        <v>612.50000000000011</v>
      </c>
      <c r="D144" s="27">
        <v>44966</v>
      </c>
      <c r="E144" s="16" t="s">
        <v>11</v>
      </c>
      <c r="F144" s="16" t="s">
        <v>28</v>
      </c>
    </row>
    <row r="145" spans="1:9">
      <c r="A145" s="16" t="s">
        <v>3675</v>
      </c>
      <c r="B145" s="20">
        <v>10000</v>
      </c>
      <c r="C145" s="20">
        <f t="shared" si="35"/>
        <v>175.00000000000003</v>
      </c>
      <c r="D145" s="27">
        <v>44966</v>
      </c>
      <c r="E145" s="16" t="s">
        <v>11</v>
      </c>
      <c r="F145" s="16" t="s">
        <v>28</v>
      </c>
    </row>
    <row r="146" spans="1:9">
      <c r="A146" s="16" t="s">
        <v>3676</v>
      </c>
      <c r="B146" s="20">
        <v>80000</v>
      </c>
      <c r="C146" s="20">
        <f>0.0125*B146</f>
        <v>1000</v>
      </c>
      <c r="D146" s="27">
        <v>44966</v>
      </c>
      <c r="E146" s="16" t="s">
        <v>11</v>
      </c>
      <c r="F146" s="16" t="s">
        <v>1448</v>
      </c>
    </row>
    <row r="147" spans="1:9">
      <c r="A147" s="16" t="s">
        <v>3677</v>
      </c>
      <c r="B147" s="20">
        <v>20000</v>
      </c>
      <c r="C147" s="20">
        <f>0.0175*B147</f>
        <v>350.00000000000006</v>
      </c>
      <c r="D147" s="27">
        <v>44966</v>
      </c>
      <c r="E147" s="16" t="s">
        <v>11</v>
      </c>
      <c r="F147" s="16" t="s">
        <v>28</v>
      </c>
    </row>
    <row r="148" spans="1:9">
      <c r="A148" s="16" t="s">
        <v>3678</v>
      </c>
      <c r="B148" s="20">
        <v>140000</v>
      </c>
      <c r="C148" s="20">
        <f t="shared" ref="C148:C149" si="36">0.0125*B148</f>
        <v>1750</v>
      </c>
      <c r="D148" s="27">
        <v>44970</v>
      </c>
      <c r="E148" s="16" t="s">
        <v>11</v>
      </c>
      <c r="F148" s="16" t="s">
        <v>1448</v>
      </c>
    </row>
    <row r="149" spans="1:9">
      <c r="A149" s="16" t="s">
        <v>3679</v>
      </c>
      <c r="B149" s="20">
        <v>80000</v>
      </c>
      <c r="C149" s="20">
        <f t="shared" si="36"/>
        <v>1000</v>
      </c>
      <c r="D149" s="27">
        <v>44970</v>
      </c>
      <c r="E149" s="16" t="s">
        <v>11</v>
      </c>
      <c r="F149" s="16" t="s">
        <v>1448</v>
      </c>
    </row>
    <row r="150" spans="1:9">
      <c r="A150" s="16" t="s">
        <v>3680</v>
      </c>
      <c r="B150" s="20">
        <v>1500000</v>
      </c>
      <c r="C150" s="20">
        <f t="shared" ref="C150:C155" si="37">0.0175*B150</f>
        <v>26250.000000000004</v>
      </c>
      <c r="D150" s="27">
        <v>44970</v>
      </c>
      <c r="E150" s="16" t="s">
        <v>3566</v>
      </c>
      <c r="F150" s="16" t="s">
        <v>28</v>
      </c>
      <c r="I150" s="21" t="s">
        <v>30</v>
      </c>
    </row>
    <row r="151" spans="1:9">
      <c r="A151" s="16" t="s">
        <v>3681</v>
      </c>
      <c r="B151" s="20">
        <v>500000</v>
      </c>
      <c r="C151" s="20">
        <f t="shared" si="37"/>
        <v>8750</v>
      </c>
      <c r="D151" s="27">
        <v>44971</v>
      </c>
      <c r="E151" s="16" t="s">
        <v>3583</v>
      </c>
      <c r="F151" s="16" t="s">
        <v>28</v>
      </c>
      <c r="I151" s="21" t="s">
        <v>30</v>
      </c>
    </row>
    <row r="152" spans="1:9">
      <c r="A152" s="16" t="s">
        <v>3682</v>
      </c>
      <c r="B152" s="20">
        <v>500000</v>
      </c>
      <c r="C152" s="20">
        <f t="shared" si="37"/>
        <v>8750</v>
      </c>
      <c r="D152" s="27">
        <v>44971</v>
      </c>
      <c r="E152" s="16" t="s">
        <v>69</v>
      </c>
      <c r="F152" s="16" t="s">
        <v>28</v>
      </c>
      <c r="H152" s="16" t="s">
        <v>296</v>
      </c>
      <c r="I152" s="21" t="s">
        <v>30</v>
      </c>
    </row>
    <row r="153" spans="1:9">
      <c r="A153" s="16" t="s">
        <v>3683</v>
      </c>
      <c r="B153" s="20">
        <v>30000</v>
      </c>
      <c r="C153" s="20">
        <f t="shared" si="37"/>
        <v>525</v>
      </c>
      <c r="D153" s="27">
        <v>44971</v>
      </c>
      <c r="E153" s="16" t="s">
        <v>345</v>
      </c>
      <c r="F153" s="16" t="s">
        <v>28</v>
      </c>
      <c r="H153" s="16" t="s">
        <v>13</v>
      </c>
      <c r="I153" s="21" t="s">
        <v>30</v>
      </c>
    </row>
    <row r="154" spans="1:9">
      <c r="A154" s="16" t="s">
        <v>3684</v>
      </c>
      <c r="B154" s="20">
        <v>1010000</v>
      </c>
      <c r="C154" s="20">
        <f t="shared" si="37"/>
        <v>17675</v>
      </c>
      <c r="D154" s="27">
        <v>44971</v>
      </c>
      <c r="E154" s="16" t="s">
        <v>11</v>
      </c>
      <c r="F154" s="16" t="s">
        <v>28</v>
      </c>
    </row>
    <row r="155" spans="1:9">
      <c r="A155" s="16" t="s">
        <v>3685</v>
      </c>
      <c r="B155" s="20">
        <v>300000</v>
      </c>
      <c r="C155" s="20">
        <f t="shared" si="37"/>
        <v>5250.0000000000009</v>
      </c>
      <c r="D155" s="27">
        <v>44971</v>
      </c>
      <c r="E155" s="16" t="s">
        <v>345</v>
      </c>
      <c r="F155" s="16" t="s">
        <v>28</v>
      </c>
      <c r="H155" s="16" t="s">
        <v>13</v>
      </c>
      <c r="I155" s="21" t="s">
        <v>30</v>
      </c>
    </row>
    <row r="156" spans="1:9">
      <c r="A156" s="16" t="s">
        <v>3686</v>
      </c>
      <c r="B156" s="20">
        <v>265000</v>
      </c>
      <c r="C156" s="20">
        <f>0.0125*B156</f>
        <v>3312.5</v>
      </c>
      <c r="D156" s="27">
        <v>44971</v>
      </c>
      <c r="E156" s="16" t="s">
        <v>60</v>
      </c>
      <c r="F156" s="16" t="s">
        <v>1448</v>
      </c>
    </row>
    <row r="157" spans="1:9">
      <c r="A157" s="16" t="s">
        <v>3687</v>
      </c>
      <c r="B157" s="20">
        <v>240000</v>
      </c>
      <c r="C157" s="20">
        <f t="shared" ref="C157:C161" si="38">0.0175*B157</f>
        <v>4200</v>
      </c>
      <c r="D157" s="27">
        <v>44971</v>
      </c>
      <c r="E157" s="16" t="s">
        <v>3688</v>
      </c>
      <c r="F157" s="16" t="s">
        <v>28</v>
      </c>
      <c r="I157" s="21" t="s">
        <v>30</v>
      </c>
    </row>
    <row r="158" spans="1:9">
      <c r="A158" s="16" t="s">
        <v>3689</v>
      </c>
      <c r="B158" s="20">
        <v>25000</v>
      </c>
      <c r="C158" s="20">
        <f t="shared" si="38"/>
        <v>437.50000000000006</v>
      </c>
      <c r="D158" s="27">
        <v>44971</v>
      </c>
      <c r="E158" s="16" t="s">
        <v>3559</v>
      </c>
      <c r="F158" s="16" t="s">
        <v>28</v>
      </c>
      <c r="I158" s="21" t="s">
        <v>30</v>
      </c>
    </row>
    <row r="159" spans="1:9">
      <c r="A159" s="16" t="s">
        <v>3690</v>
      </c>
      <c r="B159" s="20">
        <v>67000</v>
      </c>
      <c r="C159" s="20">
        <f t="shared" si="38"/>
        <v>1172.5</v>
      </c>
      <c r="D159" s="27">
        <v>44972</v>
      </c>
      <c r="E159" s="16" t="s">
        <v>11</v>
      </c>
      <c r="F159" s="16" t="s">
        <v>28</v>
      </c>
      <c r="I159" s="21" t="s">
        <v>30</v>
      </c>
    </row>
    <row r="160" spans="1:9">
      <c r="A160" s="16" t="s">
        <v>3691</v>
      </c>
      <c r="B160" s="20">
        <v>75000</v>
      </c>
      <c r="C160" s="20">
        <f t="shared" si="38"/>
        <v>1312.5000000000002</v>
      </c>
      <c r="D160" s="27">
        <v>44972</v>
      </c>
      <c r="E160" s="16" t="s">
        <v>11</v>
      </c>
      <c r="F160" s="16" t="s">
        <v>28</v>
      </c>
      <c r="I160" s="21" t="s">
        <v>30</v>
      </c>
    </row>
    <row r="161" spans="1:9">
      <c r="A161" s="16" t="s">
        <v>3692</v>
      </c>
      <c r="B161" s="20">
        <v>1000000</v>
      </c>
      <c r="C161" s="20">
        <f t="shared" si="38"/>
        <v>17500</v>
      </c>
      <c r="D161" s="27">
        <v>44972</v>
      </c>
      <c r="E161" s="16" t="s">
        <v>3566</v>
      </c>
      <c r="F161" s="16" t="s">
        <v>28</v>
      </c>
      <c r="I161" s="21" t="s">
        <v>30</v>
      </c>
    </row>
    <row r="162" spans="1:9">
      <c r="A162" s="16" t="s">
        <v>3693</v>
      </c>
      <c r="B162" s="20">
        <v>225000</v>
      </c>
      <c r="C162" s="20">
        <f>0.0125*B162</f>
        <v>2812.5</v>
      </c>
      <c r="D162" s="27">
        <v>44973</v>
      </c>
      <c r="E162" s="16" t="s">
        <v>60</v>
      </c>
      <c r="F162" s="16" t="s">
        <v>1448</v>
      </c>
    </row>
    <row r="163" spans="1:9">
      <c r="A163" s="16" t="s">
        <v>3694</v>
      </c>
      <c r="B163" s="20">
        <v>25000</v>
      </c>
      <c r="C163" s="20">
        <f t="shared" ref="C163:C164" si="39">0.0175*B163</f>
        <v>437.50000000000006</v>
      </c>
      <c r="D163" s="27">
        <v>44973</v>
      </c>
      <c r="E163" s="16" t="s">
        <v>11</v>
      </c>
      <c r="F163" s="16" t="s">
        <v>28</v>
      </c>
      <c r="I163" s="21" t="s">
        <v>30</v>
      </c>
    </row>
    <row r="164" spans="1:9">
      <c r="A164" s="16" t="s">
        <v>3695</v>
      </c>
      <c r="B164" s="20">
        <v>50000</v>
      </c>
      <c r="C164" s="20">
        <f t="shared" si="39"/>
        <v>875.00000000000011</v>
      </c>
      <c r="D164" s="27">
        <v>44973</v>
      </c>
      <c r="E164" s="16" t="s">
        <v>11</v>
      </c>
      <c r="F164" s="16" t="s">
        <v>28</v>
      </c>
    </row>
    <row r="165" spans="1:9">
      <c r="A165" s="16" t="s">
        <v>3696</v>
      </c>
      <c r="B165" s="20">
        <v>357500</v>
      </c>
      <c r="C165" s="20">
        <f t="shared" ref="C165:C167" si="40">0.0125*B165</f>
        <v>4468.75</v>
      </c>
      <c r="D165" s="27">
        <v>44973</v>
      </c>
      <c r="E165" s="16" t="s">
        <v>11</v>
      </c>
      <c r="F165" s="16" t="s">
        <v>1448</v>
      </c>
    </row>
    <row r="166" spans="1:9">
      <c r="A166" s="16" t="s">
        <v>3697</v>
      </c>
      <c r="B166" s="20">
        <v>50000</v>
      </c>
      <c r="C166" s="20">
        <f t="shared" si="40"/>
        <v>625</v>
      </c>
      <c r="D166" s="27">
        <v>44973</v>
      </c>
      <c r="E166" s="16" t="s">
        <v>11</v>
      </c>
      <c r="F166" s="16" t="s">
        <v>1448</v>
      </c>
    </row>
    <row r="167" spans="1:9">
      <c r="A167" s="16" t="s">
        <v>2588</v>
      </c>
      <c r="B167" s="20">
        <v>40000</v>
      </c>
      <c r="C167" s="20">
        <f t="shared" si="40"/>
        <v>500</v>
      </c>
      <c r="D167" s="27">
        <v>44973</v>
      </c>
      <c r="E167" s="16" t="s">
        <v>11</v>
      </c>
      <c r="F167" s="16" t="s">
        <v>1448</v>
      </c>
    </row>
    <row r="168" spans="1:9">
      <c r="A168" s="16" t="s">
        <v>3698</v>
      </c>
      <c r="B168" s="20">
        <v>17500</v>
      </c>
      <c r="C168" s="20">
        <f t="shared" ref="C168:C172" si="41">0.0175*B168</f>
        <v>306.25000000000006</v>
      </c>
      <c r="D168" s="27">
        <v>44973</v>
      </c>
      <c r="E168" s="16" t="s">
        <v>11</v>
      </c>
      <c r="F168" s="16" t="s">
        <v>28</v>
      </c>
    </row>
    <row r="169" spans="1:9">
      <c r="A169" s="16" t="s">
        <v>3699</v>
      </c>
      <c r="B169" s="20">
        <v>12000</v>
      </c>
      <c r="C169" s="20">
        <f t="shared" si="41"/>
        <v>210.00000000000003</v>
      </c>
      <c r="D169" s="27">
        <v>44973</v>
      </c>
      <c r="E169" s="16" t="s">
        <v>11</v>
      </c>
      <c r="F169" s="16" t="s">
        <v>1448</v>
      </c>
    </row>
    <row r="170" spans="1:9">
      <c r="A170" s="16" t="s">
        <v>3700</v>
      </c>
      <c r="B170" s="20">
        <v>7500</v>
      </c>
      <c r="C170" s="20">
        <f t="shared" si="41"/>
        <v>131.25</v>
      </c>
      <c r="D170" s="27">
        <v>44973</v>
      </c>
      <c r="E170" s="16" t="s">
        <v>11</v>
      </c>
      <c r="F170" s="16" t="s">
        <v>28</v>
      </c>
    </row>
    <row r="171" spans="1:9">
      <c r="A171" s="16" t="s">
        <v>2306</v>
      </c>
      <c r="B171" s="20">
        <v>80000</v>
      </c>
      <c r="C171" s="20">
        <f t="shared" si="41"/>
        <v>1400.0000000000002</v>
      </c>
      <c r="D171" s="27">
        <v>44973</v>
      </c>
      <c r="E171" s="16" t="s">
        <v>345</v>
      </c>
      <c r="F171" s="16" t="s">
        <v>28</v>
      </c>
      <c r="H171" s="16" t="s">
        <v>13</v>
      </c>
      <c r="I171" s="21" t="s">
        <v>30</v>
      </c>
    </row>
    <row r="172" spans="1:9">
      <c r="A172" s="16" t="s">
        <v>3701</v>
      </c>
      <c r="B172" s="20">
        <v>150000</v>
      </c>
      <c r="C172" s="20">
        <f t="shared" si="41"/>
        <v>2625.0000000000005</v>
      </c>
      <c r="D172" s="27">
        <v>44974</v>
      </c>
      <c r="E172" s="16" t="s">
        <v>3702</v>
      </c>
      <c r="F172" s="16" t="s">
        <v>28</v>
      </c>
      <c r="I172" s="21" t="s">
        <v>30</v>
      </c>
    </row>
    <row r="173" spans="1:9">
      <c r="A173" s="16" t="s">
        <v>629</v>
      </c>
      <c r="B173" s="20">
        <v>100000</v>
      </c>
      <c r="C173" s="20">
        <f>0.0125*B173</f>
        <v>1250</v>
      </c>
      <c r="D173" s="27">
        <v>44974</v>
      </c>
      <c r="E173" s="16" t="s">
        <v>11</v>
      </c>
      <c r="F173" s="16" t="s">
        <v>1448</v>
      </c>
    </row>
    <row r="174" spans="1:9">
      <c r="A174" s="16" t="s">
        <v>3703</v>
      </c>
      <c r="B174" s="20">
        <v>155000</v>
      </c>
      <c r="C174" s="20">
        <f t="shared" ref="C174:C177" si="42">0.0175*B174</f>
        <v>2712.5000000000005</v>
      </c>
      <c r="D174" s="27">
        <v>44974</v>
      </c>
      <c r="E174" s="16" t="s">
        <v>69</v>
      </c>
      <c r="F174" s="16" t="s">
        <v>28</v>
      </c>
      <c r="H174" s="16" t="s">
        <v>13</v>
      </c>
      <c r="I174" s="21" t="s">
        <v>30</v>
      </c>
    </row>
    <row r="175" spans="1:9">
      <c r="A175" s="16" t="s">
        <v>3704</v>
      </c>
      <c r="B175" s="20">
        <v>70000</v>
      </c>
      <c r="C175" s="20">
        <f t="shared" si="42"/>
        <v>1225.0000000000002</v>
      </c>
      <c r="D175" s="27">
        <v>44978</v>
      </c>
      <c r="E175" s="16" t="s">
        <v>60</v>
      </c>
      <c r="F175" s="16" t="s">
        <v>28</v>
      </c>
      <c r="I175" s="21" t="s">
        <v>30</v>
      </c>
    </row>
    <row r="176" spans="1:9">
      <c r="A176" s="16" t="s">
        <v>3705</v>
      </c>
      <c r="B176" s="20">
        <v>150000</v>
      </c>
      <c r="C176" s="20">
        <f t="shared" si="42"/>
        <v>2625.0000000000005</v>
      </c>
      <c r="D176" s="27">
        <v>44978</v>
      </c>
      <c r="E176" s="16" t="s">
        <v>461</v>
      </c>
      <c r="F176" s="16" t="s">
        <v>28</v>
      </c>
      <c r="I176" s="21" t="s">
        <v>30</v>
      </c>
    </row>
    <row r="177" spans="1:9">
      <c r="A177" s="16" t="s">
        <v>3706</v>
      </c>
      <c r="B177" s="20">
        <v>50000</v>
      </c>
      <c r="C177" s="20">
        <f t="shared" si="42"/>
        <v>875.00000000000011</v>
      </c>
      <c r="D177" s="27">
        <v>44978</v>
      </c>
      <c r="E177" s="16" t="s">
        <v>69</v>
      </c>
      <c r="F177" s="16" t="s">
        <v>28</v>
      </c>
      <c r="H177" s="16" t="s">
        <v>13</v>
      </c>
      <c r="I177" s="21" t="s">
        <v>30</v>
      </c>
    </row>
    <row r="178" spans="1:9">
      <c r="A178" s="16" t="s">
        <v>3602</v>
      </c>
      <c r="B178" s="20">
        <v>95000</v>
      </c>
      <c r="C178" s="20">
        <f t="shared" ref="C178:C179" si="43">0.0125*B178</f>
        <v>1187.5</v>
      </c>
      <c r="D178" s="27">
        <v>44979</v>
      </c>
      <c r="E178" s="16" t="s">
        <v>73</v>
      </c>
      <c r="F178" s="16" t="s">
        <v>1448</v>
      </c>
    </row>
    <row r="179" spans="1:9">
      <c r="A179" s="16" t="s">
        <v>3707</v>
      </c>
      <c r="B179" s="20">
        <v>75000</v>
      </c>
      <c r="C179" s="20">
        <f t="shared" si="43"/>
        <v>937.5</v>
      </c>
      <c r="D179" s="27">
        <v>44979</v>
      </c>
      <c r="E179" s="16" t="s">
        <v>2130</v>
      </c>
      <c r="F179" s="16" t="s">
        <v>1448</v>
      </c>
    </row>
    <row r="180" spans="1:9">
      <c r="A180" s="16" t="s">
        <v>3708</v>
      </c>
      <c r="B180" s="20">
        <v>85000</v>
      </c>
      <c r="C180" s="20">
        <f t="shared" ref="C180:C182" si="44">0.0175*B180</f>
        <v>1487.5000000000002</v>
      </c>
      <c r="D180" s="27">
        <v>44979</v>
      </c>
      <c r="E180" s="16" t="s">
        <v>11</v>
      </c>
      <c r="F180" s="16" t="s">
        <v>28</v>
      </c>
    </row>
    <row r="181" spans="1:9">
      <c r="A181" s="16" t="s">
        <v>3709</v>
      </c>
      <c r="B181" s="20">
        <v>30000</v>
      </c>
      <c r="C181" s="20">
        <f t="shared" si="44"/>
        <v>525</v>
      </c>
      <c r="D181" s="27">
        <v>44980</v>
      </c>
      <c r="E181" s="16" t="s">
        <v>11</v>
      </c>
      <c r="F181" s="16" t="s">
        <v>28</v>
      </c>
      <c r="I181" s="21" t="s">
        <v>30</v>
      </c>
    </row>
    <row r="182" spans="1:9">
      <c r="A182" s="16" t="s">
        <v>3710</v>
      </c>
      <c r="B182" s="20">
        <v>40000</v>
      </c>
      <c r="C182" s="20">
        <f t="shared" si="44"/>
        <v>700.00000000000011</v>
      </c>
      <c r="D182" s="27">
        <v>44980</v>
      </c>
      <c r="E182" s="16" t="s">
        <v>11</v>
      </c>
      <c r="F182" s="16" t="s">
        <v>28</v>
      </c>
    </row>
    <row r="183" spans="1:9">
      <c r="A183" s="16" t="s">
        <v>391</v>
      </c>
      <c r="B183" s="20">
        <v>65000</v>
      </c>
      <c r="C183" s="20">
        <f t="shared" ref="C183:C184" si="45">0.0125*B183</f>
        <v>812.5</v>
      </c>
      <c r="D183" s="27">
        <v>44980</v>
      </c>
      <c r="E183" s="16" t="s">
        <v>11</v>
      </c>
      <c r="F183" s="16" t="s">
        <v>1448</v>
      </c>
    </row>
    <row r="184" spans="1:9">
      <c r="A184" s="16" t="s">
        <v>3711</v>
      </c>
      <c r="B184" s="20">
        <v>50000</v>
      </c>
      <c r="C184" s="20">
        <f t="shared" si="45"/>
        <v>625</v>
      </c>
      <c r="D184" s="27">
        <v>44980</v>
      </c>
      <c r="E184" s="16" t="s">
        <v>11</v>
      </c>
      <c r="F184" s="16" t="s">
        <v>1448</v>
      </c>
    </row>
    <row r="185" spans="1:9">
      <c r="A185" s="16" t="s">
        <v>3712</v>
      </c>
      <c r="B185" s="20">
        <v>20000</v>
      </c>
      <c r="C185" s="20">
        <f t="shared" ref="C185:C186" si="46">0.0175*B185</f>
        <v>350.00000000000006</v>
      </c>
      <c r="D185" s="27">
        <v>44980</v>
      </c>
      <c r="E185" s="16" t="s">
        <v>11</v>
      </c>
      <c r="F185" s="16" t="s">
        <v>28</v>
      </c>
    </row>
    <row r="186" spans="1:9">
      <c r="A186" s="16" t="s">
        <v>3713</v>
      </c>
      <c r="B186" s="20">
        <v>17500</v>
      </c>
      <c r="C186" s="20">
        <f t="shared" si="46"/>
        <v>306.25000000000006</v>
      </c>
      <c r="D186" s="27">
        <v>44980</v>
      </c>
      <c r="E186" s="16" t="s">
        <v>11</v>
      </c>
      <c r="F186" s="16" t="s">
        <v>28</v>
      </c>
    </row>
    <row r="187" spans="1:9">
      <c r="A187" s="16" t="s">
        <v>134</v>
      </c>
      <c r="B187" s="20">
        <v>160000</v>
      </c>
      <c r="C187" s="20">
        <f>0.0125*B187</f>
        <v>2000</v>
      </c>
      <c r="D187" s="27">
        <v>44980</v>
      </c>
      <c r="E187" s="16" t="s">
        <v>345</v>
      </c>
      <c r="F187" s="16" t="s">
        <v>1448</v>
      </c>
      <c r="H187" s="16" t="s">
        <v>13</v>
      </c>
    </row>
    <row r="188" spans="1:9">
      <c r="A188" s="16" t="s">
        <v>3714</v>
      </c>
      <c r="B188" s="20">
        <v>60000</v>
      </c>
      <c r="C188" s="20">
        <f>0.0175*B188</f>
        <v>1050</v>
      </c>
      <c r="D188" s="27">
        <v>44980</v>
      </c>
      <c r="E188" s="16" t="s">
        <v>11</v>
      </c>
      <c r="F188" s="16" t="s">
        <v>28</v>
      </c>
    </row>
    <row r="189" spans="1:9">
      <c r="A189" s="16" t="s">
        <v>3715</v>
      </c>
      <c r="B189" s="20">
        <v>710000</v>
      </c>
      <c r="C189" s="20">
        <f>0.0125*B189</f>
        <v>8875</v>
      </c>
      <c r="D189" s="27">
        <v>44980</v>
      </c>
      <c r="E189" s="16" t="s">
        <v>11</v>
      </c>
      <c r="F189" s="16" t="s">
        <v>1448</v>
      </c>
    </row>
    <row r="190" spans="1:9">
      <c r="A190" s="16" t="s">
        <v>3716</v>
      </c>
      <c r="B190" s="20">
        <v>500000</v>
      </c>
      <c r="C190" s="20">
        <f t="shared" ref="C190:C193" si="47">0.0175*B190</f>
        <v>8750</v>
      </c>
      <c r="D190" s="27">
        <v>44980</v>
      </c>
      <c r="E190" s="16" t="s">
        <v>75</v>
      </c>
      <c r="F190" s="16" t="s">
        <v>28</v>
      </c>
      <c r="I190" s="21" t="s">
        <v>30</v>
      </c>
    </row>
    <row r="191" spans="1:9">
      <c r="A191" s="16" t="s">
        <v>3717</v>
      </c>
      <c r="B191" s="20">
        <v>70000</v>
      </c>
      <c r="C191" s="20">
        <f t="shared" si="47"/>
        <v>1225.0000000000002</v>
      </c>
      <c r="D191" s="27">
        <v>44980</v>
      </c>
      <c r="E191" s="16" t="s">
        <v>11</v>
      </c>
      <c r="F191" s="16" t="s">
        <v>28</v>
      </c>
      <c r="I191" s="21" t="s">
        <v>30</v>
      </c>
    </row>
    <row r="192" spans="1:9">
      <c r="A192" s="16" t="s">
        <v>3718</v>
      </c>
      <c r="B192" s="20">
        <v>225000</v>
      </c>
      <c r="C192" s="20">
        <f t="shared" si="47"/>
        <v>3937.5000000000005</v>
      </c>
      <c r="D192" s="27">
        <v>44980</v>
      </c>
      <c r="E192" s="16" t="s">
        <v>60</v>
      </c>
      <c r="F192" s="16" t="s">
        <v>28</v>
      </c>
      <c r="I192" s="21" t="s">
        <v>30</v>
      </c>
    </row>
    <row r="193" spans="1:9">
      <c r="A193" s="16" t="s">
        <v>3719</v>
      </c>
      <c r="B193" s="20">
        <v>40000</v>
      </c>
      <c r="C193" s="20">
        <f t="shared" si="47"/>
        <v>700.00000000000011</v>
      </c>
      <c r="D193" s="27">
        <v>44981</v>
      </c>
      <c r="E193" s="16" t="s">
        <v>60</v>
      </c>
      <c r="F193" s="16" t="s">
        <v>28</v>
      </c>
      <c r="I193" s="21" t="s">
        <v>30</v>
      </c>
    </row>
    <row r="194" spans="1:9">
      <c r="A194" s="16" t="s">
        <v>3532</v>
      </c>
      <c r="B194" s="20">
        <v>90000</v>
      </c>
      <c r="C194" s="20">
        <f>0.0125*B194</f>
        <v>1125</v>
      </c>
      <c r="D194" s="27">
        <v>44981</v>
      </c>
      <c r="E194" s="16" t="s">
        <v>73</v>
      </c>
      <c r="F194" s="16" t="s">
        <v>1448</v>
      </c>
    </row>
    <row r="195" spans="1:9">
      <c r="A195" s="16" t="s">
        <v>3720</v>
      </c>
      <c r="B195" s="20">
        <v>30000</v>
      </c>
      <c r="C195" s="20">
        <f t="shared" ref="C195:C196" si="48">0.0175*B195</f>
        <v>525</v>
      </c>
      <c r="D195" s="27">
        <v>44981</v>
      </c>
      <c r="E195" s="16" t="s">
        <v>11</v>
      </c>
      <c r="F195" s="16" t="s">
        <v>28</v>
      </c>
    </row>
    <row r="196" spans="1:9">
      <c r="A196" s="16" t="s">
        <v>3684</v>
      </c>
      <c r="B196" s="20">
        <v>2000000</v>
      </c>
      <c r="C196" s="20">
        <f t="shared" si="48"/>
        <v>35000</v>
      </c>
      <c r="D196" s="27">
        <v>44984</v>
      </c>
      <c r="E196" s="16" t="s">
        <v>11</v>
      </c>
      <c r="F196" s="16" t="s">
        <v>28</v>
      </c>
    </row>
    <row r="197" spans="1:9">
      <c r="A197" s="16" t="s">
        <v>1239</v>
      </c>
      <c r="B197" s="20">
        <v>500000</v>
      </c>
      <c r="C197" s="20">
        <f>0.0125*B197</f>
        <v>6250</v>
      </c>
      <c r="D197" s="27">
        <v>44984</v>
      </c>
      <c r="E197" s="16" t="s">
        <v>11</v>
      </c>
      <c r="F197" s="16" t="s">
        <v>1448</v>
      </c>
    </row>
    <row r="198" spans="1:9">
      <c r="A198" s="16" t="s">
        <v>3721</v>
      </c>
      <c r="B198" s="20">
        <v>90000</v>
      </c>
      <c r="C198" s="20">
        <f t="shared" ref="C198:C199" si="49">0.0175*B198</f>
        <v>1575.0000000000002</v>
      </c>
      <c r="D198" s="27">
        <v>44984</v>
      </c>
      <c r="E198" s="16" t="s">
        <v>1530</v>
      </c>
      <c r="F198" s="16" t="s">
        <v>28</v>
      </c>
      <c r="I198" s="21" t="s">
        <v>30</v>
      </c>
    </row>
    <row r="199" spans="1:9">
      <c r="A199" s="16" t="s">
        <v>3722</v>
      </c>
      <c r="B199" s="20">
        <v>275000</v>
      </c>
      <c r="C199" s="20">
        <f t="shared" si="49"/>
        <v>4812.5000000000009</v>
      </c>
      <c r="D199" s="27">
        <v>44985</v>
      </c>
      <c r="E199" s="16" t="s">
        <v>3566</v>
      </c>
      <c r="F199" s="16" t="s">
        <v>28</v>
      </c>
      <c r="I199" s="21" t="s">
        <v>30</v>
      </c>
    </row>
    <row r="200" spans="1:9">
      <c r="A200" s="16" t="s">
        <v>3723</v>
      </c>
      <c r="B200" s="20">
        <v>250000</v>
      </c>
      <c r="C200" s="20">
        <f t="shared" ref="C200:C201" si="50">0.0125*B200</f>
        <v>3125</v>
      </c>
      <c r="D200" s="27">
        <v>44985</v>
      </c>
      <c r="E200" s="16" t="s">
        <v>11</v>
      </c>
      <c r="F200" s="16" t="s">
        <v>1448</v>
      </c>
    </row>
    <row r="201" spans="1:9">
      <c r="A201" s="16" t="s">
        <v>3724</v>
      </c>
      <c r="B201" s="20">
        <v>250000</v>
      </c>
      <c r="C201" s="20">
        <f t="shared" si="50"/>
        <v>3125</v>
      </c>
      <c r="D201" s="27">
        <v>44985</v>
      </c>
      <c r="E201" s="16" t="s">
        <v>11</v>
      </c>
      <c r="F201" s="16" t="s">
        <v>1448</v>
      </c>
    </row>
    <row r="202" spans="1:9">
      <c r="A202" s="16" t="s">
        <v>3725</v>
      </c>
      <c r="B202" s="20">
        <v>175000</v>
      </c>
      <c r="C202" s="20">
        <f t="shared" ref="C202:C206" si="51">0.0175*B202</f>
        <v>3062.5000000000005</v>
      </c>
      <c r="D202" s="27">
        <v>44985</v>
      </c>
      <c r="E202" s="16" t="s">
        <v>69</v>
      </c>
      <c r="F202" s="16" t="s">
        <v>28</v>
      </c>
      <c r="H202" s="16" t="s">
        <v>13</v>
      </c>
      <c r="I202" s="21" t="s">
        <v>30</v>
      </c>
    </row>
    <row r="203" spans="1:9">
      <c r="A203" s="16" t="s">
        <v>3726</v>
      </c>
      <c r="B203" s="20">
        <v>100000</v>
      </c>
      <c r="C203" s="20">
        <f t="shared" si="51"/>
        <v>1750.0000000000002</v>
      </c>
      <c r="D203" s="27">
        <v>44985</v>
      </c>
      <c r="E203" s="16" t="s">
        <v>345</v>
      </c>
      <c r="F203" s="16" t="s">
        <v>28</v>
      </c>
      <c r="H203" s="16" t="s">
        <v>13</v>
      </c>
      <c r="I203" s="21" t="s">
        <v>30</v>
      </c>
    </row>
    <row r="204" spans="1:9">
      <c r="A204" s="16" t="s">
        <v>3727</v>
      </c>
      <c r="B204" s="20">
        <v>50000</v>
      </c>
      <c r="C204" s="20">
        <f t="shared" si="51"/>
        <v>875.00000000000011</v>
      </c>
      <c r="D204" s="27">
        <v>44985</v>
      </c>
      <c r="E204" s="16" t="s">
        <v>11</v>
      </c>
      <c r="F204" s="16" t="s">
        <v>28</v>
      </c>
      <c r="I204" s="21" t="s">
        <v>30</v>
      </c>
    </row>
    <row r="205" spans="1:9">
      <c r="A205" s="16" t="s">
        <v>3728</v>
      </c>
      <c r="B205" s="20">
        <v>100000</v>
      </c>
      <c r="C205" s="20">
        <f t="shared" si="51"/>
        <v>1750.0000000000002</v>
      </c>
      <c r="D205" s="27">
        <v>44985</v>
      </c>
      <c r="E205" s="16" t="s">
        <v>3729</v>
      </c>
      <c r="F205" s="16" t="s">
        <v>28</v>
      </c>
      <c r="I205" s="21" t="s">
        <v>30</v>
      </c>
    </row>
    <row r="206" spans="1:9">
      <c r="A206" s="16" t="s">
        <v>3730</v>
      </c>
      <c r="B206" s="20">
        <v>225000</v>
      </c>
      <c r="C206" s="20">
        <f t="shared" si="51"/>
        <v>3937.5000000000005</v>
      </c>
      <c r="D206" s="27">
        <v>44985</v>
      </c>
      <c r="E206" s="16" t="s">
        <v>60</v>
      </c>
      <c r="F206" s="16" t="s">
        <v>28</v>
      </c>
      <c r="I206" s="21" t="s">
        <v>30</v>
      </c>
    </row>
    <row r="207" spans="1:9">
      <c r="A207" s="16" t="s">
        <v>3731</v>
      </c>
      <c r="B207" s="20">
        <v>140000</v>
      </c>
      <c r="C207" s="20">
        <f t="shared" ref="C207:C208" si="52">0.0125*B207</f>
        <v>1750</v>
      </c>
      <c r="D207" s="27">
        <v>44985</v>
      </c>
      <c r="E207" s="16" t="s">
        <v>11</v>
      </c>
      <c r="F207" s="16" t="s">
        <v>1448</v>
      </c>
    </row>
    <row r="208" spans="1:9">
      <c r="A208" s="16" t="s">
        <v>3732</v>
      </c>
      <c r="B208" s="20">
        <v>52662</v>
      </c>
      <c r="C208" s="20">
        <f t="shared" si="52"/>
        <v>658.27500000000009</v>
      </c>
      <c r="D208" s="27">
        <v>44981</v>
      </c>
      <c r="E208" s="16" t="s">
        <v>11</v>
      </c>
      <c r="F208" s="16" t="s">
        <v>1448</v>
      </c>
    </row>
    <row r="209" spans="1:11">
      <c r="A209" s="16" t="s">
        <v>3733</v>
      </c>
      <c r="B209" s="20">
        <v>40000</v>
      </c>
      <c r="C209" s="20">
        <f t="shared" ref="C209:C210" si="53">0.0175*B209</f>
        <v>700.00000000000011</v>
      </c>
      <c r="D209" s="27">
        <v>44981</v>
      </c>
      <c r="E209" s="16" t="s">
        <v>11</v>
      </c>
      <c r="F209" s="16" t="s">
        <v>28</v>
      </c>
    </row>
    <row r="210" spans="1:11">
      <c r="A210" s="16" t="s">
        <v>3734</v>
      </c>
      <c r="B210" s="20">
        <v>100000</v>
      </c>
      <c r="C210" s="20">
        <f t="shared" si="53"/>
        <v>1750.0000000000002</v>
      </c>
      <c r="D210" s="27">
        <v>44981</v>
      </c>
      <c r="E210" s="16" t="s">
        <v>11</v>
      </c>
      <c r="F210" s="16" t="s">
        <v>28</v>
      </c>
    </row>
    <row r="211" spans="1:11">
      <c r="A211" s="16" t="s">
        <v>2301</v>
      </c>
      <c r="B211" s="20">
        <v>62000</v>
      </c>
      <c r="C211" s="20">
        <f>0.0125*B211</f>
        <v>775</v>
      </c>
      <c r="D211" s="27">
        <v>44985</v>
      </c>
      <c r="E211" s="16" t="s">
        <v>11</v>
      </c>
      <c r="F211" s="16" t="s">
        <v>1448</v>
      </c>
    </row>
    <row r="212" spans="1:11">
      <c r="A212" s="16" t="s">
        <v>3735</v>
      </c>
      <c r="B212" s="20">
        <v>25000</v>
      </c>
      <c r="C212" s="20">
        <f>0.0175*B212</f>
        <v>437.50000000000006</v>
      </c>
      <c r="D212" s="27">
        <v>44981</v>
      </c>
      <c r="E212" s="16" t="s">
        <v>11</v>
      </c>
      <c r="F212" s="16" t="s">
        <v>28</v>
      </c>
    </row>
    <row r="213" spans="1:11">
      <c r="A213" s="16" t="s">
        <v>3666</v>
      </c>
      <c r="B213" s="20">
        <v>80000</v>
      </c>
      <c r="C213" s="20">
        <f>0.0125*B213</f>
        <v>1000</v>
      </c>
      <c r="D213" s="27">
        <v>44965</v>
      </c>
      <c r="E213" s="16" t="s">
        <v>11</v>
      </c>
      <c r="F213" s="16" t="s">
        <v>1448</v>
      </c>
    </row>
    <row r="214" spans="1:11">
      <c r="A214" s="11">
        <v>44986</v>
      </c>
      <c r="B214" s="9">
        <f t="shared" ref="B214:C214" si="54">SUM(B215:B315)</f>
        <v>24100000</v>
      </c>
      <c r="C214" s="9">
        <f t="shared" si="54"/>
        <v>350902.5</v>
      </c>
      <c r="D214" s="59"/>
      <c r="E214" s="59"/>
      <c r="F214" s="59"/>
      <c r="G214" s="59"/>
    </row>
    <row r="215" spans="1:11">
      <c r="A215" s="16" t="s">
        <v>3736</v>
      </c>
      <c r="B215" s="20">
        <v>145000</v>
      </c>
      <c r="C215" s="20">
        <f>0.0125*B215</f>
        <v>1812.5</v>
      </c>
      <c r="D215" s="27">
        <v>44986</v>
      </c>
      <c r="E215" s="16" t="s">
        <v>902</v>
      </c>
      <c r="F215" s="16" t="s">
        <v>1448</v>
      </c>
    </row>
    <row r="216" spans="1:11">
      <c r="A216" s="16" t="s">
        <v>3737</v>
      </c>
      <c r="B216" s="20">
        <v>375000</v>
      </c>
      <c r="C216" s="20">
        <f t="shared" ref="C216:C217" si="55">0.0175*B216</f>
        <v>6562.5000000000009</v>
      </c>
      <c r="D216" s="27">
        <v>44986</v>
      </c>
      <c r="E216" s="16" t="s">
        <v>3729</v>
      </c>
      <c r="F216" s="16" t="s">
        <v>28</v>
      </c>
      <c r="I216" s="21" t="s">
        <v>30</v>
      </c>
    </row>
    <row r="217" spans="1:11">
      <c r="A217" s="16" t="s">
        <v>3738</v>
      </c>
      <c r="B217" s="20">
        <v>400000</v>
      </c>
      <c r="C217" s="20">
        <f t="shared" si="55"/>
        <v>7000.0000000000009</v>
      </c>
      <c r="D217" s="27">
        <v>44986</v>
      </c>
      <c r="E217" s="16" t="s">
        <v>11</v>
      </c>
      <c r="F217" s="16" t="s">
        <v>28</v>
      </c>
      <c r="I217" s="21" t="s">
        <v>30</v>
      </c>
    </row>
    <row r="218" spans="1:11">
      <c r="A218" s="16" t="s">
        <v>3739</v>
      </c>
      <c r="B218" s="20">
        <v>75000</v>
      </c>
      <c r="C218" s="20">
        <f>0.075*B218</f>
        <v>5625</v>
      </c>
      <c r="D218" s="27">
        <v>44987</v>
      </c>
      <c r="E218" s="16" t="s">
        <v>11</v>
      </c>
      <c r="F218" s="16" t="s">
        <v>28</v>
      </c>
      <c r="I218" s="23"/>
    </row>
    <row r="219" spans="1:11">
      <c r="A219" s="16" t="s">
        <v>3740</v>
      </c>
      <c r="B219" s="20">
        <v>125000</v>
      </c>
      <c r="C219" s="20">
        <f t="shared" ref="C219:C221" si="56">0.0175*B219</f>
        <v>2187.5</v>
      </c>
      <c r="D219" s="27">
        <v>44987</v>
      </c>
      <c r="E219" s="16" t="s">
        <v>69</v>
      </c>
      <c r="F219" s="16" t="s">
        <v>28</v>
      </c>
      <c r="H219" s="16" t="s">
        <v>13</v>
      </c>
      <c r="I219" s="21" t="s">
        <v>30</v>
      </c>
    </row>
    <row r="220" spans="1:11">
      <c r="A220" s="16" t="s">
        <v>3741</v>
      </c>
      <c r="B220" s="20">
        <v>40000</v>
      </c>
      <c r="C220" s="20">
        <f t="shared" si="56"/>
        <v>700.00000000000011</v>
      </c>
      <c r="D220" s="27">
        <v>44988</v>
      </c>
      <c r="E220" s="16" t="s">
        <v>11</v>
      </c>
      <c r="F220" s="16" t="s">
        <v>28</v>
      </c>
      <c r="K220" s="16" t="s">
        <v>1449</v>
      </c>
    </row>
    <row r="221" spans="1:11">
      <c r="A221" s="16" t="s">
        <v>3742</v>
      </c>
      <c r="B221" s="20">
        <v>87000</v>
      </c>
      <c r="C221" s="20">
        <f t="shared" si="56"/>
        <v>1522.5000000000002</v>
      </c>
      <c r="D221" s="27">
        <v>44988</v>
      </c>
      <c r="E221" s="16" t="s">
        <v>11</v>
      </c>
      <c r="F221" s="16" t="s">
        <v>28</v>
      </c>
      <c r="I221" s="21" t="s">
        <v>30</v>
      </c>
    </row>
    <row r="222" spans="1:11">
      <c r="A222" s="16" t="s">
        <v>3743</v>
      </c>
      <c r="B222" s="20">
        <v>52500</v>
      </c>
      <c r="C222" s="20">
        <f>0.0125*B222</f>
        <v>656.25</v>
      </c>
      <c r="D222" s="27">
        <v>44988</v>
      </c>
      <c r="E222" s="16" t="s">
        <v>11</v>
      </c>
      <c r="F222" s="16" t="s">
        <v>1448</v>
      </c>
    </row>
    <row r="223" spans="1:11">
      <c r="A223" s="16" t="s">
        <v>3744</v>
      </c>
      <c r="B223" s="20">
        <v>1000000</v>
      </c>
      <c r="C223" s="20">
        <f>0.0175*B223</f>
        <v>17500</v>
      </c>
      <c r="D223" s="27">
        <v>44988</v>
      </c>
      <c r="E223" s="16" t="s">
        <v>3745</v>
      </c>
      <c r="F223" s="16" t="s">
        <v>28</v>
      </c>
      <c r="I223" s="21" t="s">
        <v>30</v>
      </c>
    </row>
    <row r="224" spans="1:11">
      <c r="A224" s="16" t="s">
        <v>3746</v>
      </c>
      <c r="B224" s="20">
        <v>50000</v>
      </c>
      <c r="C224" s="20">
        <f>0.0125*B224</f>
        <v>625</v>
      </c>
      <c r="D224" s="27">
        <v>44988</v>
      </c>
      <c r="E224" s="16" t="s">
        <v>11</v>
      </c>
      <c r="F224" s="16" t="s">
        <v>1448</v>
      </c>
    </row>
    <row r="225" spans="1:9">
      <c r="A225" s="16" t="s">
        <v>3747</v>
      </c>
      <c r="B225" s="20">
        <v>100000</v>
      </c>
      <c r="C225" s="20">
        <f t="shared" ref="C225:C226" si="57">0.0175*B225</f>
        <v>1750.0000000000002</v>
      </c>
      <c r="D225" s="27">
        <v>44991</v>
      </c>
      <c r="E225" s="16" t="s">
        <v>69</v>
      </c>
      <c r="F225" s="16" t="s">
        <v>28</v>
      </c>
      <c r="H225" s="16" t="s">
        <v>13</v>
      </c>
      <c r="I225" s="21" t="s">
        <v>30</v>
      </c>
    </row>
    <row r="226" spans="1:9">
      <c r="A226" s="16" t="s">
        <v>3748</v>
      </c>
      <c r="B226" s="20">
        <v>175000</v>
      </c>
      <c r="C226" s="20">
        <f t="shared" si="57"/>
        <v>3062.5000000000005</v>
      </c>
      <c r="D226" s="27">
        <v>44991</v>
      </c>
      <c r="E226" s="16" t="s">
        <v>60</v>
      </c>
      <c r="F226" s="16" t="s">
        <v>28</v>
      </c>
      <c r="I226" s="21" t="s">
        <v>30</v>
      </c>
    </row>
    <row r="227" spans="1:9">
      <c r="A227" s="16" t="s">
        <v>2807</v>
      </c>
      <c r="B227" s="20">
        <v>3500000</v>
      </c>
      <c r="C227" s="20">
        <f>0.0125*B227</f>
        <v>43750</v>
      </c>
      <c r="D227" s="27">
        <v>44992</v>
      </c>
      <c r="E227" s="16" t="s">
        <v>92</v>
      </c>
      <c r="F227" s="16" t="s">
        <v>1448</v>
      </c>
    </row>
    <row r="228" spans="1:9">
      <c r="A228" s="16" t="s">
        <v>3749</v>
      </c>
      <c r="B228" s="20">
        <v>200000</v>
      </c>
      <c r="C228" s="20">
        <f t="shared" ref="C228:C231" si="58">0.0175*B228</f>
        <v>3500.0000000000005</v>
      </c>
      <c r="D228" s="27">
        <v>44992</v>
      </c>
      <c r="E228" s="16" t="s">
        <v>69</v>
      </c>
      <c r="F228" s="16" t="s">
        <v>28</v>
      </c>
      <c r="H228" s="16" t="s">
        <v>13</v>
      </c>
      <c r="I228" s="21" t="s">
        <v>30</v>
      </c>
    </row>
    <row r="229" spans="1:9">
      <c r="A229" s="16" t="s">
        <v>3750</v>
      </c>
      <c r="B229" s="20">
        <v>25000</v>
      </c>
      <c r="C229" s="20">
        <f t="shared" si="58"/>
        <v>437.50000000000006</v>
      </c>
      <c r="D229" s="27">
        <v>44992</v>
      </c>
      <c r="E229" s="16" t="s">
        <v>60</v>
      </c>
      <c r="F229" s="16" t="s">
        <v>28</v>
      </c>
      <c r="I229" s="21" t="s">
        <v>30</v>
      </c>
    </row>
    <row r="230" spans="1:9">
      <c r="A230" s="16" t="s">
        <v>3751</v>
      </c>
      <c r="B230" s="20">
        <v>30000</v>
      </c>
      <c r="C230" s="20">
        <f t="shared" si="58"/>
        <v>525</v>
      </c>
      <c r="D230" s="27">
        <v>44993</v>
      </c>
      <c r="E230" s="16" t="s">
        <v>11</v>
      </c>
      <c r="F230" s="16" t="s">
        <v>28</v>
      </c>
      <c r="I230" s="21" t="s">
        <v>30</v>
      </c>
    </row>
    <row r="231" spans="1:9">
      <c r="A231" s="16" t="s">
        <v>3752</v>
      </c>
      <c r="B231" s="20">
        <v>100000</v>
      </c>
      <c r="C231" s="20">
        <f t="shared" si="58"/>
        <v>1750.0000000000002</v>
      </c>
      <c r="D231" s="27">
        <v>44993</v>
      </c>
      <c r="E231" s="16" t="s">
        <v>3753</v>
      </c>
      <c r="F231" s="16" t="s">
        <v>28</v>
      </c>
      <c r="H231" s="16" t="s">
        <v>13</v>
      </c>
      <c r="I231" s="21" t="s">
        <v>30</v>
      </c>
    </row>
    <row r="232" spans="1:9">
      <c r="A232" s="16" t="s">
        <v>3754</v>
      </c>
      <c r="B232" s="20">
        <v>100000</v>
      </c>
      <c r="C232" s="20">
        <f t="shared" ref="C232:C236" si="59">0.0125*B232</f>
        <v>1250</v>
      </c>
      <c r="D232" s="27">
        <v>44993</v>
      </c>
      <c r="E232" s="16" t="s">
        <v>11</v>
      </c>
      <c r="F232" s="16" t="s">
        <v>1448</v>
      </c>
    </row>
    <row r="233" spans="1:9">
      <c r="A233" s="16" t="s">
        <v>3755</v>
      </c>
      <c r="B233" s="20">
        <v>275000</v>
      </c>
      <c r="C233" s="20">
        <f t="shared" si="59"/>
        <v>3437.5</v>
      </c>
      <c r="D233" s="27">
        <v>44993</v>
      </c>
      <c r="E233" s="16" t="s">
        <v>60</v>
      </c>
      <c r="F233" s="16" t="s">
        <v>1448</v>
      </c>
    </row>
    <row r="234" spans="1:9">
      <c r="A234" s="16" t="s">
        <v>3756</v>
      </c>
      <c r="B234" s="20">
        <v>225000</v>
      </c>
      <c r="C234" s="20">
        <f t="shared" si="59"/>
        <v>2812.5</v>
      </c>
      <c r="D234" s="27">
        <v>44993</v>
      </c>
      <c r="E234" s="16" t="s">
        <v>3757</v>
      </c>
      <c r="F234" s="16" t="s">
        <v>1448</v>
      </c>
    </row>
    <row r="235" spans="1:9">
      <c r="A235" s="16" t="s">
        <v>3758</v>
      </c>
      <c r="B235" s="20">
        <v>205000</v>
      </c>
      <c r="C235" s="20">
        <f t="shared" si="59"/>
        <v>2562.5</v>
      </c>
      <c r="D235" s="27">
        <v>44993</v>
      </c>
      <c r="E235" s="16" t="s">
        <v>2328</v>
      </c>
      <c r="F235" s="16" t="s">
        <v>1448</v>
      </c>
      <c r="H235" s="16" t="s">
        <v>13</v>
      </c>
    </row>
    <row r="236" spans="1:9">
      <c r="A236" s="16" t="s">
        <v>3759</v>
      </c>
      <c r="B236" s="20">
        <v>75000</v>
      </c>
      <c r="C236" s="20">
        <f t="shared" si="59"/>
        <v>937.5</v>
      </c>
      <c r="D236" s="27">
        <v>44993</v>
      </c>
      <c r="E236" s="16" t="s">
        <v>11</v>
      </c>
      <c r="F236" s="16" t="s">
        <v>1448</v>
      </c>
    </row>
    <row r="237" spans="1:9">
      <c r="A237" s="16" t="s">
        <v>3760</v>
      </c>
      <c r="B237" s="20">
        <v>100000</v>
      </c>
      <c r="C237" s="20">
        <f>0.0175*B237</f>
        <v>1750.0000000000002</v>
      </c>
      <c r="D237" s="27">
        <v>44994</v>
      </c>
      <c r="E237" s="16" t="s">
        <v>11</v>
      </c>
      <c r="F237" s="16" t="s">
        <v>28</v>
      </c>
    </row>
    <row r="238" spans="1:9">
      <c r="A238" s="16" t="s">
        <v>589</v>
      </c>
      <c r="B238" s="20">
        <v>283000</v>
      </c>
      <c r="C238" s="20">
        <f t="shared" ref="C238:C239" si="60">0.0125*B238</f>
        <v>3537.5</v>
      </c>
      <c r="D238" s="27">
        <v>44994</v>
      </c>
      <c r="E238" s="16" t="s">
        <v>73</v>
      </c>
      <c r="F238" s="16" t="s">
        <v>1448</v>
      </c>
    </row>
    <row r="239" spans="1:9">
      <c r="A239" s="16" t="s">
        <v>3761</v>
      </c>
      <c r="B239" s="20">
        <v>605000</v>
      </c>
      <c r="C239" s="20">
        <f t="shared" si="60"/>
        <v>7562.5</v>
      </c>
      <c r="D239" s="27">
        <v>44994</v>
      </c>
      <c r="E239" s="16" t="s">
        <v>11</v>
      </c>
      <c r="F239" s="16" t="s">
        <v>1448</v>
      </c>
    </row>
    <row r="240" spans="1:9">
      <c r="A240" s="16" t="s">
        <v>3762</v>
      </c>
      <c r="B240" s="20">
        <v>350000</v>
      </c>
      <c r="C240" s="20">
        <f t="shared" ref="C240:C241" si="61">0.0175*B240</f>
        <v>6125.0000000000009</v>
      </c>
      <c r="D240" s="27">
        <v>44994</v>
      </c>
      <c r="E240" s="16" t="s">
        <v>2104</v>
      </c>
      <c r="F240" s="16" t="s">
        <v>28</v>
      </c>
    </row>
    <row r="241" spans="1:9">
      <c r="A241" s="16" t="s">
        <v>3763</v>
      </c>
      <c r="B241" s="20">
        <v>30000</v>
      </c>
      <c r="C241" s="20">
        <f t="shared" si="61"/>
        <v>525</v>
      </c>
      <c r="D241" s="27">
        <v>44994</v>
      </c>
      <c r="E241" s="16" t="s">
        <v>11</v>
      </c>
      <c r="F241" s="16" t="s">
        <v>28</v>
      </c>
    </row>
    <row r="242" spans="1:9">
      <c r="A242" s="16" t="s">
        <v>299</v>
      </c>
      <c r="B242" s="20">
        <v>110000</v>
      </c>
      <c r="C242" s="20">
        <f t="shared" ref="C242:C244" si="62">0.0125*B242</f>
        <v>1375</v>
      </c>
      <c r="D242" s="27">
        <v>44994</v>
      </c>
      <c r="E242" s="16" t="s">
        <v>11</v>
      </c>
      <c r="F242" s="16" t="s">
        <v>1448</v>
      </c>
    </row>
    <row r="243" spans="1:9">
      <c r="A243" s="16" t="s">
        <v>2274</v>
      </c>
      <c r="B243" s="20">
        <v>60000</v>
      </c>
      <c r="C243" s="20">
        <f t="shared" si="62"/>
        <v>750</v>
      </c>
      <c r="D243" s="27">
        <v>44994</v>
      </c>
      <c r="E243" s="16" t="s">
        <v>11</v>
      </c>
      <c r="F243" s="16" t="s">
        <v>1448</v>
      </c>
    </row>
    <row r="244" spans="1:9">
      <c r="A244" s="16" t="s">
        <v>2886</v>
      </c>
      <c r="B244" s="20">
        <v>7000</v>
      </c>
      <c r="C244" s="20">
        <f t="shared" si="62"/>
        <v>87.5</v>
      </c>
      <c r="D244" s="27">
        <v>44994</v>
      </c>
      <c r="E244" s="16" t="s">
        <v>11</v>
      </c>
      <c r="F244" s="16" t="s">
        <v>1448</v>
      </c>
    </row>
    <row r="245" spans="1:9">
      <c r="A245" s="16" t="s">
        <v>3764</v>
      </c>
      <c r="B245" s="20">
        <v>100000</v>
      </c>
      <c r="C245" s="20">
        <f>0.0175*B245</f>
        <v>1750.0000000000002</v>
      </c>
      <c r="D245" s="27">
        <v>44994</v>
      </c>
      <c r="E245" s="16" t="s">
        <v>11</v>
      </c>
      <c r="F245" s="16" t="s">
        <v>28</v>
      </c>
    </row>
    <row r="246" spans="1:9">
      <c r="A246" s="16" t="s">
        <v>3765</v>
      </c>
      <c r="B246" s="20">
        <v>52500</v>
      </c>
      <c r="C246" s="20">
        <f t="shared" ref="C246:C249" si="63">0.0125*B246</f>
        <v>656.25</v>
      </c>
      <c r="D246" s="27">
        <v>44994</v>
      </c>
      <c r="E246" s="16" t="s">
        <v>11</v>
      </c>
      <c r="F246" s="16" t="s">
        <v>1448</v>
      </c>
    </row>
    <row r="247" spans="1:9">
      <c r="A247" s="16" t="s">
        <v>3766</v>
      </c>
      <c r="B247" s="20">
        <v>18000</v>
      </c>
      <c r="C247" s="20">
        <f t="shared" si="63"/>
        <v>225</v>
      </c>
      <c r="D247" s="27">
        <v>44994</v>
      </c>
      <c r="E247" s="16" t="s">
        <v>11</v>
      </c>
      <c r="F247" s="16" t="s">
        <v>1448</v>
      </c>
    </row>
    <row r="248" spans="1:9">
      <c r="A248" s="16" t="s">
        <v>3767</v>
      </c>
      <c r="B248" s="20">
        <v>10000</v>
      </c>
      <c r="C248" s="20">
        <f t="shared" si="63"/>
        <v>125</v>
      </c>
      <c r="D248" s="27">
        <v>44994</v>
      </c>
      <c r="E248" s="16" t="s">
        <v>11</v>
      </c>
      <c r="F248" s="16" t="s">
        <v>1448</v>
      </c>
    </row>
    <row r="249" spans="1:9">
      <c r="A249" s="16" t="s">
        <v>3768</v>
      </c>
      <c r="B249" s="20">
        <v>100000</v>
      </c>
      <c r="C249" s="20">
        <f t="shared" si="63"/>
        <v>1250</v>
      </c>
      <c r="D249" s="27">
        <v>44994</v>
      </c>
      <c r="E249" s="16" t="s">
        <v>11</v>
      </c>
      <c r="F249" s="16" t="s">
        <v>1448</v>
      </c>
    </row>
    <row r="250" spans="1:9">
      <c r="A250" s="16" t="s">
        <v>3769</v>
      </c>
      <c r="B250" s="20">
        <v>350000</v>
      </c>
      <c r="C250" s="20">
        <f t="shared" ref="C250:C251" si="64">0.0175*B250</f>
        <v>6125.0000000000009</v>
      </c>
      <c r="D250" s="27">
        <v>44995</v>
      </c>
      <c r="E250" s="16" t="s">
        <v>75</v>
      </c>
      <c r="F250" s="16" t="s">
        <v>28</v>
      </c>
      <c r="H250" s="16" t="s">
        <v>2092</v>
      </c>
      <c r="I250" s="21" t="s">
        <v>30</v>
      </c>
    </row>
    <row r="251" spans="1:9">
      <c r="A251" s="16" t="s">
        <v>3770</v>
      </c>
      <c r="B251" s="20">
        <v>500000</v>
      </c>
      <c r="C251" s="20">
        <f t="shared" si="64"/>
        <v>8750</v>
      </c>
      <c r="D251" s="27">
        <v>44998</v>
      </c>
      <c r="E251" s="16" t="s">
        <v>3559</v>
      </c>
      <c r="F251" s="16" t="s">
        <v>28</v>
      </c>
      <c r="I251" s="21" t="s">
        <v>30</v>
      </c>
    </row>
    <row r="252" spans="1:9">
      <c r="A252" s="16" t="s">
        <v>2454</v>
      </c>
      <c r="B252" s="20">
        <v>3500000</v>
      </c>
      <c r="C252" s="20">
        <f t="shared" ref="C252:C254" si="65">0.0125*B252</f>
        <v>43750</v>
      </c>
      <c r="D252" s="27">
        <v>44999</v>
      </c>
      <c r="E252" s="16" t="s">
        <v>11</v>
      </c>
      <c r="F252" s="16" t="s">
        <v>1448</v>
      </c>
    </row>
    <row r="253" spans="1:9">
      <c r="A253" s="16" t="s">
        <v>2111</v>
      </c>
      <c r="B253" s="20">
        <v>300000</v>
      </c>
      <c r="C253" s="20">
        <f t="shared" si="65"/>
        <v>3750</v>
      </c>
      <c r="D253" s="27">
        <v>44999</v>
      </c>
      <c r="E253" s="16" t="s">
        <v>11</v>
      </c>
      <c r="F253" s="16" t="s">
        <v>1448</v>
      </c>
    </row>
    <row r="254" spans="1:9">
      <c r="A254" s="16" t="s">
        <v>3027</v>
      </c>
      <c r="B254" s="20">
        <v>850000</v>
      </c>
      <c r="C254" s="20">
        <f t="shared" si="65"/>
        <v>10625</v>
      </c>
      <c r="D254" s="27">
        <v>44999</v>
      </c>
      <c r="E254" s="16" t="s">
        <v>11</v>
      </c>
      <c r="F254" s="16" t="s">
        <v>1448</v>
      </c>
    </row>
    <row r="255" spans="1:9">
      <c r="A255" s="16" t="s">
        <v>3771</v>
      </c>
      <c r="B255" s="20">
        <v>30000</v>
      </c>
      <c r="C255" s="20">
        <f t="shared" ref="C255:C257" si="66">0.0175*B255</f>
        <v>525</v>
      </c>
      <c r="D255" s="27">
        <v>44999</v>
      </c>
      <c r="E255" s="16" t="s">
        <v>11</v>
      </c>
      <c r="F255" s="16" t="s">
        <v>28</v>
      </c>
    </row>
    <row r="256" spans="1:9">
      <c r="A256" s="16" t="s">
        <v>3772</v>
      </c>
      <c r="B256" s="20">
        <v>300000</v>
      </c>
      <c r="C256" s="20">
        <f t="shared" si="66"/>
        <v>5250.0000000000009</v>
      </c>
      <c r="D256" s="27">
        <v>44999</v>
      </c>
      <c r="E256" s="16" t="s">
        <v>3729</v>
      </c>
      <c r="F256" s="16" t="s">
        <v>28</v>
      </c>
      <c r="I256" s="21" t="s">
        <v>30</v>
      </c>
    </row>
    <row r="257" spans="1:9">
      <c r="A257" s="16" t="s">
        <v>3773</v>
      </c>
      <c r="B257" s="20">
        <v>150000</v>
      </c>
      <c r="C257" s="20">
        <f t="shared" si="66"/>
        <v>2625.0000000000005</v>
      </c>
      <c r="D257" s="27">
        <v>44999</v>
      </c>
      <c r="E257" s="16" t="s">
        <v>3774</v>
      </c>
      <c r="F257" s="16" t="s">
        <v>28</v>
      </c>
      <c r="I257" s="21" t="s">
        <v>30</v>
      </c>
    </row>
    <row r="258" spans="1:9">
      <c r="A258" s="16" t="s">
        <v>3775</v>
      </c>
      <c r="B258" s="20">
        <v>280000</v>
      </c>
      <c r="C258" s="20">
        <f t="shared" ref="C258:C260" si="67">0.0125*B258</f>
        <v>3500</v>
      </c>
      <c r="D258" s="27">
        <v>45000</v>
      </c>
      <c r="E258" s="16" t="s">
        <v>11</v>
      </c>
      <c r="F258" s="16" t="s">
        <v>1448</v>
      </c>
    </row>
    <row r="259" spans="1:9">
      <c r="A259" s="16" t="s">
        <v>3776</v>
      </c>
      <c r="B259" s="20">
        <v>70000</v>
      </c>
      <c r="C259" s="20">
        <f t="shared" si="67"/>
        <v>875</v>
      </c>
      <c r="D259" s="27">
        <v>45000</v>
      </c>
      <c r="E259" s="16" t="s">
        <v>11</v>
      </c>
      <c r="F259" s="16" t="s">
        <v>1448</v>
      </c>
    </row>
    <row r="260" spans="1:9">
      <c r="A260" s="16" t="s">
        <v>3777</v>
      </c>
      <c r="B260" s="20">
        <v>50000</v>
      </c>
      <c r="C260" s="20">
        <f t="shared" si="67"/>
        <v>625</v>
      </c>
      <c r="D260" s="27">
        <v>45000</v>
      </c>
      <c r="E260" s="16" t="s">
        <v>11</v>
      </c>
      <c r="F260" s="16" t="s">
        <v>1448</v>
      </c>
    </row>
    <row r="261" spans="1:9">
      <c r="A261" s="16" t="s">
        <v>3778</v>
      </c>
      <c r="B261" s="20">
        <v>45000</v>
      </c>
      <c r="C261" s="20">
        <f t="shared" ref="C261:C262" si="68">0.0175*B261</f>
        <v>787.50000000000011</v>
      </c>
      <c r="D261" s="27">
        <v>45000</v>
      </c>
      <c r="E261" s="16" t="s">
        <v>2184</v>
      </c>
      <c r="F261" s="16" t="s">
        <v>28</v>
      </c>
      <c r="H261" s="16" t="s">
        <v>13</v>
      </c>
      <c r="I261" s="21" t="s">
        <v>30</v>
      </c>
    </row>
    <row r="262" spans="1:9">
      <c r="A262" s="16" t="s">
        <v>2352</v>
      </c>
      <c r="B262" s="20">
        <v>75000</v>
      </c>
      <c r="C262" s="20">
        <f t="shared" si="68"/>
        <v>1312.5000000000002</v>
      </c>
      <c r="D262" s="27">
        <v>45000</v>
      </c>
      <c r="E262" s="16" t="s">
        <v>11</v>
      </c>
      <c r="F262" s="16" t="s">
        <v>28</v>
      </c>
      <c r="I262" s="21" t="s">
        <v>30</v>
      </c>
    </row>
    <row r="263" spans="1:9">
      <c r="A263" s="16" t="s">
        <v>3779</v>
      </c>
      <c r="B263" s="20">
        <v>400000</v>
      </c>
      <c r="C263" s="20">
        <f>0.0125*B263</f>
        <v>5000</v>
      </c>
      <c r="D263" s="27">
        <v>45001</v>
      </c>
      <c r="E263" s="16" t="s">
        <v>11</v>
      </c>
      <c r="F263" s="16" t="s">
        <v>1448</v>
      </c>
    </row>
    <row r="264" spans="1:9">
      <c r="A264" s="16" t="s">
        <v>3780</v>
      </c>
      <c r="B264" s="20">
        <v>100000</v>
      </c>
      <c r="C264" s="20">
        <f>0.0175*B264</f>
        <v>1750.0000000000002</v>
      </c>
      <c r="D264" s="27">
        <v>45001</v>
      </c>
      <c r="E264" s="16" t="s">
        <v>11</v>
      </c>
      <c r="F264" s="16" t="s">
        <v>28</v>
      </c>
    </row>
    <row r="265" spans="1:9">
      <c r="A265" s="16" t="s">
        <v>391</v>
      </c>
      <c r="B265" s="20">
        <v>110000</v>
      </c>
      <c r="C265" s="20">
        <f t="shared" ref="C265:C267" si="69">0.0125*B265</f>
        <v>1375</v>
      </c>
      <c r="D265" s="27">
        <v>45001</v>
      </c>
      <c r="E265" s="16" t="s">
        <v>11</v>
      </c>
      <c r="F265" s="16" t="s">
        <v>1448</v>
      </c>
    </row>
    <row r="266" spans="1:9">
      <c r="A266" s="16" t="s">
        <v>3781</v>
      </c>
      <c r="B266" s="20">
        <v>20000</v>
      </c>
      <c r="C266" s="20">
        <f t="shared" si="69"/>
        <v>250</v>
      </c>
      <c r="D266" s="27">
        <v>45001</v>
      </c>
      <c r="E266" s="16" t="s">
        <v>11</v>
      </c>
      <c r="F266" s="16" t="s">
        <v>1448</v>
      </c>
    </row>
    <row r="267" spans="1:9">
      <c r="A267" s="16" t="s">
        <v>3782</v>
      </c>
      <c r="B267" s="20">
        <v>610000</v>
      </c>
      <c r="C267" s="20">
        <f t="shared" si="69"/>
        <v>7625</v>
      </c>
      <c r="D267" s="27">
        <v>45001</v>
      </c>
      <c r="E267" s="16" t="s">
        <v>11</v>
      </c>
      <c r="F267" s="16" t="s">
        <v>1448</v>
      </c>
    </row>
    <row r="268" spans="1:9">
      <c r="A268" s="16" t="s">
        <v>3783</v>
      </c>
      <c r="B268" s="20">
        <v>50000</v>
      </c>
      <c r="C268" s="20">
        <f t="shared" ref="C268:C270" si="70">0.0175*B268</f>
        <v>875.00000000000011</v>
      </c>
      <c r="D268" s="27">
        <v>45001</v>
      </c>
      <c r="E268" s="16" t="s">
        <v>11</v>
      </c>
      <c r="F268" s="16" t="s">
        <v>28</v>
      </c>
    </row>
    <row r="269" spans="1:9">
      <c r="A269" s="16" t="s">
        <v>2585</v>
      </c>
      <c r="B269" s="20">
        <v>40000</v>
      </c>
      <c r="C269" s="20">
        <f t="shared" si="70"/>
        <v>700.00000000000011</v>
      </c>
      <c r="D269" s="27">
        <v>45001</v>
      </c>
      <c r="E269" s="16" t="s">
        <v>11</v>
      </c>
      <c r="F269" s="16" t="s">
        <v>28</v>
      </c>
    </row>
    <row r="270" spans="1:9">
      <c r="A270" s="16" t="s">
        <v>3784</v>
      </c>
      <c r="B270" s="20">
        <v>45000</v>
      </c>
      <c r="C270" s="20">
        <f t="shared" si="70"/>
        <v>787.50000000000011</v>
      </c>
      <c r="D270" s="27">
        <v>45001</v>
      </c>
      <c r="E270" s="16" t="s">
        <v>11</v>
      </c>
      <c r="F270" s="16" t="s">
        <v>28</v>
      </c>
    </row>
    <row r="271" spans="1:9">
      <c r="A271" s="16" t="s">
        <v>2325</v>
      </c>
      <c r="B271" s="20">
        <v>45000</v>
      </c>
      <c r="C271" s="20">
        <f>0.0125*B271</f>
        <v>562.5</v>
      </c>
      <c r="D271" s="27">
        <v>45001</v>
      </c>
      <c r="E271" s="16" t="s">
        <v>11</v>
      </c>
      <c r="F271" s="16" t="s">
        <v>1448</v>
      </c>
    </row>
    <row r="272" spans="1:9">
      <c r="A272" s="16" t="s">
        <v>3785</v>
      </c>
      <c r="B272" s="33">
        <v>177000</v>
      </c>
      <c r="C272" s="33">
        <f t="shared" ref="C272:C274" si="71">0.0175*B272</f>
        <v>3097.5000000000005</v>
      </c>
      <c r="D272" s="27">
        <v>45001</v>
      </c>
      <c r="E272" s="16" t="s">
        <v>11</v>
      </c>
      <c r="F272" s="16" t="s">
        <v>28</v>
      </c>
      <c r="I272" s="21" t="s">
        <v>30</v>
      </c>
    </row>
    <row r="273" spans="1:9">
      <c r="A273" s="16" t="s">
        <v>3786</v>
      </c>
      <c r="B273" s="33">
        <v>250000</v>
      </c>
      <c r="C273" s="33">
        <f t="shared" si="71"/>
        <v>4375</v>
      </c>
      <c r="D273" s="27">
        <v>45005</v>
      </c>
      <c r="E273" s="16" t="s">
        <v>60</v>
      </c>
      <c r="F273" s="16" t="s">
        <v>28</v>
      </c>
      <c r="I273" s="21" t="s">
        <v>30</v>
      </c>
    </row>
    <row r="274" spans="1:9">
      <c r="A274" s="16" t="s">
        <v>3787</v>
      </c>
      <c r="B274" s="33">
        <v>200000</v>
      </c>
      <c r="C274" s="33">
        <f t="shared" si="71"/>
        <v>3500.0000000000005</v>
      </c>
      <c r="D274" s="27">
        <v>45005</v>
      </c>
      <c r="E274" s="16" t="s">
        <v>2120</v>
      </c>
      <c r="F274" s="16" t="s">
        <v>28</v>
      </c>
      <c r="I274" s="21" t="s">
        <v>30</v>
      </c>
    </row>
    <row r="275" spans="1:9">
      <c r="A275" s="16" t="s">
        <v>3117</v>
      </c>
      <c r="B275" s="33">
        <v>250000</v>
      </c>
      <c r="C275" s="33">
        <f>0.0125*B275</f>
        <v>3125</v>
      </c>
      <c r="D275" s="27">
        <v>45005</v>
      </c>
      <c r="E275" s="16" t="s">
        <v>11</v>
      </c>
      <c r="F275" s="16" t="s">
        <v>1448</v>
      </c>
    </row>
    <row r="276" spans="1:9">
      <c r="A276" s="16" t="s">
        <v>3788</v>
      </c>
      <c r="B276" s="33">
        <v>150000</v>
      </c>
      <c r="C276" s="33">
        <f t="shared" ref="C276:C280" si="72">0.0175*B276</f>
        <v>2625.0000000000005</v>
      </c>
      <c r="D276" s="27">
        <v>45005</v>
      </c>
      <c r="E276" s="16" t="s">
        <v>60</v>
      </c>
      <c r="F276" s="16" t="s">
        <v>28</v>
      </c>
      <c r="I276" s="21" t="s">
        <v>30</v>
      </c>
    </row>
    <row r="277" spans="1:9">
      <c r="A277" s="16" t="s">
        <v>3789</v>
      </c>
      <c r="B277" s="33">
        <v>190000</v>
      </c>
      <c r="C277" s="33">
        <f t="shared" si="72"/>
        <v>3325.0000000000005</v>
      </c>
      <c r="D277" s="27">
        <v>45006</v>
      </c>
      <c r="E277" s="16" t="s">
        <v>11</v>
      </c>
      <c r="F277" s="16" t="s">
        <v>28</v>
      </c>
    </row>
    <row r="278" spans="1:9">
      <c r="A278" s="16" t="s">
        <v>3790</v>
      </c>
      <c r="B278" s="33">
        <v>40000</v>
      </c>
      <c r="C278" s="33">
        <f t="shared" si="72"/>
        <v>700.00000000000011</v>
      </c>
      <c r="D278" s="27">
        <v>45006</v>
      </c>
      <c r="E278" s="16" t="s">
        <v>60</v>
      </c>
      <c r="F278" s="16" t="s">
        <v>28</v>
      </c>
    </row>
    <row r="279" spans="1:9">
      <c r="A279" s="16" t="s">
        <v>3791</v>
      </c>
      <c r="B279" s="33">
        <v>300000</v>
      </c>
      <c r="C279" s="33">
        <f t="shared" si="72"/>
        <v>5250.0000000000009</v>
      </c>
      <c r="D279" s="27">
        <v>45006</v>
      </c>
      <c r="E279" s="16" t="s">
        <v>3566</v>
      </c>
      <c r="F279" s="16" t="s">
        <v>28</v>
      </c>
      <c r="I279" s="21" t="s">
        <v>30</v>
      </c>
    </row>
    <row r="280" spans="1:9">
      <c r="A280" s="16" t="s">
        <v>3792</v>
      </c>
      <c r="B280" s="33">
        <v>150000</v>
      </c>
      <c r="C280" s="33">
        <f t="shared" si="72"/>
        <v>2625.0000000000005</v>
      </c>
      <c r="D280" s="27">
        <v>45007</v>
      </c>
      <c r="E280" s="16" t="s">
        <v>60</v>
      </c>
      <c r="F280" s="16" t="s">
        <v>28</v>
      </c>
      <c r="H280" s="16" t="s">
        <v>3793</v>
      </c>
    </row>
    <row r="281" spans="1:9">
      <c r="A281" s="16" t="s">
        <v>3083</v>
      </c>
      <c r="B281" s="33">
        <v>225000</v>
      </c>
      <c r="C281" s="33">
        <f t="shared" ref="C281:C283" si="73">0.0125*B281</f>
        <v>2812.5</v>
      </c>
      <c r="D281" s="27">
        <v>45007</v>
      </c>
      <c r="E281" s="16" t="s">
        <v>11</v>
      </c>
      <c r="F281" s="16" t="s">
        <v>1448</v>
      </c>
    </row>
    <row r="282" spans="1:9">
      <c r="A282" s="16" t="s">
        <v>3794</v>
      </c>
      <c r="B282" s="33">
        <v>150000</v>
      </c>
      <c r="C282" s="33">
        <f t="shared" si="73"/>
        <v>1875</v>
      </c>
      <c r="D282" s="27">
        <v>45007</v>
      </c>
      <c r="E282" s="16" t="s">
        <v>11</v>
      </c>
      <c r="F282" s="16" t="s">
        <v>1448</v>
      </c>
    </row>
    <row r="283" spans="1:9">
      <c r="A283" s="16" t="s">
        <v>3795</v>
      </c>
      <c r="B283" s="20">
        <v>550000</v>
      </c>
      <c r="C283" s="20">
        <f t="shared" si="73"/>
        <v>6875</v>
      </c>
      <c r="D283" s="27">
        <v>45008</v>
      </c>
      <c r="E283" s="16" t="s">
        <v>11</v>
      </c>
      <c r="F283" s="16" t="s">
        <v>1448</v>
      </c>
    </row>
    <row r="284" spans="1:9">
      <c r="A284" s="16" t="s">
        <v>3796</v>
      </c>
      <c r="B284" s="20">
        <v>50000</v>
      </c>
      <c r="C284" s="20">
        <f t="shared" ref="C284:C287" si="74">0.0175*B284</f>
        <v>875.00000000000011</v>
      </c>
      <c r="D284" s="27">
        <v>45008</v>
      </c>
      <c r="E284" s="16" t="s">
        <v>60</v>
      </c>
      <c r="F284" s="16" t="s">
        <v>28</v>
      </c>
      <c r="I284" s="21" t="s">
        <v>30</v>
      </c>
    </row>
    <row r="285" spans="1:9">
      <c r="A285" s="16" t="s">
        <v>3797</v>
      </c>
      <c r="B285" s="20">
        <v>200000</v>
      </c>
      <c r="C285" s="20">
        <f t="shared" si="74"/>
        <v>3500.0000000000005</v>
      </c>
      <c r="D285" s="27">
        <v>45008</v>
      </c>
      <c r="E285" s="16" t="s">
        <v>60</v>
      </c>
      <c r="F285" s="16" t="s">
        <v>28</v>
      </c>
      <c r="I285" s="21" t="s">
        <v>30</v>
      </c>
    </row>
    <row r="286" spans="1:9">
      <c r="A286" s="16" t="s">
        <v>3798</v>
      </c>
      <c r="B286" s="20">
        <v>250000</v>
      </c>
      <c r="C286" s="20">
        <f t="shared" si="74"/>
        <v>4375</v>
      </c>
      <c r="D286" s="27">
        <v>45008</v>
      </c>
      <c r="E286" s="16" t="s">
        <v>69</v>
      </c>
      <c r="F286" s="16" t="s">
        <v>28</v>
      </c>
      <c r="H286" s="16" t="s">
        <v>13</v>
      </c>
      <c r="I286" s="21" t="s">
        <v>30</v>
      </c>
    </row>
    <row r="287" spans="1:9">
      <c r="A287" s="16" t="s">
        <v>3799</v>
      </c>
      <c r="B287" s="20">
        <v>100000</v>
      </c>
      <c r="C287" s="20">
        <f t="shared" si="74"/>
        <v>1750.0000000000002</v>
      </c>
      <c r="D287" s="27">
        <v>45008</v>
      </c>
      <c r="E287" s="16" t="s">
        <v>60</v>
      </c>
      <c r="F287" s="16" t="s">
        <v>28</v>
      </c>
      <c r="I287" s="21" t="s">
        <v>30</v>
      </c>
    </row>
    <row r="288" spans="1:9">
      <c r="A288" s="16" t="s">
        <v>3800</v>
      </c>
      <c r="B288" s="20">
        <v>95000</v>
      </c>
      <c r="C288" s="20">
        <f t="shared" ref="C288:C290" si="75">0.0125*B288</f>
        <v>1187.5</v>
      </c>
      <c r="D288" s="27">
        <v>45008</v>
      </c>
      <c r="E288" s="16" t="s">
        <v>11</v>
      </c>
      <c r="F288" s="16" t="s">
        <v>1448</v>
      </c>
    </row>
    <row r="289" spans="1:9">
      <c r="A289" s="16" t="s">
        <v>3801</v>
      </c>
      <c r="B289" s="20">
        <v>30000</v>
      </c>
      <c r="C289" s="20">
        <f t="shared" si="75"/>
        <v>375</v>
      </c>
      <c r="D289" s="27">
        <v>45008</v>
      </c>
      <c r="E289" s="16" t="s">
        <v>11</v>
      </c>
      <c r="F289" s="16" t="s">
        <v>1448</v>
      </c>
    </row>
    <row r="290" spans="1:9">
      <c r="A290" s="16" t="s">
        <v>3802</v>
      </c>
      <c r="B290" s="20">
        <v>50000</v>
      </c>
      <c r="C290" s="20">
        <f t="shared" si="75"/>
        <v>625</v>
      </c>
      <c r="D290" s="27">
        <v>45008</v>
      </c>
      <c r="E290" s="16" t="s">
        <v>11</v>
      </c>
      <c r="F290" s="16" t="s">
        <v>1448</v>
      </c>
    </row>
    <row r="291" spans="1:9">
      <c r="A291" s="16" t="s">
        <v>3803</v>
      </c>
      <c r="B291" s="20">
        <v>50000</v>
      </c>
      <c r="C291" s="20">
        <f t="shared" ref="C291:C293" si="76">0.0175*B291</f>
        <v>875.00000000000011</v>
      </c>
      <c r="D291" s="27">
        <v>45008</v>
      </c>
      <c r="E291" s="16" t="s">
        <v>11</v>
      </c>
      <c r="F291" s="16" t="s">
        <v>28</v>
      </c>
      <c r="I291" s="21" t="s">
        <v>30</v>
      </c>
    </row>
    <row r="292" spans="1:9">
      <c r="A292" s="16" t="s">
        <v>380</v>
      </c>
      <c r="B292" s="20">
        <v>50000</v>
      </c>
      <c r="C292" s="20">
        <f t="shared" si="76"/>
        <v>875.00000000000011</v>
      </c>
      <c r="D292" s="27">
        <v>45008</v>
      </c>
      <c r="E292" s="16" t="s">
        <v>461</v>
      </c>
      <c r="F292" s="16" t="s">
        <v>28</v>
      </c>
      <c r="I292" s="21" t="s">
        <v>30</v>
      </c>
    </row>
    <row r="293" spans="1:9">
      <c r="A293" s="16" t="s">
        <v>3804</v>
      </c>
      <c r="B293" s="20">
        <v>25000</v>
      </c>
      <c r="C293" s="20">
        <f t="shared" si="76"/>
        <v>437.50000000000006</v>
      </c>
      <c r="D293" s="27">
        <v>45008</v>
      </c>
      <c r="E293" s="16" t="s">
        <v>11</v>
      </c>
      <c r="F293" s="16" t="s">
        <v>1448</v>
      </c>
    </row>
    <row r="294" spans="1:9">
      <c r="A294" s="16" t="s">
        <v>3805</v>
      </c>
      <c r="B294" s="20">
        <v>101500</v>
      </c>
      <c r="C294" s="20">
        <f t="shared" ref="C294:C296" si="77">0.0125*B294</f>
        <v>1268.75</v>
      </c>
      <c r="D294" s="27">
        <v>45008</v>
      </c>
      <c r="E294" s="16" t="s">
        <v>11</v>
      </c>
      <c r="F294" s="16" t="s">
        <v>1448</v>
      </c>
    </row>
    <row r="295" spans="1:9">
      <c r="A295" s="16" t="s">
        <v>3806</v>
      </c>
      <c r="B295" s="20">
        <v>70000</v>
      </c>
      <c r="C295" s="20">
        <f t="shared" si="77"/>
        <v>875</v>
      </c>
      <c r="D295" s="27">
        <v>45008</v>
      </c>
      <c r="E295" s="16" t="s">
        <v>11</v>
      </c>
      <c r="F295" s="16" t="s">
        <v>1448</v>
      </c>
    </row>
    <row r="296" spans="1:9">
      <c r="A296" s="16" t="s">
        <v>3807</v>
      </c>
      <c r="B296" s="20">
        <v>52500</v>
      </c>
      <c r="C296" s="20">
        <f t="shared" si="77"/>
        <v>656.25</v>
      </c>
      <c r="D296" s="27">
        <v>45008</v>
      </c>
      <c r="E296" s="16" t="s">
        <v>11</v>
      </c>
      <c r="F296" s="16" t="s">
        <v>1448</v>
      </c>
    </row>
    <row r="297" spans="1:9">
      <c r="A297" s="16" t="s">
        <v>3808</v>
      </c>
      <c r="B297" s="20">
        <v>200000</v>
      </c>
      <c r="C297" s="20">
        <f>0.0175*B297</f>
        <v>3500.0000000000005</v>
      </c>
      <c r="D297" s="27">
        <v>45009</v>
      </c>
      <c r="E297" s="16" t="s">
        <v>60</v>
      </c>
      <c r="F297" s="16" t="s">
        <v>28</v>
      </c>
      <c r="I297" s="21" t="s">
        <v>30</v>
      </c>
    </row>
    <row r="298" spans="1:9">
      <c r="A298" s="16" t="s">
        <v>3809</v>
      </c>
      <c r="B298" s="20">
        <v>165000</v>
      </c>
      <c r="C298" s="20">
        <f>0.0125*B298</f>
        <v>2062.5</v>
      </c>
      <c r="D298" s="27">
        <v>45012</v>
      </c>
      <c r="E298" s="16" t="s">
        <v>11</v>
      </c>
      <c r="F298" s="16" t="s">
        <v>1448</v>
      </c>
    </row>
    <row r="299" spans="1:9">
      <c r="A299" s="16" t="s">
        <v>3810</v>
      </c>
      <c r="B299" s="20">
        <v>500000</v>
      </c>
      <c r="C299" s="20">
        <f>0.0175*B299</f>
        <v>8750</v>
      </c>
      <c r="D299" s="27">
        <v>45012</v>
      </c>
      <c r="E299" s="16" t="s">
        <v>3729</v>
      </c>
      <c r="F299" s="16" t="s">
        <v>28</v>
      </c>
      <c r="I299" s="21" t="s">
        <v>30</v>
      </c>
    </row>
    <row r="300" spans="1:9">
      <c r="A300" s="16" t="s">
        <v>3811</v>
      </c>
      <c r="B300" s="20">
        <v>375000</v>
      </c>
      <c r="C300" s="20">
        <f t="shared" ref="C300:C301" si="78">0.0125*B300</f>
        <v>4687.5</v>
      </c>
      <c r="D300" s="27">
        <v>45014</v>
      </c>
      <c r="E300" s="16" t="s">
        <v>3566</v>
      </c>
      <c r="F300" s="16" t="s">
        <v>1448</v>
      </c>
    </row>
    <row r="301" spans="1:9">
      <c r="A301" s="16" t="s">
        <v>150</v>
      </c>
      <c r="B301" s="20">
        <v>10000</v>
      </c>
      <c r="C301" s="20">
        <f t="shared" si="78"/>
        <v>125</v>
      </c>
      <c r="D301" s="27">
        <v>45014</v>
      </c>
      <c r="E301" s="16" t="s">
        <v>11</v>
      </c>
      <c r="F301" s="16" t="s">
        <v>1448</v>
      </c>
    </row>
    <row r="302" spans="1:9">
      <c r="A302" s="16" t="s">
        <v>2354</v>
      </c>
      <c r="B302" s="20">
        <v>150000</v>
      </c>
      <c r="C302" s="20">
        <f t="shared" ref="C302:C306" si="79">0.0175*B302</f>
        <v>2625.0000000000005</v>
      </c>
      <c r="D302" s="27">
        <v>45014</v>
      </c>
      <c r="E302" s="16" t="s">
        <v>11</v>
      </c>
      <c r="F302" s="16" t="s">
        <v>28</v>
      </c>
    </row>
    <row r="303" spans="1:9">
      <c r="A303" s="16" t="s">
        <v>3812</v>
      </c>
      <c r="B303" s="20">
        <v>230000</v>
      </c>
      <c r="C303" s="20">
        <f t="shared" si="79"/>
        <v>4025.0000000000005</v>
      </c>
      <c r="D303" s="27">
        <v>45015</v>
      </c>
      <c r="E303" s="16" t="s">
        <v>11</v>
      </c>
      <c r="F303" s="16" t="s">
        <v>1448</v>
      </c>
    </row>
    <row r="304" spans="1:9">
      <c r="A304" s="16" t="s">
        <v>3813</v>
      </c>
      <c r="B304" s="20">
        <v>330000</v>
      </c>
      <c r="C304" s="20">
        <f t="shared" si="79"/>
        <v>5775.0000000000009</v>
      </c>
      <c r="D304" s="27">
        <v>45015</v>
      </c>
      <c r="E304" s="16" t="s">
        <v>11</v>
      </c>
      <c r="F304" s="16" t="s">
        <v>28</v>
      </c>
      <c r="I304" s="21" t="s">
        <v>30</v>
      </c>
    </row>
    <row r="305" spans="1:9">
      <c r="A305" s="16" t="s">
        <v>3814</v>
      </c>
      <c r="B305" s="20">
        <v>90000</v>
      </c>
      <c r="C305" s="20">
        <f t="shared" si="79"/>
        <v>1575.0000000000002</v>
      </c>
      <c r="D305" s="27">
        <v>45015</v>
      </c>
      <c r="E305" s="16" t="s">
        <v>60</v>
      </c>
      <c r="F305" s="16" t="s">
        <v>28</v>
      </c>
      <c r="I305" s="21" t="s">
        <v>30</v>
      </c>
    </row>
    <row r="306" spans="1:9">
      <c r="A306" s="16" t="s">
        <v>3815</v>
      </c>
      <c r="B306" s="20">
        <v>10000</v>
      </c>
      <c r="C306" s="20">
        <f t="shared" si="79"/>
        <v>175.00000000000003</v>
      </c>
      <c r="D306" s="27">
        <v>45015</v>
      </c>
      <c r="E306" s="16" t="s">
        <v>11</v>
      </c>
      <c r="F306" s="16" t="s">
        <v>28</v>
      </c>
    </row>
    <row r="307" spans="1:9">
      <c r="A307" s="16" t="s">
        <v>3548</v>
      </c>
      <c r="B307" s="20">
        <v>230000</v>
      </c>
      <c r="C307" s="20">
        <f>0.0125*B307</f>
        <v>2875</v>
      </c>
      <c r="D307" s="27">
        <v>45015</v>
      </c>
      <c r="E307" s="16" t="s">
        <v>11</v>
      </c>
      <c r="F307" s="16" t="s">
        <v>1448</v>
      </c>
    </row>
    <row r="308" spans="1:9">
      <c r="A308" s="16" t="s">
        <v>3816</v>
      </c>
      <c r="B308" s="20">
        <v>10000</v>
      </c>
      <c r="C308" s="20">
        <f>0.0175*B308</f>
        <v>175.00000000000003</v>
      </c>
      <c r="D308" s="27">
        <v>45015</v>
      </c>
      <c r="E308" s="16" t="s">
        <v>11</v>
      </c>
      <c r="F308" s="16" t="s">
        <v>28</v>
      </c>
    </row>
    <row r="309" spans="1:9">
      <c r="A309" s="16" t="s">
        <v>3817</v>
      </c>
      <c r="B309" s="20">
        <v>20000</v>
      </c>
      <c r="C309" s="20">
        <f>0.0125*B309</f>
        <v>250</v>
      </c>
      <c r="D309" s="27">
        <v>45015</v>
      </c>
      <c r="E309" s="16" t="s">
        <v>92</v>
      </c>
      <c r="F309" s="16" t="s">
        <v>1448</v>
      </c>
    </row>
    <row r="310" spans="1:9">
      <c r="A310" s="16" t="s">
        <v>2542</v>
      </c>
      <c r="B310" s="20">
        <v>125000</v>
      </c>
      <c r="C310" s="20">
        <f t="shared" ref="C310:C312" si="80">0.0175*B310</f>
        <v>2187.5</v>
      </c>
      <c r="D310" s="27">
        <v>45016</v>
      </c>
      <c r="E310" s="16" t="s">
        <v>11</v>
      </c>
      <c r="F310" s="16" t="s">
        <v>28</v>
      </c>
      <c r="I310" s="21" t="s">
        <v>30</v>
      </c>
    </row>
    <row r="311" spans="1:9">
      <c r="A311" s="16" t="s">
        <v>3818</v>
      </c>
      <c r="B311" s="20">
        <v>100000</v>
      </c>
      <c r="C311" s="20">
        <f t="shared" si="80"/>
        <v>1750.0000000000002</v>
      </c>
      <c r="D311" s="27">
        <v>45016</v>
      </c>
      <c r="E311" s="16" t="s">
        <v>69</v>
      </c>
      <c r="F311" s="16" t="s">
        <v>28</v>
      </c>
      <c r="H311" s="16" t="s">
        <v>13</v>
      </c>
      <c r="I311" s="21" t="s">
        <v>30</v>
      </c>
    </row>
    <row r="312" spans="1:9">
      <c r="A312" s="16" t="s">
        <v>3819</v>
      </c>
      <c r="B312" s="20">
        <v>44000</v>
      </c>
      <c r="C312" s="20">
        <f t="shared" si="80"/>
        <v>770.00000000000011</v>
      </c>
      <c r="D312" s="27">
        <v>45016</v>
      </c>
      <c r="E312" s="16" t="s">
        <v>11</v>
      </c>
      <c r="F312" s="16" t="s">
        <v>28</v>
      </c>
    </row>
    <row r="313" spans="1:9">
      <c r="A313" s="16" t="s">
        <v>3820</v>
      </c>
      <c r="B313" s="20">
        <v>50000</v>
      </c>
      <c r="C313" s="20">
        <f t="shared" ref="C313:C314" si="81">0.0125*B313</f>
        <v>625</v>
      </c>
      <c r="D313" s="27">
        <v>45016</v>
      </c>
      <c r="E313" s="16" t="s">
        <v>11</v>
      </c>
      <c r="F313" s="16" t="s">
        <v>1448</v>
      </c>
    </row>
    <row r="314" spans="1:9">
      <c r="A314" s="16" t="s">
        <v>3821</v>
      </c>
      <c r="B314" s="20">
        <v>500000</v>
      </c>
      <c r="C314" s="20">
        <f t="shared" si="81"/>
        <v>6250</v>
      </c>
      <c r="D314" s="27">
        <v>45016</v>
      </c>
      <c r="E314" s="16" t="s">
        <v>11</v>
      </c>
      <c r="F314" s="16" t="s">
        <v>1448</v>
      </c>
    </row>
    <row r="315" spans="1:9">
      <c r="A315" s="16" t="s">
        <v>3822</v>
      </c>
      <c r="B315" s="20">
        <v>100000</v>
      </c>
      <c r="C315" s="20">
        <f>0.0175*B315</f>
        <v>1750.0000000000002</v>
      </c>
      <c r="D315" s="27">
        <v>45016</v>
      </c>
      <c r="E315" s="16" t="s">
        <v>11</v>
      </c>
      <c r="F315" s="16" t="s">
        <v>28</v>
      </c>
    </row>
    <row r="316" spans="1:9">
      <c r="A316" s="11">
        <v>45017</v>
      </c>
      <c r="B316" s="9">
        <f t="shared" ref="B316:C316" si="82">SUM(B317:B424)</f>
        <v>22123500</v>
      </c>
      <c r="C316" s="9">
        <f t="shared" si="82"/>
        <v>301883.75</v>
      </c>
      <c r="D316" s="59"/>
      <c r="E316" s="59"/>
      <c r="F316" s="59"/>
      <c r="G316" s="59"/>
    </row>
    <row r="317" spans="1:9">
      <c r="A317" s="16" t="s">
        <v>238</v>
      </c>
      <c r="B317" s="20">
        <v>250000</v>
      </c>
      <c r="C317" s="20">
        <f t="shared" ref="C317:C318" si="83">0.0125*B317</f>
        <v>3125</v>
      </c>
      <c r="D317" s="27">
        <v>45019</v>
      </c>
      <c r="E317" s="16" t="s">
        <v>11</v>
      </c>
      <c r="F317" s="16" t="s">
        <v>1448</v>
      </c>
    </row>
    <row r="318" spans="1:9">
      <c r="A318" s="16" t="s">
        <v>3823</v>
      </c>
      <c r="B318" s="20">
        <v>760000</v>
      </c>
      <c r="C318" s="20">
        <f t="shared" si="83"/>
        <v>9500</v>
      </c>
      <c r="D318" s="27">
        <v>45019</v>
      </c>
      <c r="E318" s="16" t="s">
        <v>11</v>
      </c>
      <c r="F318" s="16" t="s">
        <v>1448</v>
      </c>
    </row>
    <row r="319" spans="1:9">
      <c r="A319" s="16" t="s">
        <v>3824</v>
      </c>
      <c r="B319" s="20">
        <v>125000</v>
      </c>
      <c r="C319" s="20">
        <f>0.0175*B319</f>
        <v>2187.5</v>
      </c>
      <c r="D319" s="27">
        <v>45019</v>
      </c>
      <c r="E319" s="16" t="s">
        <v>11</v>
      </c>
      <c r="F319" s="16" t="s">
        <v>28</v>
      </c>
      <c r="I319" s="21" t="s">
        <v>30</v>
      </c>
    </row>
    <row r="320" spans="1:9">
      <c r="A320" s="16" t="s">
        <v>3825</v>
      </c>
      <c r="B320" s="20">
        <v>60000</v>
      </c>
      <c r="C320" s="20">
        <f>0.01*B320</f>
        <v>600</v>
      </c>
      <c r="D320" s="27">
        <v>45019</v>
      </c>
      <c r="E320" s="16" t="s">
        <v>3826</v>
      </c>
      <c r="F320" s="16" t="s">
        <v>28</v>
      </c>
      <c r="H320" s="16" t="s">
        <v>3827</v>
      </c>
      <c r="I320" s="21" t="s">
        <v>30</v>
      </c>
    </row>
    <row r="321" spans="1:9">
      <c r="A321" s="16" t="s">
        <v>3542</v>
      </c>
      <c r="B321" s="20">
        <v>1131000</v>
      </c>
      <c r="C321" s="20">
        <f t="shared" ref="C321:C322" si="84">0.0125*B321</f>
        <v>14137.5</v>
      </c>
      <c r="D321" s="27">
        <v>45020</v>
      </c>
      <c r="E321" s="16" t="s">
        <v>73</v>
      </c>
      <c r="F321" s="16" t="s">
        <v>1448</v>
      </c>
      <c r="H321" s="16" t="s">
        <v>446</v>
      </c>
      <c r="I321" s="23"/>
    </row>
    <row r="322" spans="1:9">
      <c r="A322" s="16" t="s">
        <v>2386</v>
      </c>
      <c r="B322" s="20">
        <v>1200000</v>
      </c>
      <c r="C322" s="20">
        <f t="shared" si="84"/>
        <v>15000</v>
      </c>
      <c r="D322" s="27">
        <v>45020</v>
      </c>
      <c r="E322" s="16" t="s">
        <v>3566</v>
      </c>
      <c r="F322" s="16" t="s">
        <v>1448</v>
      </c>
    </row>
    <row r="323" spans="1:9">
      <c r="A323" s="16" t="s">
        <v>2378</v>
      </c>
      <c r="B323" s="20">
        <v>250000</v>
      </c>
      <c r="C323" s="20">
        <f>0.0175*B323</f>
        <v>4375</v>
      </c>
      <c r="D323" s="27">
        <v>45020</v>
      </c>
      <c r="E323" s="16" t="s">
        <v>75</v>
      </c>
      <c r="F323" s="16" t="s">
        <v>28</v>
      </c>
      <c r="I323" s="21" t="s">
        <v>30</v>
      </c>
    </row>
    <row r="324" spans="1:9">
      <c r="A324" s="16" t="s">
        <v>3828</v>
      </c>
      <c r="B324" s="20">
        <v>200000</v>
      </c>
      <c r="C324" s="20">
        <f t="shared" ref="C324:C326" si="85">0.0125*B324</f>
        <v>2500</v>
      </c>
      <c r="D324" s="27">
        <v>45020</v>
      </c>
      <c r="E324" s="16" t="s">
        <v>11</v>
      </c>
      <c r="F324" s="16" t="s">
        <v>1448</v>
      </c>
    </row>
    <row r="325" spans="1:9">
      <c r="A325" s="16" t="s">
        <v>3829</v>
      </c>
      <c r="B325" s="20">
        <v>645000</v>
      </c>
      <c r="C325" s="20">
        <f t="shared" si="85"/>
        <v>8062.5</v>
      </c>
      <c r="D325" s="27">
        <v>45021</v>
      </c>
      <c r="E325" s="16" t="s">
        <v>11</v>
      </c>
      <c r="F325" s="16" t="s">
        <v>1448</v>
      </c>
    </row>
    <row r="326" spans="1:9">
      <c r="A326" s="16" t="s">
        <v>3830</v>
      </c>
      <c r="B326" s="20">
        <v>150000</v>
      </c>
      <c r="C326" s="20">
        <f t="shared" si="85"/>
        <v>1875</v>
      </c>
      <c r="D326" s="27">
        <v>45021</v>
      </c>
      <c r="E326" s="16" t="s">
        <v>69</v>
      </c>
      <c r="F326" s="16" t="s">
        <v>1448</v>
      </c>
      <c r="H326" s="16" t="s">
        <v>13</v>
      </c>
    </row>
    <row r="327" spans="1:9">
      <c r="A327" s="16" t="s">
        <v>3831</v>
      </c>
      <c r="B327" s="20">
        <v>150000</v>
      </c>
      <c r="C327" s="20">
        <f t="shared" ref="C327:C329" si="86">0.0175*B327</f>
        <v>2625.0000000000005</v>
      </c>
      <c r="D327" s="27">
        <v>45022</v>
      </c>
      <c r="E327" s="16" t="s">
        <v>11</v>
      </c>
      <c r="F327" s="16" t="s">
        <v>28</v>
      </c>
      <c r="I327" s="21" t="s">
        <v>30</v>
      </c>
    </row>
    <row r="328" spans="1:9">
      <c r="A328" s="16" t="s">
        <v>3832</v>
      </c>
      <c r="B328" s="20">
        <v>150000</v>
      </c>
      <c r="C328" s="20">
        <f t="shared" si="86"/>
        <v>2625.0000000000005</v>
      </c>
      <c r="D328" s="27">
        <v>45022</v>
      </c>
      <c r="E328" s="16" t="s">
        <v>11</v>
      </c>
      <c r="F328" s="16" t="s">
        <v>28</v>
      </c>
      <c r="I328" s="21" t="s">
        <v>30</v>
      </c>
    </row>
    <row r="329" spans="1:9">
      <c r="A329" s="16" t="s">
        <v>3833</v>
      </c>
      <c r="B329" s="20">
        <v>10000</v>
      </c>
      <c r="C329" s="20">
        <f t="shared" si="86"/>
        <v>175.00000000000003</v>
      </c>
      <c r="D329" s="27">
        <v>45022</v>
      </c>
      <c r="E329" s="16" t="s">
        <v>11</v>
      </c>
      <c r="F329" s="16" t="s">
        <v>28</v>
      </c>
    </row>
    <row r="330" spans="1:9">
      <c r="A330" s="16" t="s">
        <v>3834</v>
      </c>
      <c r="B330" s="20">
        <v>15000</v>
      </c>
      <c r="C330" s="20">
        <f t="shared" ref="C330:C333" si="87">0.0125*B330</f>
        <v>187.5</v>
      </c>
      <c r="D330" s="27">
        <v>45022</v>
      </c>
      <c r="E330" s="16" t="s">
        <v>11</v>
      </c>
      <c r="F330" s="16" t="s">
        <v>1448</v>
      </c>
    </row>
    <row r="331" spans="1:9">
      <c r="A331" s="16" t="s">
        <v>3835</v>
      </c>
      <c r="B331" s="20">
        <v>25000</v>
      </c>
      <c r="C331" s="20">
        <f t="shared" si="87"/>
        <v>312.5</v>
      </c>
      <c r="D331" s="27">
        <v>45022</v>
      </c>
      <c r="E331" s="16" t="s">
        <v>11</v>
      </c>
      <c r="F331" s="16" t="s">
        <v>1448</v>
      </c>
    </row>
    <row r="332" spans="1:9">
      <c r="A332" s="16" t="s">
        <v>3836</v>
      </c>
      <c r="B332" s="20">
        <v>50000</v>
      </c>
      <c r="C332" s="20">
        <f t="shared" si="87"/>
        <v>625</v>
      </c>
      <c r="D332" s="27">
        <v>45022</v>
      </c>
      <c r="E332" s="16" t="s">
        <v>11</v>
      </c>
      <c r="F332" s="16" t="s">
        <v>1448</v>
      </c>
    </row>
    <row r="333" spans="1:9">
      <c r="A333" s="16" t="s">
        <v>3731</v>
      </c>
      <c r="B333" s="20">
        <v>85000</v>
      </c>
      <c r="C333" s="20">
        <f t="shared" si="87"/>
        <v>1062.5</v>
      </c>
      <c r="D333" s="27">
        <v>45022</v>
      </c>
      <c r="E333" s="16" t="s">
        <v>11</v>
      </c>
      <c r="F333" s="16" t="s">
        <v>1448</v>
      </c>
    </row>
    <row r="334" spans="1:9">
      <c r="A334" s="16" t="s">
        <v>3837</v>
      </c>
      <c r="B334" s="20">
        <v>35000</v>
      </c>
      <c r="C334" s="20">
        <f>0.0175*B334</f>
        <v>612.50000000000011</v>
      </c>
      <c r="D334" s="27">
        <v>45022</v>
      </c>
      <c r="E334" s="16" t="s">
        <v>11</v>
      </c>
      <c r="F334" s="16" t="s">
        <v>28</v>
      </c>
    </row>
    <row r="335" spans="1:9">
      <c r="A335" s="16" t="s">
        <v>2951</v>
      </c>
      <c r="B335" s="20">
        <v>850000</v>
      </c>
      <c r="C335" s="20">
        <f>0.0125*B335</f>
        <v>10625</v>
      </c>
      <c r="D335" s="27">
        <v>45023</v>
      </c>
      <c r="E335" s="16" t="s">
        <v>60</v>
      </c>
      <c r="F335" s="16" t="s">
        <v>1448</v>
      </c>
    </row>
    <row r="336" spans="1:9">
      <c r="A336" s="16" t="s">
        <v>3838</v>
      </c>
      <c r="B336" s="20">
        <v>300000</v>
      </c>
      <c r="C336" s="20">
        <f>0.0175*B336</f>
        <v>5250.0000000000009</v>
      </c>
      <c r="D336" s="27">
        <v>45023</v>
      </c>
      <c r="E336" s="16" t="s">
        <v>60</v>
      </c>
      <c r="F336" s="16" t="s">
        <v>28</v>
      </c>
      <c r="I336" s="21" t="s">
        <v>30</v>
      </c>
    </row>
    <row r="337" spans="1:9">
      <c r="A337" s="16" t="s">
        <v>3839</v>
      </c>
      <c r="B337" s="20">
        <v>160000</v>
      </c>
      <c r="C337" s="20">
        <f t="shared" ref="C337:C338" si="88">0.0125*B337</f>
        <v>2000</v>
      </c>
      <c r="D337" s="27">
        <v>45026</v>
      </c>
      <c r="E337" s="16" t="s">
        <v>11</v>
      </c>
      <c r="F337" s="16" t="s">
        <v>1448</v>
      </c>
    </row>
    <row r="338" spans="1:9">
      <c r="A338" s="16" t="s">
        <v>3643</v>
      </c>
      <c r="B338" s="20">
        <v>375000</v>
      </c>
      <c r="C338" s="20">
        <f t="shared" si="88"/>
        <v>4687.5</v>
      </c>
      <c r="D338" s="27">
        <v>45026</v>
      </c>
      <c r="E338" s="16" t="s">
        <v>60</v>
      </c>
      <c r="F338" s="16" t="s">
        <v>1448</v>
      </c>
    </row>
    <row r="339" spans="1:9">
      <c r="A339" s="16" t="s">
        <v>3840</v>
      </c>
      <c r="B339" s="20">
        <v>450000</v>
      </c>
      <c r="C339" s="20">
        <f>0.0175*B339</f>
        <v>7875.0000000000009</v>
      </c>
      <c r="D339" s="27">
        <v>45026</v>
      </c>
      <c r="E339" s="16" t="s">
        <v>60</v>
      </c>
      <c r="F339" s="16" t="s">
        <v>28</v>
      </c>
      <c r="I339" s="21" t="s">
        <v>30</v>
      </c>
    </row>
    <row r="340" spans="1:9">
      <c r="A340" s="16" t="s">
        <v>3841</v>
      </c>
      <c r="B340" s="20">
        <v>165000</v>
      </c>
      <c r="C340" s="20">
        <f t="shared" ref="C340:C341" si="89">0.0125*B340</f>
        <v>2062.5</v>
      </c>
      <c r="D340" s="27">
        <v>45028</v>
      </c>
      <c r="E340" s="16" t="s">
        <v>73</v>
      </c>
      <c r="F340" s="16" t="s">
        <v>1448</v>
      </c>
    </row>
    <row r="341" spans="1:9">
      <c r="A341" s="16" t="s">
        <v>3842</v>
      </c>
      <c r="B341" s="20">
        <v>1050000</v>
      </c>
      <c r="C341" s="20">
        <f t="shared" si="89"/>
        <v>13125</v>
      </c>
      <c r="D341" s="27">
        <v>45028</v>
      </c>
      <c r="E341" s="16" t="s">
        <v>3566</v>
      </c>
      <c r="F341" s="16" t="s">
        <v>1448</v>
      </c>
    </row>
    <row r="342" spans="1:9">
      <c r="A342" s="16" t="s">
        <v>3843</v>
      </c>
      <c r="B342" s="20">
        <v>200000</v>
      </c>
      <c r="C342" s="20">
        <f t="shared" ref="C342:C343" si="90">0.0175*B342</f>
        <v>3500.0000000000005</v>
      </c>
      <c r="D342" s="27">
        <v>45028</v>
      </c>
      <c r="E342" s="16" t="s">
        <v>11</v>
      </c>
      <c r="F342" s="16" t="s">
        <v>28</v>
      </c>
      <c r="I342" s="21" t="s">
        <v>30</v>
      </c>
    </row>
    <row r="343" spans="1:9">
      <c r="A343" s="16" t="s">
        <v>3844</v>
      </c>
      <c r="B343" s="20">
        <v>50000</v>
      </c>
      <c r="C343" s="20">
        <f t="shared" si="90"/>
        <v>875.00000000000011</v>
      </c>
      <c r="D343" s="27">
        <v>45028</v>
      </c>
      <c r="E343" s="16" t="s">
        <v>69</v>
      </c>
      <c r="F343" s="16" t="s">
        <v>28</v>
      </c>
      <c r="H343" s="16" t="s">
        <v>13</v>
      </c>
    </row>
    <row r="344" spans="1:9">
      <c r="A344" s="16" t="s">
        <v>2663</v>
      </c>
      <c r="B344" s="20">
        <v>50000</v>
      </c>
      <c r="C344" s="20">
        <f>0.0125*B344</f>
        <v>625</v>
      </c>
      <c r="D344" s="27">
        <v>45029</v>
      </c>
      <c r="E344" s="16" t="s">
        <v>73</v>
      </c>
      <c r="F344" s="16" t="s">
        <v>1448</v>
      </c>
    </row>
    <row r="345" spans="1:9">
      <c r="A345" s="16" t="s">
        <v>3845</v>
      </c>
      <c r="B345" s="20">
        <v>40000</v>
      </c>
      <c r="C345" s="20">
        <f>0.0175*B345</f>
        <v>700.00000000000011</v>
      </c>
      <c r="D345" s="27">
        <v>45029</v>
      </c>
      <c r="E345" s="16" t="s">
        <v>11</v>
      </c>
      <c r="F345" s="16" t="s">
        <v>28</v>
      </c>
    </row>
    <row r="346" spans="1:9">
      <c r="A346" s="16" t="s">
        <v>2419</v>
      </c>
      <c r="B346" s="20">
        <v>10500</v>
      </c>
      <c r="C346" s="20">
        <f>0.0125*B346</f>
        <v>131.25</v>
      </c>
      <c r="D346" s="27">
        <v>45029</v>
      </c>
      <c r="E346" s="16" t="s">
        <v>11</v>
      </c>
      <c r="F346" s="16" t="s">
        <v>1448</v>
      </c>
    </row>
    <row r="347" spans="1:9">
      <c r="A347" s="16" t="s">
        <v>3846</v>
      </c>
      <c r="B347" s="20">
        <v>100000</v>
      </c>
      <c r="C347" s="20">
        <f t="shared" ref="C347:C348" si="91">0.0175*B347</f>
        <v>1750.0000000000002</v>
      </c>
      <c r="D347" s="27">
        <v>45029</v>
      </c>
      <c r="E347" s="16" t="s">
        <v>11</v>
      </c>
      <c r="F347" s="16" t="s">
        <v>28</v>
      </c>
    </row>
    <row r="348" spans="1:9">
      <c r="A348" s="16" t="s">
        <v>3847</v>
      </c>
      <c r="B348" s="20">
        <v>100000</v>
      </c>
      <c r="C348" s="20">
        <f t="shared" si="91"/>
        <v>1750.0000000000002</v>
      </c>
      <c r="D348" s="27">
        <v>45029</v>
      </c>
      <c r="E348" s="16" t="s">
        <v>11</v>
      </c>
      <c r="F348" s="16" t="s">
        <v>28</v>
      </c>
    </row>
    <row r="349" spans="1:9">
      <c r="A349" s="16" t="s">
        <v>3066</v>
      </c>
      <c r="B349" s="20">
        <v>150000</v>
      </c>
      <c r="C349" s="20">
        <f t="shared" ref="C349:C353" si="92">0.0125*B349</f>
        <v>1875</v>
      </c>
      <c r="D349" s="27">
        <v>45029</v>
      </c>
      <c r="E349" s="16" t="s">
        <v>11</v>
      </c>
      <c r="F349" s="16" t="s">
        <v>1448</v>
      </c>
    </row>
    <row r="350" spans="1:9">
      <c r="A350" s="16" t="s">
        <v>3848</v>
      </c>
      <c r="B350" s="20">
        <v>75000</v>
      </c>
      <c r="C350" s="20">
        <f t="shared" si="92"/>
        <v>937.5</v>
      </c>
      <c r="D350" s="27">
        <v>45029</v>
      </c>
      <c r="E350" s="16" t="s">
        <v>92</v>
      </c>
      <c r="F350" s="16" t="s">
        <v>1448</v>
      </c>
    </row>
    <row r="351" spans="1:9">
      <c r="A351" s="16" t="s">
        <v>2223</v>
      </c>
      <c r="B351" s="20">
        <v>47500</v>
      </c>
      <c r="C351" s="20">
        <f t="shared" si="92"/>
        <v>593.75</v>
      </c>
      <c r="D351" s="27">
        <v>45029</v>
      </c>
      <c r="E351" s="16" t="s">
        <v>11</v>
      </c>
      <c r="F351" s="16" t="s">
        <v>1448</v>
      </c>
    </row>
    <row r="352" spans="1:9">
      <c r="A352" s="16" t="s">
        <v>3849</v>
      </c>
      <c r="B352" s="20">
        <v>140000</v>
      </c>
      <c r="C352" s="20">
        <f t="shared" si="92"/>
        <v>1750</v>
      </c>
      <c r="D352" s="27">
        <v>45029</v>
      </c>
      <c r="E352" s="16" t="s">
        <v>11</v>
      </c>
      <c r="F352" s="16" t="s">
        <v>1448</v>
      </c>
    </row>
    <row r="353" spans="1:9">
      <c r="A353" s="16" t="s">
        <v>3850</v>
      </c>
      <c r="B353" s="20">
        <v>5000</v>
      </c>
      <c r="C353" s="20">
        <f t="shared" si="92"/>
        <v>62.5</v>
      </c>
      <c r="D353" s="27">
        <v>45029</v>
      </c>
      <c r="E353" s="16" t="s">
        <v>11</v>
      </c>
      <c r="F353" s="16" t="s">
        <v>1448</v>
      </c>
    </row>
    <row r="354" spans="1:9">
      <c r="A354" s="16" t="s">
        <v>2759</v>
      </c>
      <c r="B354" s="20">
        <v>25000</v>
      </c>
      <c r="C354" s="20">
        <f t="shared" ref="C354:C359" si="93">0.0175*B354</f>
        <v>437.50000000000006</v>
      </c>
      <c r="D354" s="27">
        <v>45029</v>
      </c>
      <c r="E354" s="16" t="s">
        <v>11</v>
      </c>
      <c r="F354" s="16" t="s">
        <v>28</v>
      </c>
    </row>
    <row r="355" spans="1:9">
      <c r="A355" s="16" t="s">
        <v>3851</v>
      </c>
      <c r="B355" s="20">
        <v>10000</v>
      </c>
      <c r="C355" s="20">
        <f t="shared" si="93"/>
        <v>175.00000000000003</v>
      </c>
      <c r="D355" s="27">
        <v>45029</v>
      </c>
      <c r="E355" s="16" t="s">
        <v>11</v>
      </c>
      <c r="F355" s="16" t="s">
        <v>28</v>
      </c>
    </row>
    <row r="356" spans="1:9">
      <c r="A356" s="16" t="s">
        <v>3852</v>
      </c>
      <c r="B356" s="20">
        <v>25000</v>
      </c>
      <c r="C356" s="20">
        <f t="shared" si="93"/>
        <v>437.50000000000006</v>
      </c>
      <c r="D356" s="27">
        <v>45029</v>
      </c>
      <c r="E356" s="16" t="s">
        <v>11</v>
      </c>
      <c r="F356" s="16" t="s">
        <v>28</v>
      </c>
    </row>
    <row r="357" spans="1:9">
      <c r="A357" s="16" t="s">
        <v>3853</v>
      </c>
      <c r="B357" s="20">
        <v>175000</v>
      </c>
      <c r="C357" s="20">
        <f t="shared" si="93"/>
        <v>3062.5000000000005</v>
      </c>
      <c r="D357" s="27">
        <v>45030</v>
      </c>
      <c r="E357" s="16" t="s">
        <v>11</v>
      </c>
      <c r="F357" s="16" t="s">
        <v>28</v>
      </c>
      <c r="I357" s="21" t="s">
        <v>30</v>
      </c>
    </row>
    <row r="358" spans="1:9">
      <c r="A358" s="16" t="s">
        <v>151</v>
      </c>
      <c r="B358" s="20">
        <v>100000</v>
      </c>
      <c r="C358" s="20">
        <f t="shared" si="93"/>
        <v>1750.0000000000002</v>
      </c>
      <c r="D358" s="27">
        <v>45030</v>
      </c>
      <c r="E358" s="16" t="s">
        <v>60</v>
      </c>
      <c r="F358" s="16" t="s">
        <v>28</v>
      </c>
      <c r="I358" s="21" t="s">
        <v>30</v>
      </c>
    </row>
    <row r="359" spans="1:9">
      <c r="A359" s="16" t="s">
        <v>3854</v>
      </c>
      <c r="B359" s="20">
        <v>100000</v>
      </c>
      <c r="C359" s="20">
        <f t="shared" si="93"/>
        <v>1750.0000000000002</v>
      </c>
      <c r="D359" s="27">
        <v>45030</v>
      </c>
      <c r="E359" s="16" t="s">
        <v>60</v>
      </c>
      <c r="F359" s="16" t="s">
        <v>28</v>
      </c>
      <c r="I359" s="21" t="s">
        <v>30</v>
      </c>
    </row>
    <row r="360" spans="1:9">
      <c r="A360" s="16" t="s">
        <v>3198</v>
      </c>
      <c r="B360" s="20">
        <v>1800000</v>
      </c>
      <c r="C360" s="20">
        <f>0.0125*B360</f>
        <v>22500</v>
      </c>
      <c r="D360" s="27">
        <v>45033</v>
      </c>
      <c r="E360" s="16" t="s">
        <v>2104</v>
      </c>
      <c r="F360" s="16" t="s">
        <v>1448</v>
      </c>
    </row>
    <row r="361" spans="1:9">
      <c r="A361" s="16" t="s">
        <v>3855</v>
      </c>
      <c r="B361" s="20">
        <v>500000</v>
      </c>
      <c r="C361" s="20">
        <f>0.0175*B361</f>
        <v>8750</v>
      </c>
      <c r="D361" s="27">
        <v>45033</v>
      </c>
      <c r="E361" s="16" t="s">
        <v>345</v>
      </c>
      <c r="F361" s="16" t="s">
        <v>28</v>
      </c>
      <c r="H361" s="16" t="s">
        <v>13</v>
      </c>
      <c r="I361" s="21" t="s">
        <v>30</v>
      </c>
    </row>
    <row r="362" spans="1:9">
      <c r="A362" s="16" t="s">
        <v>3856</v>
      </c>
      <c r="B362" s="20">
        <v>350000</v>
      </c>
      <c r="C362" s="20">
        <f t="shared" ref="C362:C363" si="94">0.0125*B362</f>
        <v>4375</v>
      </c>
      <c r="D362" s="27">
        <v>45033</v>
      </c>
      <c r="E362" s="16" t="s">
        <v>69</v>
      </c>
      <c r="F362" s="16" t="s">
        <v>1448</v>
      </c>
      <c r="H362" s="16" t="s">
        <v>13</v>
      </c>
    </row>
    <row r="363" spans="1:9">
      <c r="A363" s="16" t="s">
        <v>3857</v>
      </c>
      <c r="B363" s="20">
        <v>200000</v>
      </c>
      <c r="C363" s="20">
        <f t="shared" si="94"/>
        <v>2500</v>
      </c>
      <c r="D363" s="27">
        <v>45033</v>
      </c>
      <c r="E363" s="16" t="s">
        <v>11</v>
      </c>
      <c r="F363" s="16" t="s">
        <v>1448</v>
      </c>
    </row>
    <row r="364" spans="1:9">
      <c r="A364" s="16" t="s">
        <v>3858</v>
      </c>
      <c r="B364" s="20">
        <v>150000</v>
      </c>
      <c r="C364" s="20">
        <f>0.0175*B364</f>
        <v>2625.0000000000005</v>
      </c>
      <c r="D364" s="27">
        <v>45034</v>
      </c>
      <c r="E364" s="16" t="s">
        <v>11</v>
      </c>
      <c r="F364" s="16" t="s">
        <v>28</v>
      </c>
    </row>
    <row r="365" spans="1:9">
      <c r="A365" s="16" t="s">
        <v>3686</v>
      </c>
      <c r="B365" s="20">
        <v>75000</v>
      </c>
      <c r="C365" s="20">
        <f t="shared" ref="C365:C366" si="95">0.0125*B365</f>
        <v>937.5</v>
      </c>
      <c r="D365" s="27">
        <v>45034</v>
      </c>
      <c r="E365" s="16" t="s">
        <v>60</v>
      </c>
      <c r="F365" s="16" t="s">
        <v>1448</v>
      </c>
    </row>
    <row r="366" spans="1:9">
      <c r="A366" s="16" t="s">
        <v>3859</v>
      </c>
      <c r="B366" s="20">
        <v>252000</v>
      </c>
      <c r="C366" s="20">
        <f t="shared" si="95"/>
        <v>3150</v>
      </c>
      <c r="D366" s="27">
        <v>45034</v>
      </c>
      <c r="E366" s="16" t="s">
        <v>11</v>
      </c>
      <c r="F366" s="16" t="s">
        <v>1448</v>
      </c>
    </row>
    <row r="367" spans="1:9">
      <c r="A367" s="16" t="s">
        <v>3860</v>
      </c>
      <c r="B367" s="20">
        <v>35000</v>
      </c>
      <c r="C367" s="20">
        <f>0.0175*B367</f>
        <v>612.50000000000011</v>
      </c>
      <c r="D367" s="27">
        <v>45035</v>
      </c>
      <c r="E367" s="16" t="s">
        <v>69</v>
      </c>
      <c r="F367" s="16" t="s">
        <v>28</v>
      </c>
      <c r="H367" s="16" t="s">
        <v>13</v>
      </c>
      <c r="I367" s="21" t="s">
        <v>30</v>
      </c>
    </row>
    <row r="368" spans="1:9">
      <c r="A368" s="16" t="s">
        <v>3861</v>
      </c>
      <c r="B368" s="20">
        <v>125000</v>
      </c>
      <c r="C368" s="20">
        <f>0.0125*B368</f>
        <v>1562.5</v>
      </c>
      <c r="D368" s="27">
        <v>45035</v>
      </c>
      <c r="E368" s="16" t="s">
        <v>92</v>
      </c>
      <c r="F368" s="16" t="s">
        <v>1448</v>
      </c>
    </row>
    <row r="369" spans="1:6">
      <c r="A369" s="16" t="s">
        <v>3862</v>
      </c>
      <c r="B369" s="20">
        <v>150000</v>
      </c>
      <c r="C369" s="20">
        <f>0.0175*B369</f>
        <v>2625.0000000000005</v>
      </c>
      <c r="D369" s="27">
        <v>45035</v>
      </c>
      <c r="E369" s="16" t="s">
        <v>11</v>
      </c>
      <c r="F369" s="16" t="s">
        <v>28</v>
      </c>
    </row>
    <row r="370" spans="1:6">
      <c r="A370" s="16" t="s">
        <v>3863</v>
      </c>
      <c r="B370" s="20">
        <v>250000</v>
      </c>
      <c r="C370" s="20">
        <f t="shared" ref="C370:C372" si="96">0.0125*B370</f>
        <v>3125</v>
      </c>
      <c r="D370" s="27">
        <v>45036</v>
      </c>
      <c r="E370" s="16" t="s">
        <v>11</v>
      </c>
      <c r="F370" s="16" t="s">
        <v>1448</v>
      </c>
    </row>
    <row r="371" spans="1:6">
      <c r="A371" s="16" t="s">
        <v>3657</v>
      </c>
      <c r="B371" s="20">
        <v>365000</v>
      </c>
      <c r="C371" s="20">
        <f t="shared" si="96"/>
        <v>4562.5</v>
      </c>
      <c r="D371" s="27">
        <v>45036</v>
      </c>
      <c r="E371" s="16" t="s">
        <v>11</v>
      </c>
      <c r="F371" s="16" t="s">
        <v>1448</v>
      </c>
    </row>
    <row r="372" spans="1:6">
      <c r="A372" s="16" t="s">
        <v>3864</v>
      </c>
      <c r="B372" s="20">
        <v>610000</v>
      </c>
      <c r="C372" s="20">
        <f t="shared" si="96"/>
        <v>7625</v>
      </c>
      <c r="D372" s="27">
        <v>45036</v>
      </c>
      <c r="E372" s="16" t="s">
        <v>11</v>
      </c>
      <c r="F372" s="16" t="s">
        <v>1448</v>
      </c>
    </row>
    <row r="373" spans="1:6">
      <c r="A373" s="16" t="s">
        <v>3865</v>
      </c>
      <c r="B373" s="20">
        <v>50000</v>
      </c>
      <c r="C373" s="20">
        <f>0.0175*B373</f>
        <v>875.00000000000011</v>
      </c>
      <c r="D373" s="27">
        <v>45036</v>
      </c>
      <c r="E373" s="16" t="s">
        <v>11</v>
      </c>
      <c r="F373" s="16" t="s">
        <v>28</v>
      </c>
    </row>
    <row r="374" spans="1:6">
      <c r="A374" s="16" t="s">
        <v>2299</v>
      </c>
      <c r="B374" s="20">
        <v>75000</v>
      </c>
      <c r="C374" s="20">
        <f>0.0125*B374</f>
        <v>937.5</v>
      </c>
      <c r="D374" s="27">
        <v>45036</v>
      </c>
      <c r="E374" s="16" t="s">
        <v>11</v>
      </c>
      <c r="F374" s="16" t="s">
        <v>1448</v>
      </c>
    </row>
    <row r="375" spans="1:6">
      <c r="A375" s="16" t="s">
        <v>3866</v>
      </c>
      <c r="B375" s="20">
        <v>50000</v>
      </c>
      <c r="C375" s="20">
        <f>0.0175*B375</f>
        <v>875.00000000000011</v>
      </c>
      <c r="D375" s="27">
        <v>45036</v>
      </c>
      <c r="E375" s="16" t="s">
        <v>11</v>
      </c>
      <c r="F375" s="16" t="s">
        <v>28</v>
      </c>
    </row>
    <row r="376" spans="1:6">
      <c r="A376" s="16" t="s">
        <v>2522</v>
      </c>
      <c r="B376" s="20">
        <v>185000</v>
      </c>
      <c r="C376" s="20">
        <f t="shared" ref="C376:C377" si="97">0.0125*B376</f>
        <v>2312.5</v>
      </c>
      <c r="D376" s="27">
        <v>45036</v>
      </c>
      <c r="E376" s="16" t="s">
        <v>11</v>
      </c>
      <c r="F376" s="16" t="s">
        <v>1448</v>
      </c>
    </row>
    <row r="377" spans="1:6">
      <c r="A377" s="16" t="s">
        <v>584</v>
      </c>
      <c r="B377" s="20">
        <v>40000</v>
      </c>
      <c r="C377" s="20">
        <f t="shared" si="97"/>
        <v>500</v>
      </c>
      <c r="D377" s="27">
        <v>45036</v>
      </c>
      <c r="E377" s="16" t="s">
        <v>60</v>
      </c>
      <c r="F377" s="16" t="s">
        <v>1448</v>
      </c>
    </row>
    <row r="378" spans="1:6">
      <c r="A378" s="16" t="s">
        <v>3867</v>
      </c>
      <c r="B378" s="20">
        <v>20000</v>
      </c>
      <c r="C378" s="20">
        <f>0.0175*B378</f>
        <v>350.00000000000006</v>
      </c>
      <c r="D378" s="27">
        <v>45036</v>
      </c>
      <c r="E378" s="16" t="s">
        <v>11</v>
      </c>
      <c r="F378" s="16" t="s">
        <v>28</v>
      </c>
    </row>
    <row r="379" spans="1:6">
      <c r="A379" s="16" t="s">
        <v>3648</v>
      </c>
      <c r="B379" s="20">
        <v>73500</v>
      </c>
      <c r="C379" s="20">
        <f>0.0125*B379</f>
        <v>918.75</v>
      </c>
      <c r="D379" s="27">
        <v>45036</v>
      </c>
      <c r="E379" s="16" t="s">
        <v>11</v>
      </c>
      <c r="F379" s="16" t="s">
        <v>1448</v>
      </c>
    </row>
    <row r="380" spans="1:6">
      <c r="A380" s="16" t="s">
        <v>3868</v>
      </c>
      <c r="B380" s="20">
        <v>60000</v>
      </c>
      <c r="C380" s="20">
        <f t="shared" ref="C380:C381" si="98">0.0175*B380</f>
        <v>1050</v>
      </c>
      <c r="D380" s="27">
        <v>45036</v>
      </c>
      <c r="E380" s="16" t="s">
        <v>11</v>
      </c>
      <c r="F380" s="16" t="s">
        <v>28</v>
      </c>
    </row>
    <row r="381" spans="1:6">
      <c r="A381" s="16" t="s">
        <v>1145</v>
      </c>
      <c r="B381" s="20">
        <v>43000</v>
      </c>
      <c r="C381" s="20">
        <f t="shared" si="98"/>
        <v>752.50000000000011</v>
      </c>
      <c r="D381" s="27">
        <v>45036</v>
      </c>
      <c r="E381" s="16" t="s">
        <v>11</v>
      </c>
      <c r="F381" s="16" t="s">
        <v>28</v>
      </c>
    </row>
    <row r="382" spans="1:6">
      <c r="A382" s="16" t="s">
        <v>2118</v>
      </c>
      <c r="B382" s="20">
        <v>30000</v>
      </c>
      <c r="C382" s="20">
        <f t="shared" ref="C382:C388" si="99">0.0125*B382</f>
        <v>375</v>
      </c>
      <c r="D382" s="27">
        <v>45036</v>
      </c>
      <c r="E382" s="16" t="s">
        <v>11</v>
      </c>
      <c r="F382" s="16" t="s">
        <v>1448</v>
      </c>
    </row>
    <row r="383" spans="1:6">
      <c r="A383" s="16" t="s">
        <v>299</v>
      </c>
      <c r="B383" s="20">
        <v>130000</v>
      </c>
      <c r="C383" s="20">
        <f t="shared" si="99"/>
        <v>1625</v>
      </c>
      <c r="D383" s="27">
        <v>45036</v>
      </c>
      <c r="E383" s="16" t="s">
        <v>11</v>
      </c>
      <c r="F383" s="16" t="s">
        <v>1448</v>
      </c>
    </row>
    <row r="384" spans="1:6">
      <c r="A384" s="16" t="s">
        <v>3743</v>
      </c>
      <c r="B384" s="20">
        <v>20000</v>
      </c>
      <c r="C384" s="20">
        <f t="shared" si="99"/>
        <v>250</v>
      </c>
      <c r="D384" s="27">
        <v>45036</v>
      </c>
      <c r="E384" s="16" t="s">
        <v>11</v>
      </c>
      <c r="F384" s="16" t="s">
        <v>1448</v>
      </c>
    </row>
    <row r="385" spans="1:9">
      <c r="A385" s="16" t="s">
        <v>718</v>
      </c>
      <c r="B385" s="20">
        <v>75000</v>
      </c>
      <c r="C385" s="20">
        <f t="shared" si="99"/>
        <v>937.5</v>
      </c>
      <c r="D385" s="27">
        <v>45037</v>
      </c>
      <c r="E385" s="16" t="s">
        <v>73</v>
      </c>
      <c r="F385" s="16" t="s">
        <v>1448</v>
      </c>
    </row>
    <row r="386" spans="1:9">
      <c r="A386" s="16" t="s">
        <v>3869</v>
      </c>
      <c r="B386" s="20">
        <v>375000</v>
      </c>
      <c r="C386" s="20">
        <f t="shared" si="99"/>
        <v>4687.5</v>
      </c>
      <c r="D386" s="27">
        <v>45037</v>
      </c>
      <c r="E386" s="16" t="s">
        <v>3566</v>
      </c>
      <c r="F386" s="16" t="s">
        <v>1448</v>
      </c>
    </row>
    <row r="387" spans="1:9">
      <c r="A387" s="16" t="s">
        <v>3870</v>
      </c>
      <c r="B387" s="20">
        <v>875000</v>
      </c>
      <c r="C387" s="20">
        <f t="shared" si="99"/>
        <v>10937.5</v>
      </c>
      <c r="D387" s="27">
        <v>45037</v>
      </c>
      <c r="E387" s="16" t="s">
        <v>3357</v>
      </c>
      <c r="F387" s="16" t="s">
        <v>1448</v>
      </c>
    </row>
    <row r="388" spans="1:9">
      <c r="A388" s="16" t="s">
        <v>3871</v>
      </c>
      <c r="B388" s="20">
        <v>225000</v>
      </c>
      <c r="C388" s="20">
        <f t="shared" si="99"/>
        <v>2812.5</v>
      </c>
      <c r="D388" s="27">
        <v>45037</v>
      </c>
      <c r="E388" s="16" t="s">
        <v>11</v>
      </c>
      <c r="F388" s="16" t="s">
        <v>1448</v>
      </c>
    </row>
    <row r="389" spans="1:9">
      <c r="A389" s="16" t="s">
        <v>3872</v>
      </c>
      <c r="B389" s="20">
        <v>100000</v>
      </c>
      <c r="C389" s="20">
        <f t="shared" ref="C389:C390" si="100">0.0175*B389</f>
        <v>1750.0000000000002</v>
      </c>
      <c r="D389" s="27">
        <v>45037</v>
      </c>
      <c r="E389" s="16" t="s">
        <v>11</v>
      </c>
      <c r="F389" s="16" t="s">
        <v>28</v>
      </c>
      <c r="I389" s="21" t="s">
        <v>30</v>
      </c>
    </row>
    <row r="390" spans="1:9">
      <c r="A390" s="16" t="s">
        <v>3873</v>
      </c>
      <c r="B390" s="20">
        <v>300000</v>
      </c>
      <c r="C390" s="20">
        <f t="shared" si="100"/>
        <v>5250.0000000000009</v>
      </c>
      <c r="D390" s="27">
        <v>45040</v>
      </c>
      <c r="E390" s="16" t="s">
        <v>11</v>
      </c>
      <c r="F390" s="16" t="s">
        <v>28</v>
      </c>
      <c r="I390" s="21" t="s">
        <v>30</v>
      </c>
    </row>
    <row r="391" spans="1:9">
      <c r="A391" s="16" t="s">
        <v>3874</v>
      </c>
      <c r="B391" s="20">
        <v>375000</v>
      </c>
      <c r="C391" s="20">
        <f>0.0125*B391</f>
        <v>4687.5</v>
      </c>
      <c r="D391" s="27">
        <v>45040</v>
      </c>
      <c r="E391" s="16" t="s">
        <v>11</v>
      </c>
      <c r="F391" s="16" t="s">
        <v>1448</v>
      </c>
    </row>
    <row r="392" spans="1:9">
      <c r="A392" s="16" t="s">
        <v>3875</v>
      </c>
      <c r="B392" s="20">
        <v>125000</v>
      </c>
      <c r="C392" s="20">
        <f t="shared" ref="C392:C393" si="101">0.0175*B392</f>
        <v>2187.5</v>
      </c>
      <c r="D392" s="27">
        <v>45041</v>
      </c>
      <c r="E392" s="16" t="s">
        <v>2120</v>
      </c>
      <c r="F392" s="16" t="s">
        <v>28</v>
      </c>
      <c r="I392" s="21" t="s">
        <v>30</v>
      </c>
    </row>
    <row r="393" spans="1:9">
      <c r="A393" s="16" t="s">
        <v>3854</v>
      </c>
      <c r="B393" s="20">
        <v>100000</v>
      </c>
      <c r="C393" s="20">
        <f t="shared" si="101"/>
        <v>1750.0000000000002</v>
      </c>
      <c r="D393" s="27">
        <v>45041</v>
      </c>
      <c r="E393" s="16" t="s">
        <v>60</v>
      </c>
      <c r="F393" s="16" t="s">
        <v>28</v>
      </c>
      <c r="I393" s="21" t="s">
        <v>30</v>
      </c>
    </row>
    <row r="394" spans="1:9">
      <c r="A394" s="16" t="s">
        <v>3876</v>
      </c>
      <c r="B394" s="20">
        <v>250000</v>
      </c>
      <c r="C394" s="20">
        <f t="shared" ref="C394:C400" si="102">0.0125*B394</f>
        <v>3125</v>
      </c>
      <c r="D394" s="27">
        <v>45041</v>
      </c>
      <c r="E394" s="16" t="s">
        <v>11</v>
      </c>
      <c r="F394" s="16" t="s">
        <v>1448</v>
      </c>
    </row>
    <row r="395" spans="1:9">
      <c r="A395" s="16" t="s">
        <v>2111</v>
      </c>
      <c r="B395" s="20">
        <v>110000</v>
      </c>
      <c r="C395" s="20">
        <f t="shared" si="102"/>
        <v>1375</v>
      </c>
      <c r="D395" s="27">
        <v>45041</v>
      </c>
      <c r="E395" s="16" t="s">
        <v>11</v>
      </c>
      <c r="F395" s="16" t="s">
        <v>1448</v>
      </c>
    </row>
    <row r="396" spans="1:9">
      <c r="A396" s="16" t="s">
        <v>3877</v>
      </c>
      <c r="B396" s="20">
        <v>150000</v>
      </c>
      <c r="C396" s="20">
        <f t="shared" si="102"/>
        <v>1875</v>
      </c>
      <c r="D396" s="27">
        <v>45042</v>
      </c>
      <c r="E396" s="16" t="s">
        <v>3757</v>
      </c>
      <c r="F396" s="16" t="s">
        <v>1448</v>
      </c>
    </row>
    <row r="397" spans="1:9">
      <c r="A397" s="16" t="s">
        <v>3878</v>
      </c>
      <c r="B397" s="20">
        <v>100000</v>
      </c>
      <c r="C397" s="20">
        <f t="shared" si="102"/>
        <v>1250</v>
      </c>
      <c r="D397" s="27">
        <v>45042</v>
      </c>
      <c r="E397" s="16" t="s">
        <v>69</v>
      </c>
      <c r="F397" s="16" t="s">
        <v>1448</v>
      </c>
      <c r="H397" s="16" t="s">
        <v>13</v>
      </c>
    </row>
    <row r="398" spans="1:9">
      <c r="A398" s="16" t="s">
        <v>259</v>
      </c>
      <c r="B398" s="20">
        <v>375000</v>
      </c>
      <c r="C398" s="20">
        <f t="shared" si="102"/>
        <v>4687.5</v>
      </c>
      <c r="D398" s="27">
        <v>45042</v>
      </c>
      <c r="E398" s="16" t="s">
        <v>11</v>
      </c>
      <c r="F398" s="16" t="s">
        <v>1448</v>
      </c>
    </row>
    <row r="399" spans="1:9">
      <c r="A399" s="16" t="s">
        <v>3879</v>
      </c>
      <c r="B399" s="20">
        <v>65000</v>
      </c>
      <c r="C399" s="20">
        <f t="shared" si="102"/>
        <v>812.5</v>
      </c>
      <c r="D399" s="27">
        <v>45042</v>
      </c>
      <c r="E399" s="16" t="s">
        <v>60</v>
      </c>
      <c r="F399" s="16" t="s">
        <v>1448</v>
      </c>
    </row>
    <row r="400" spans="1:9">
      <c r="A400" s="16" t="s">
        <v>3880</v>
      </c>
      <c r="B400" s="20">
        <v>200000</v>
      </c>
      <c r="C400" s="20">
        <f t="shared" si="102"/>
        <v>2500</v>
      </c>
      <c r="D400" s="27">
        <v>45043</v>
      </c>
      <c r="E400" s="16" t="s">
        <v>11</v>
      </c>
      <c r="F400" s="16" t="s">
        <v>1448</v>
      </c>
    </row>
    <row r="401" spans="1:9">
      <c r="A401" s="16" t="s">
        <v>3881</v>
      </c>
      <c r="B401" s="20">
        <v>75000</v>
      </c>
      <c r="C401" s="20">
        <f>0.0175*B401</f>
        <v>1312.5000000000002</v>
      </c>
      <c r="D401" s="27">
        <v>45043</v>
      </c>
      <c r="E401" s="16" t="s">
        <v>11</v>
      </c>
      <c r="F401" s="16" t="s">
        <v>28</v>
      </c>
      <c r="I401" s="21" t="s">
        <v>30</v>
      </c>
    </row>
    <row r="402" spans="1:9">
      <c r="A402" s="16" t="s">
        <v>3882</v>
      </c>
      <c r="B402" s="20">
        <v>65000</v>
      </c>
      <c r="C402" s="20">
        <f t="shared" ref="C402:C408" si="103">0.0125*B402</f>
        <v>812.5</v>
      </c>
      <c r="D402" s="27">
        <v>45043</v>
      </c>
      <c r="E402" s="16" t="s">
        <v>11</v>
      </c>
      <c r="F402" s="16" t="s">
        <v>1448</v>
      </c>
    </row>
    <row r="403" spans="1:9">
      <c r="A403" s="16" t="s">
        <v>3883</v>
      </c>
      <c r="B403" s="20">
        <v>125000</v>
      </c>
      <c r="C403" s="20">
        <f t="shared" si="103"/>
        <v>1562.5</v>
      </c>
      <c r="D403" s="27">
        <v>45043</v>
      </c>
      <c r="E403" s="16" t="s">
        <v>60</v>
      </c>
      <c r="F403" s="16" t="s">
        <v>1448</v>
      </c>
    </row>
    <row r="404" spans="1:9">
      <c r="A404" s="16" t="s">
        <v>3884</v>
      </c>
      <c r="B404" s="20">
        <v>30000</v>
      </c>
      <c r="C404" s="20">
        <f t="shared" si="103"/>
        <v>375</v>
      </c>
      <c r="D404" s="27">
        <v>45043</v>
      </c>
      <c r="E404" s="16" t="s">
        <v>11</v>
      </c>
      <c r="F404" s="16" t="s">
        <v>1448</v>
      </c>
    </row>
    <row r="405" spans="1:9">
      <c r="A405" s="16" t="s">
        <v>3885</v>
      </c>
      <c r="B405" s="20">
        <v>14500</v>
      </c>
      <c r="C405" s="20">
        <f t="shared" si="103"/>
        <v>181.25</v>
      </c>
      <c r="D405" s="27">
        <v>45043</v>
      </c>
      <c r="E405" s="16" t="s">
        <v>11</v>
      </c>
      <c r="F405" s="16" t="s">
        <v>1448</v>
      </c>
    </row>
    <row r="406" spans="1:9">
      <c r="A406" s="16" t="s">
        <v>3886</v>
      </c>
      <c r="B406" s="20">
        <v>150000</v>
      </c>
      <c r="C406" s="20">
        <f t="shared" si="103"/>
        <v>1875</v>
      </c>
      <c r="D406" s="27">
        <v>45043</v>
      </c>
      <c r="E406" s="16" t="s">
        <v>11</v>
      </c>
      <c r="F406" s="16" t="s">
        <v>1448</v>
      </c>
    </row>
    <row r="407" spans="1:9">
      <c r="A407" s="16" t="s">
        <v>3887</v>
      </c>
      <c r="B407" s="20">
        <v>125000</v>
      </c>
      <c r="C407" s="20">
        <f t="shared" si="103"/>
        <v>1562.5</v>
      </c>
      <c r="D407" s="27">
        <v>45043</v>
      </c>
      <c r="E407" s="16" t="s">
        <v>11</v>
      </c>
      <c r="F407" s="16" t="s">
        <v>1448</v>
      </c>
    </row>
    <row r="408" spans="1:9">
      <c r="A408" s="16" t="s">
        <v>2606</v>
      </c>
      <c r="B408" s="20">
        <v>15000</v>
      </c>
      <c r="C408" s="20">
        <f t="shared" si="103"/>
        <v>187.5</v>
      </c>
      <c r="D408" s="27">
        <v>45043</v>
      </c>
      <c r="E408" s="16" t="s">
        <v>73</v>
      </c>
      <c r="F408" s="16" t="s">
        <v>1448</v>
      </c>
    </row>
    <row r="409" spans="1:9">
      <c r="A409" s="16" t="s">
        <v>3888</v>
      </c>
      <c r="B409" s="20">
        <v>90000</v>
      </c>
      <c r="C409" s="20">
        <f t="shared" ref="C409:C411" si="104">0.0175*B409</f>
        <v>1575.0000000000002</v>
      </c>
      <c r="D409" s="27">
        <v>45043</v>
      </c>
      <c r="E409" s="16" t="s">
        <v>11</v>
      </c>
      <c r="F409" s="16" t="s">
        <v>28</v>
      </c>
    </row>
    <row r="410" spans="1:9">
      <c r="A410" s="16" t="s">
        <v>3889</v>
      </c>
      <c r="B410" s="20">
        <v>40000</v>
      </c>
      <c r="C410" s="20">
        <f t="shared" si="104"/>
        <v>700.00000000000011</v>
      </c>
      <c r="D410" s="27">
        <v>45043</v>
      </c>
      <c r="E410" s="16" t="s">
        <v>11</v>
      </c>
      <c r="F410" s="16" t="s">
        <v>28</v>
      </c>
    </row>
    <row r="411" spans="1:9">
      <c r="A411" s="16" t="s">
        <v>3890</v>
      </c>
      <c r="B411" s="20">
        <v>40000</v>
      </c>
      <c r="C411" s="20">
        <f t="shared" si="104"/>
        <v>700.00000000000011</v>
      </c>
      <c r="D411" s="27">
        <v>45043</v>
      </c>
      <c r="E411" s="16" t="s">
        <v>11</v>
      </c>
      <c r="F411" s="16" t="s">
        <v>28</v>
      </c>
    </row>
    <row r="412" spans="1:9">
      <c r="A412" s="16" t="s">
        <v>3891</v>
      </c>
      <c r="B412" s="20">
        <v>16500</v>
      </c>
      <c r="C412" s="20">
        <f>0.0125*B412</f>
        <v>206.25</v>
      </c>
      <c r="D412" s="27">
        <v>45043</v>
      </c>
      <c r="E412" s="16" t="s">
        <v>11</v>
      </c>
      <c r="F412" s="16" t="s">
        <v>1448</v>
      </c>
    </row>
    <row r="413" spans="1:9">
      <c r="A413" s="16" t="s">
        <v>3892</v>
      </c>
      <c r="B413" s="20">
        <v>50000</v>
      </c>
      <c r="C413" s="20">
        <f t="shared" ref="C413:C414" si="105">0.0175*B413</f>
        <v>875.00000000000011</v>
      </c>
      <c r="D413" s="27">
        <v>45043</v>
      </c>
      <c r="E413" s="16" t="s">
        <v>11</v>
      </c>
      <c r="F413" s="16" t="s">
        <v>28</v>
      </c>
    </row>
    <row r="414" spans="1:9">
      <c r="A414" s="16" t="s">
        <v>3578</v>
      </c>
      <c r="B414" s="20">
        <v>250000</v>
      </c>
      <c r="C414" s="20">
        <f t="shared" si="105"/>
        <v>4375</v>
      </c>
      <c r="D414" s="27">
        <v>45044</v>
      </c>
      <c r="E414" s="16" t="s">
        <v>11</v>
      </c>
      <c r="F414" s="16" t="s">
        <v>28</v>
      </c>
      <c r="I414" s="21" t="s">
        <v>30</v>
      </c>
    </row>
    <row r="415" spans="1:9">
      <c r="A415" s="16" t="s">
        <v>3893</v>
      </c>
      <c r="B415" s="20">
        <v>425000</v>
      </c>
      <c r="C415" s="20">
        <f>0.0125*B415</f>
        <v>5312.5</v>
      </c>
      <c r="D415" s="27">
        <v>45044</v>
      </c>
      <c r="E415" s="16" t="s">
        <v>11</v>
      </c>
      <c r="F415" s="16" t="s">
        <v>1448</v>
      </c>
    </row>
    <row r="416" spans="1:9">
      <c r="A416" s="16" t="s">
        <v>1238</v>
      </c>
      <c r="B416" s="20">
        <v>175000</v>
      </c>
      <c r="C416" s="20">
        <f>0.0175*B416</f>
        <v>3062.5000000000005</v>
      </c>
      <c r="D416" s="27">
        <v>45044</v>
      </c>
      <c r="E416" s="16" t="s">
        <v>69</v>
      </c>
      <c r="F416" s="16" t="s">
        <v>28</v>
      </c>
      <c r="H416" s="16" t="s">
        <v>13</v>
      </c>
    </row>
    <row r="417" spans="1:9">
      <c r="A417" s="16" t="s">
        <v>3894</v>
      </c>
      <c r="B417" s="20">
        <v>250000</v>
      </c>
      <c r="C417" s="20">
        <f>0.0125*B417</f>
        <v>3125</v>
      </c>
      <c r="D417" s="27">
        <v>45044</v>
      </c>
      <c r="E417" s="16" t="s">
        <v>11</v>
      </c>
      <c r="F417" s="16" t="s">
        <v>1448</v>
      </c>
    </row>
    <row r="418" spans="1:9">
      <c r="A418" s="16" t="s">
        <v>3895</v>
      </c>
      <c r="B418" s="20">
        <v>200000</v>
      </c>
      <c r="C418" s="20">
        <f>0.0175*B418</f>
        <v>3500.0000000000005</v>
      </c>
      <c r="D418" s="27">
        <v>45044</v>
      </c>
      <c r="E418" s="16" t="s">
        <v>11</v>
      </c>
      <c r="F418" s="16" t="s">
        <v>28</v>
      </c>
      <c r="I418" s="21" t="s">
        <v>30</v>
      </c>
    </row>
    <row r="419" spans="1:9">
      <c r="A419" s="16" t="s">
        <v>530</v>
      </c>
      <c r="B419" s="20">
        <v>225000</v>
      </c>
      <c r="C419" s="20">
        <f t="shared" ref="C419:C421" si="106">0.0125*B419</f>
        <v>2812.5</v>
      </c>
      <c r="D419" s="27">
        <v>45044</v>
      </c>
      <c r="E419" s="16" t="s">
        <v>92</v>
      </c>
      <c r="F419" s="16" t="s">
        <v>1448</v>
      </c>
    </row>
    <row r="420" spans="1:9">
      <c r="A420" s="16" t="s">
        <v>3896</v>
      </c>
      <c r="B420" s="20">
        <v>60000</v>
      </c>
      <c r="C420" s="20">
        <f t="shared" si="106"/>
        <v>750</v>
      </c>
      <c r="D420" s="27">
        <v>45044</v>
      </c>
      <c r="E420" s="16" t="s">
        <v>11</v>
      </c>
      <c r="F420" s="16" t="s">
        <v>1448</v>
      </c>
    </row>
    <row r="421" spans="1:9">
      <c r="A421" s="16" t="s">
        <v>3806</v>
      </c>
      <c r="B421" s="20">
        <v>70000</v>
      </c>
      <c r="C421" s="20">
        <f t="shared" si="106"/>
        <v>875</v>
      </c>
      <c r="D421" s="27">
        <v>45044</v>
      </c>
      <c r="E421" s="16" t="s">
        <v>11</v>
      </c>
      <c r="F421" s="16" t="s">
        <v>1448</v>
      </c>
    </row>
    <row r="422" spans="1:9">
      <c r="A422" s="16" t="s">
        <v>3897</v>
      </c>
      <c r="B422" s="20">
        <v>60000</v>
      </c>
      <c r="C422" s="20">
        <f>0.0175*B422</f>
        <v>1050</v>
      </c>
      <c r="D422" s="27">
        <v>45044</v>
      </c>
      <c r="E422" s="16" t="s">
        <v>11</v>
      </c>
      <c r="F422" s="16" t="s">
        <v>28</v>
      </c>
    </row>
    <row r="423" spans="1:9">
      <c r="A423" s="57" t="s">
        <v>908</v>
      </c>
      <c r="B423" s="60">
        <v>50000</v>
      </c>
      <c r="C423" s="60">
        <f>0.0125*B423</f>
        <v>625</v>
      </c>
      <c r="D423" s="27">
        <v>45044</v>
      </c>
      <c r="E423" s="16" t="s">
        <v>11</v>
      </c>
      <c r="F423" s="16" t="s">
        <v>1448</v>
      </c>
      <c r="G423" s="61"/>
    </row>
    <row r="424" spans="1:9">
      <c r="A424" s="57" t="s">
        <v>3898</v>
      </c>
      <c r="B424" s="60">
        <v>40000</v>
      </c>
      <c r="C424" s="60">
        <f>0.0175*B424</f>
        <v>700.00000000000011</v>
      </c>
      <c r="D424" s="27">
        <v>45044</v>
      </c>
      <c r="E424" s="16" t="s">
        <v>11</v>
      </c>
      <c r="F424" s="16" t="s">
        <v>28</v>
      </c>
      <c r="G424" s="61"/>
    </row>
    <row r="425" spans="1:9">
      <c r="A425" s="11">
        <v>45047</v>
      </c>
      <c r="B425" s="9">
        <f t="shared" ref="B425:C425" si="107">SUM(B426:B520)</f>
        <v>17644000</v>
      </c>
      <c r="C425" s="9">
        <f t="shared" si="107"/>
        <v>247270</v>
      </c>
      <c r="D425" s="59"/>
      <c r="E425" s="59"/>
      <c r="F425" s="59"/>
      <c r="G425" s="59"/>
    </row>
    <row r="426" spans="1:9">
      <c r="A426" s="16" t="s">
        <v>3899</v>
      </c>
      <c r="B426" s="20">
        <v>100000</v>
      </c>
      <c r="C426" s="20">
        <f>0.0175*B426</f>
        <v>1750.0000000000002</v>
      </c>
      <c r="D426" s="27">
        <v>45047</v>
      </c>
      <c r="E426" s="16" t="s">
        <v>11</v>
      </c>
      <c r="F426" s="16" t="s">
        <v>28</v>
      </c>
      <c r="I426" s="21" t="s">
        <v>30</v>
      </c>
    </row>
    <row r="427" spans="1:9">
      <c r="A427" s="16" t="s">
        <v>3900</v>
      </c>
      <c r="B427" s="20">
        <v>25000</v>
      </c>
      <c r="C427" s="20">
        <f>0.0125*B427</f>
        <v>312.5</v>
      </c>
      <c r="D427" s="27">
        <v>45048</v>
      </c>
      <c r="E427" s="16" t="s">
        <v>3901</v>
      </c>
      <c r="F427" s="16" t="s">
        <v>1448</v>
      </c>
    </row>
    <row r="428" spans="1:9">
      <c r="A428" s="16" t="s">
        <v>2791</v>
      </c>
      <c r="B428" s="20">
        <v>300000</v>
      </c>
      <c r="C428" s="20">
        <f t="shared" ref="C428:C429" si="108">0.0175*B428</f>
        <v>5250.0000000000009</v>
      </c>
      <c r="D428" s="27">
        <v>45048</v>
      </c>
      <c r="E428" s="16" t="s">
        <v>11</v>
      </c>
      <c r="F428" s="16" t="s">
        <v>28</v>
      </c>
      <c r="I428" s="21" t="s">
        <v>30</v>
      </c>
    </row>
    <row r="429" spans="1:9">
      <c r="A429" s="16" t="s">
        <v>3902</v>
      </c>
      <c r="B429" s="20">
        <v>80000</v>
      </c>
      <c r="C429" s="20">
        <f t="shared" si="108"/>
        <v>1400.0000000000002</v>
      </c>
      <c r="D429" s="27">
        <v>45048</v>
      </c>
      <c r="E429" s="16" t="s">
        <v>3903</v>
      </c>
      <c r="F429" s="16" t="s">
        <v>28</v>
      </c>
      <c r="I429" s="21" t="s">
        <v>30</v>
      </c>
    </row>
    <row r="430" spans="1:9">
      <c r="A430" s="16" t="s">
        <v>46</v>
      </c>
      <c r="B430" s="20">
        <v>95000</v>
      </c>
      <c r="C430" s="20">
        <f t="shared" ref="C430:C433" si="109">0.0125*B430</f>
        <v>1187.5</v>
      </c>
      <c r="D430" s="27">
        <v>45049</v>
      </c>
      <c r="E430" s="16" t="s">
        <v>11</v>
      </c>
      <c r="F430" s="16" t="s">
        <v>1448</v>
      </c>
    </row>
    <row r="431" spans="1:9">
      <c r="A431" s="16" t="s">
        <v>3904</v>
      </c>
      <c r="B431" s="20">
        <v>235000</v>
      </c>
      <c r="C431" s="20">
        <f t="shared" si="109"/>
        <v>2937.5</v>
      </c>
      <c r="D431" s="27">
        <v>45049</v>
      </c>
      <c r="E431" s="16" t="s">
        <v>11</v>
      </c>
      <c r="F431" s="16" t="s">
        <v>1448</v>
      </c>
    </row>
    <row r="432" spans="1:9">
      <c r="A432" s="16" t="s">
        <v>3905</v>
      </c>
      <c r="B432" s="20">
        <v>350000</v>
      </c>
      <c r="C432" s="20">
        <f t="shared" si="109"/>
        <v>4375</v>
      </c>
      <c r="D432" s="27">
        <v>45049</v>
      </c>
      <c r="E432" s="16" t="s">
        <v>75</v>
      </c>
      <c r="F432" s="16" t="s">
        <v>1448</v>
      </c>
    </row>
    <row r="433" spans="1:9">
      <c r="A433" s="16" t="s">
        <v>3906</v>
      </c>
      <c r="B433" s="20">
        <v>500000</v>
      </c>
      <c r="C433" s="20">
        <f t="shared" si="109"/>
        <v>6250</v>
      </c>
      <c r="D433" s="27">
        <v>45049</v>
      </c>
      <c r="E433" s="16" t="s">
        <v>75</v>
      </c>
      <c r="F433" s="16" t="s">
        <v>1448</v>
      </c>
    </row>
    <row r="434" spans="1:9">
      <c r="A434" s="16" t="s">
        <v>3907</v>
      </c>
      <c r="B434" s="20">
        <v>500000</v>
      </c>
      <c r="C434" s="20">
        <f>0.0175*B434</f>
        <v>8750</v>
      </c>
      <c r="D434" s="27">
        <v>45050</v>
      </c>
      <c r="E434" s="16" t="s">
        <v>24</v>
      </c>
      <c r="F434" s="16" t="s">
        <v>28</v>
      </c>
      <c r="I434" s="21" t="s">
        <v>30</v>
      </c>
    </row>
    <row r="435" spans="1:9">
      <c r="A435" s="16" t="s">
        <v>473</v>
      </c>
      <c r="B435" s="20">
        <v>93000</v>
      </c>
      <c r="C435" s="20">
        <f t="shared" ref="C435:C437" si="110">0.0125*B435</f>
        <v>1162.5</v>
      </c>
      <c r="D435" s="27">
        <v>45050</v>
      </c>
      <c r="E435" s="16" t="s">
        <v>73</v>
      </c>
      <c r="F435" s="16" t="s">
        <v>1448</v>
      </c>
    </row>
    <row r="436" spans="1:9">
      <c r="A436" s="16" t="s">
        <v>2454</v>
      </c>
      <c r="B436" s="20">
        <v>610000</v>
      </c>
      <c r="C436" s="20">
        <f t="shared" si="110"/>
        <v>7625</v>
      </c>
      <c r="D436" s="27">
        <v>45050</v>
      </c>
      <c r="E436" s="16" t="s">
        <v>11</v>
      </c>
      <c r="F436" s="16" t="s">
        <v>1448</v>
      </c>
    </row>
    <row r="437" spans="1:9">
      <c r="A437" s="16" t="s">
        <v>3908</v>
      </c>
      <c r="B437" s="20">
        <v>22500</v>
      </c>
      <c r="C437" s="20">
        <f t="shared" si="110"/>
        <v>281.25</v>
      </c>
      <c r="D437" s="27">
        <v>45050</v>
      </c>
      <c r="E437" s="16" t="s">
        <v>11</v>
      </c>
      <c r="F437" s="16" t="s">
        <v>1448</v>
      </c>
    </row>
    <row r="438" spans="1:9">
      <c r="A438" s="16" t="s">
        <v>3909</v>
      </c>
      <c r="B438" s="20">
        <v>100000</v>
      </c>
      <c r="C438" s="20">
        <f t="shared" ref="C438:C439" si="111">0.0175*B438</f>
        <v>1750.0000000000002</v>
      </c>
      <c r="D438" s="27">
        <v>45050</v>
      </c>
      <c r="E438" s="16" t="s">
        <v>11</v>
      </c>
      <c r="F438" s="16" t="s">
        <v>28</v>
      </c>
    </row>
    <row r="439" spans="1:9">
      <c r="A439" s="16" t="s">
        <v>3910</v>
      </c>
      <c r="B439" s="20">
        <v>125000</v>
      </c>
      <c r="C439" s="20">
        <f t="shared" si="111"/>
        <v>2187.5</v>
      </c>
      <c r="D439" s="27">
        <v>45050</v>
      </c>
      <c r="E439" s="16" t="s">
        <v>11</v>
      </c>
      <c r="F439" s="16" t="s">
        <v>28</v>
      </c>
    </row>
    <row r="440" spans="1:9">
      <c r="A440" s="16" t="s">
        <v>2300</v>
      </c>
      <c r="B440" s="20">
        <v>50000</v>
      </c>
      <c r="C440" s="20">
        <f t="shared" ref="C440:C443" si="112">0.0125*B440</f>
        <v>625</v>
      </c>
      <c r="D440" s="27">
        <v>45050</v>
      </c>
      <c r="E440" s="16" t="s">
        <v>69</v>
      </c>
      <c r="F440" s="16" t="s">
        <v>1448</v>
      </c>
      <c r="H440" s="16" t="s">
        <v>13</v>
      </c>
    </row>
    <row r="441" spans="1:9">
      <c r="A441" s="16" t="s">
        <v>639</v>
      </c>
      <c r="B441" s="20">
        <v>240000</v>
      </c>
      <c r="C441" s="20">
        <f t="shared" si="112"/>
        <v>3000</v>
      </c>
      <c r="D441" s="27">
        <v>45051</v>
      </c>
      <c r="E441" s="16" t="s">
        <v>11</v>
      </c>
      <c r="F441" s="16" t="s">
        <v>1448</v>
      </c>
    </row>
    <row r="442" spans="1:9">
      <c r="A442" s="16" t="s">
        <v>3724</v>
      </c>
      <c r="B442" s="20">
        <v>200000</v>
      </c>
      <c r="C442" s="20">
        <f t="shared" si="112"/>
        <v>2500</v>
      </c>
      <c r="D442" s="27">
        <v>45054</v>
      </c>
      <c r="E442" s="16" t="s">
        <v>11</v>
      </c>
      <c r="F442" s="16" t="s">
        <v>1448</v>
      </c>
    </row>
    <row r="443" spans="1:9">
      <c r="A443" s="16" t="s">
        <v>3911</v>
      </c>
      <c r="B443" s="20">
        <v>1575000</v>
      </c>
      <c r="C443" s="20">
        <f t="shared" si="112"/>
        <v>19687.5</v>
      </c>
      <c r="D443" s="27">
        <v>45054</v>
      </c>
      <c r="E443" s="16" t="s">
        <v>3566</v>
      </c>
      <c r="F443" s="16" t="s">
        <v>1448</v>
      </c>
    </row>
    <row r="444" spans="1:9">
      <c r="A444" s="16" t="s">
        <v>3912</v>
      </c>
      <c r="B444" s="20">
        <v>70000</v>
      </c>
      <c r="C444" s="20">
        <f t="shared" ref="C444:C445" si="113">0.0175*B444</f>
        <v>1225.0000000000002</v>
      </c>
      <c r="D444" s="27">
        <v>45054</v>
      </c>
      <c r="E444" s="16" t="s">
        <v>3583</v>
      </c>
      <c r="F444" s="16" t="s">
        <v>28</v>
      </c>
      <c r="I444" s="21" t="s">
        <v>30</v>
      </c>
    </row>
    <row r="445" spans="1:9">
      <c r="A445" s="16" t="s">
        <v>3913</v>
      </c>
      <c r="B445" s="20">
        <v>30000</v>
      </c>
      <c r="C445" s="20">
        <f t="shared" si="113"/>
        <v>525</v>
      </c>
      <c r="D445" s="27">
        <v>45054</v>
      </c>
      <c r="E445" s="16" t="s">
        <v>60</v>
      </c>
      <c r="F445" s="16" t="s">
        <v>28</v>
      </c>
      <c r="I445" s="21" t="s">
        <v>30</v>
      </c>
    </row>
    <row r="446" spans="1:9">
      <c r="A446" s="16" t="s">
        <v>3914</v>
      </c>
      <c r="B446" s="20">
        <v>200000</v>
      </c>
      <c r="C446" s="20">
        <f t="shared" ref="C446:C455" si="114">0.0125*B446</f>
        <v>2500</v>
      </c>
      <c r="D446" s="27">
        <v>45055</v>
      </c>
      <c r="E446" s="16" t="s">
        <v>11</v>
      </c>
      <c r="F446" s="16" t="s">
        <v>1448</v>
      </c>
    </row>
    <row r="447" spans="1:9">
      <c r="A447" s="16" t="s">
        <v>3915</v>
      </c>
      <c r="B447" s="20">
        <v>80000</v>
      </c>
      <c r="C447" s="20">
        <f t="shared" si="114"/>
        <v>1000</v>
      </c>
      <c r="D447" s="27">
        <v>45055</v>
      </c>
      <c r="E447" s="16" t="s">
        <v>11</v>
      </c>
      <c r="F447" s="16" t="s">
        <v>1448</v>
      </c>
    </row>
    <row r="448" spans="1:9">
      <c r="A448" s="16" t="s">
        <v>3916</v>
      </c>
      <c r="B448" s="20">
        <v>20000</v>
      </c>
      <c r="C448" s="20">
        <f t="shared" si="114"/>
        <v>250</v>
      </c>
      <c r="D448" s="27">
        <v>45055</v>
      </c>
      <c r="E448" s="16" t="s">
        <v>11</v>
      </c>
      <c r="F448" s="16" t="s">
        <v>1448</v>
      </c>
    </row>
    <row r="449" spans="1:9">
      <c r="A449" s="16" t="s">
        <v>3917</v>
      </c>
      <c r="B449" s="20">
        <v>370000</v>
      </c>
      <c r="C449" s="20">
        <f t="shared" si="114"/>
        <v>4625</v>
      </c>
      <c r="D449" s="27">
        <v>45056</v>
      </c>
      <c r="E449" s="16" t="s">
        <v>11</v>
      </c>
      <c r="F449" s="16" t="s">
        <v>1448</v>
      </c>
    </row>
    <row r="450" spans="1:9">
      <c r="A450" s="16" t="s">
        <v>3633</v>
      </c>
      <c r="B450" s="20">
        <v>425000</v>
      </c>
      <c r="C450" s="20">
        <f t="shared" si="114"/>
        <v>5312.5</v>
      </c>
      <c r="D450" s="27">
        <v>45056</v>
      </c>
      <c r="E450" s="16" t="s">
        <v>11</v>
      </c>
      <c r="F450" s="16" t="s">
        <v>1448</v>
      </c>
    </row>
    <row r="451" spans="1:9">
      <c r="A451" s="16" t="s">
        <v>3918</v>
      </c>
      <c r="B451" s="20">
        <v>150000</v>
      </c>
      <c r="C451" s="20">
        <f t="shared" si="114"/>
        <v>1875</v>
      </c>
      <c r="D451" s="27">
        <v>45056</v>
      </c>
      <c r="E451" s="16" t="s">
        <v>11</v>
      </c>
      <c r="F451" s="16" t="s">
        <v>1448</v>
      </c>
    </row>
    <row r="452" spans="1:9">
      <c r="A452" s="16" t="s">
        <v>3919</v>
      </c>
      <c r="B452" s="20">
        <v>350000</v>
      </c>
      <c r="C452" s="20">
        <f t="shared" si="114"/>
        <v>4375</v>
      </c>
      <c r="D452" s="27">
        <v>45056</v>
      </c>
      <c r="E452" s="16" t="s">
        <v>3757</v>
      </c>
      <c r="F452" s="16" t="s">
        <v>1448</v>
      </c>
    </row>
    <row r="453" spans="1:9">
      <c r="A453" s="16" t="s">
        <v>3920</v>
      </c>
      <c r="B453" s="20">
        <v>120000</v>
      </c>
      <c r="C453" s="20">
        <f t="shared" si="114"/>
        <v>1500</v>
      </c>
      <c r="D453" s="27">
        <v>45056</v>
      </c>
      <c r="E453" s="16" t="s">
        <v>60</v>
      </c>
      <c r="F453" s="16" t="s">
        <v>1448</v>
      </c>
    </row>
    <row r="454" spans="1:9">
      <c r="A454" s="16" t="s">
        <v>3921</v>
      </c>
      <c r="B454" s="20">
        <v>45000</v>
      </c>
      <c r="C454" s="20">
        <f t="shared" si="114"/>
        <v>562.5</v>
      </c>
      <c r="D454" s="27">
        <v>45057</v>
      </c>
      <c r="E454" s="16" t="s">
        <v>11</v>
      </c>
      <c r="F454" s="16" t="s">
        <v>1448</v>
      </c>
    </row>
    <row r="455" spans="1:9">
      <c r="A455" s="16" t="s">
        <v>2301</v>
      </c>
      <c r="B455" s="20">
        <v>72500</v>
      </c>
      <c r="C455" s="20">
        <f t="shared" si="114"/>
        <v>906.25</v>
      </c>
      <c r="D455" s="27">
        <v>45057</v>
      </c>
      <c r="E455" s="16" t="s">
        <v>11</v>
      </c>
      <c r="F455" s="16" t="s">
        <v>1448</v>
      </c>
    </row>
    <row r="456" spans="1:9">
      <c r="A456" s="16" t="s">
        <v>3922</v>
      </c>
      <c r="B456" s="20">
        <v>44000</v>
      </c>
      <c r="C456" s="20">
        <f t="shared" ref="C456:C458" si="115">0.0175*B456</f>
        <v>770.00000000000011</v>
      </c>
      <c r="D456" s="27">
        <v>45057</v>
      </c>
      <c r="E456" s="16" t="s">
        <v>3923</v>
      </c>
      <c r="F456" s="16" t="s">
        <v>28</v>
      </c>
      <c r="H456" s="16" t="s">
        <v>3924</v>
      </c>
    </row>
    <row r="457" spans="1:9">
      <c r="A457" s="16" t="s">
        <v>3925</v>
      </c>
      <c r="B457" s="20">
        <v>90000</v>
      </c>
      <c r="C457" s="20">
        <f t="shared" si="115"/>
        <v>1575.0000000000002</v>
      </c>
      <c r="D457" s="27">
        <v>45057</v>
      </c>
      <c r="E457" s="16" t="s">
        <v>11</v>
      </c>
      <c r="F457" s="16" t="s">
        <v>28</v>
      </c>
    </row>
    <row r="458" spans="1:9">
      <c r="A458" s="16" t="s">
        <v>3926</v>
      </c>
      <c r="B458" s="20">
        <v>450000</v>
      </c>
      <c r="C458" s="20">
        <f t="shared" si="115"/>
        <v>7875.0000000000009</v>
      </c>
      <c r="D458" s="27">
        <v>45057</v>
      </c>
      <c r="E458" s="16" t="s">
        <v>461</v>
      </c>
      <c r="F458" s="16" t="s">
        <v>28</v>
      </c>
    </row>
    <row r="459" spans="1:9">
      <c r="A459" s="16" t="s">
        <v>3927</v>
      </c>
      <c r="B459" s="20">
        <v>45000</v>
      </c>
      <c r="C459" s="20">
        <f t="shared" ref="C459:C460" si="116">0.0125*B459</f>
        <v>562.5</v>
      </c>
      <c r="D459" s="27">
        <v>45057</v>
      </c>
      <c r="E459" s="16" t="s">
        <v>11</v>
      </c>
      <c r="F459" s="16" t="s">
        <v>1448</v>
      </c>
    </row>
    <row r="460" spans="1:9">
      <c r="A460" s="16" t="s">
        <v>3928</v>
      </c>
      <c r="B460" s="20">
        <v>15000</v>
      </c>
      <c r="C460" s="20">
        <f t="shared" si="116"/>
        <v>187.5</v>
      </c>
      <c r="D460" s="27">
        <v>45057</v>
      </c>
      <c r="E460" s="16" t="s">
        <v>11</v>
      </c>
      <c r="F460" s="16" t="s">
        <v>1448</v>
      </c>
    </row>
    <row r="461" spans="1:9">
      <c r="A461" s="16" t="s">
        <v>3929</v>
      </c>
      <c r="B461" s="20">
        <v>50000</v>
      </c>
      <c r="C461" s="20">
        <f>0.0175*B461</f>
        <v>875.00000000000011</v>
      </c>
      <c r="D461" s="27">
        <v>45057</v>
      </c>
      <c r="E461" s="16" t="s">
        <v>11</v>
      </c>
      <c r="F461" s="16" t="s">
        <v>28</v>
      </c>
    </row>
    <row r="462" spans="1:9">
      <c r="A462" s="16" t="s">
        <v>3930</v>
      </c>
      <c r="B462" s="20">
        <v>30000</v>
      </c>
      <c r="C462" s="20">
        <f t="shared" ref="C462:C463" si="117">0.0125*B462</f>
        <v>375</v>
      </c>
      <c r="D462" s="27">
        <v>45057</v>
      </c>
      <c r="E462" s="16" t="s">
        <v>11</v>
      </c>
      <c r="F462" s="16" t="s">
        <v>1448</v>
      </c>
    </row>
    <row r="463" spans="1:9">
      <c r="A463" s="16" t="s">
        <v>2462</v>
      </c>
      <c r="B463" s="20">
        <v>86500</v>
      </c>
      <c r="C463" s="20">
        <f t="shared" si="117"/>
        <v>1081.25</v>
      </c>
      <c r="D463" s="27">
        <v>45057</v>
      </c>
      <c r="E463" s="16" t="s">
        <v>11</v>
      </c>
      <c r="F463" s="16" t="s">
        <v>1448</v>
      </c>
    </row>
    <row r="464" spans="1:9">
      <c r="A464" s="16" t="s">
        <v>3931</v>
      </c>
      <c r="B464" s="20">
        <v>155000</v>
      </c>
      <c r="C464" s="20">
        <f t="shared" ref="C464:C466" si="118">0.0175*B464</f>
        <v>2712.5000000000005</v>
      </c>
      <c r="D464" s="27">
        <v>45061</v>
      </c>
      <c r="E464" s="16" t="s">
        <v>3923</v>
      </c>
      <c r="F464" s="16" t="s">
        <v>28</v>
      </c>
      <c r="H464" s="16" t="s">
        <v>3932</v>
      </c>
      <c r="I464" s="21" t="s">
        <v>30</v>
      </c>
    </row>
    <row r="465" spans="1:9">
      <c r="A465" s="16" t="s">
        <v>3933</v>
      </c>
      <c r="B465" s="20">
        <v>500000</v>
      </c>
      <c r="C465" s="20">
        <f t="shared" si="118"/>
        <v>8750</v>
      </c>
      <c r="D465" s="27">
        <v>45061</v>
      </c>
      <c r="E465" s="16" t="s">
        <v>3566</v>
      </c>
      <c r="F465" s="16" t="s">
        <v>28</v>
      </c>
      <c r="I465" s="21" t="s">
        <v>30</v>
      </c>
    </row>
    <row r="466" spans="1:9">
      <c r="A466" s="16" t="s">
        <v>3934</v>
      </c>
      <c r="B466" s="20">
        <v>40000</v>
      </c>
      <c r="C466" s="20">
        <f t="shared" si="118"/>
        <v>700.00000000000011</v>
      </c>
      <c r="D466" s="27">
        <v>45061</v>
      </c>
      <c r="E466" s="16" t="s">
        <v>11</v>
      </c>
      <c r="F466" s="16" t="s">
        <v>28</v>
      </c>
      <c r="I466" s="21" t="s">
        <v>30</v>
      </c>
    </row>
    <row r="467" spans="1:9">
      <c r="A467" s="16" t="s">
        <v>3935</v>
      </c>
      <c r="B467" s="20">
        <v>140000</v>
      </c>
      <c r="C467" s="20">
        <f>0.0125*B467</f>
        <v>1750</v>
      </c>
      <c r="D467" s="27">
        <v>45062</v>
      </c>
      <c r="E467" s="16" t="s">
        <v>11</v>
      </c>
      <c r="F467" s="16" t="s">
        <v>1448</v>
      </c>
    </row>
    <row r="468" spans="1:9">
      <c r="A468" s="16" t="s">
        <v>3936</v>
      </c>
      <c r="B468" s="20">
        <v>75000</v>
      </c>
      <c r="C468" s="20">
        <f>0.0175*B468</f>
        <v>1312.5000000000002</v>
      </c>
      <c r="D468" s="27">
        <v>45062</v>
      </c>
      <c r="E468" s="16" t="s">
        <v>60</v>
      </c>
      <c r="F468" s="16" t="s">
        <v>28</v>
      </c>
      <c r="I468" s="21" t="s">
        <v>30</v>
      </c>
    </row>
    <row r="469" spans="1:9">
      <c r="A469" s="16" t="s">
        <v>3937</v>
      </c>
      <c r="B469" s="20">
        <v>100000</v>
      </c>
      <c r="C469" s="20">
        <v>0</v>
      </c>
      <c r="D469" s="27">
        <v>45062</v>
      </c>
      <c r="E469" s="16" t="s">
        <v>11</v>
      </c>
      <c r="F469" s="16" t="s">
        <v>1448</v>
      </c>
      <c r="H469" s="16" t="s">
        <v>3938</v>
      </c>
    </row>
    <row r="470" spans="1:9">
      <c r="A470" s="16" t="s">
        <v>3939</v>
      </c>
      <c r="B470" s="20">
        <v>125000</v>
      </c>
      <c r="C470" s="20">
        <f>0.0175*B470</f>
        <v>2187.5</v>
      </c>
      <c r="D470" s="27">
        <v>45063</v>
      </c>
      <c r="E470" s="16" t="s">
        <v>60</v>
      </c>
      <c r="F470" s="16" t="s">
        <v>28</v>
      </c>
      <c r="I470" s="21" t="s">
        <v>30</v>
      </c>
    </row>
    <row r="471" spans="1:9">
      <c r="A471" s="16" t="s">
        <v>3715</v>
      </c>
      <c r="B471" s="20">
        <v>825000</v>
      </c>
      <c r="C471" s="20">
        <f>0.0125*B471</f>
        <v>10312.5</v>
      </c>
      <c r="D471" s="27">
        <v>45063</v>
      </c>
      <c r="E471" s="16" t="s">
        <v>11</v>
      </c>
      <c r="F471" s="16" t="s">
        <v>1448</v>
      </c>
    </row>
    <row r="472" spans="1:9">
      <c r="A472" s="16" t="s">
        <v>3940</v>
      </c>
      <c r="B472" s="20">
        <v>40000</v>
      </c>
      <c r="C472" s="20">
        <f>0.0175*B472</f>
        <v>700.00000000000011</v>
      </c>
      <c r="D472" s="27">
        <v>45063</v>
      </c>
      <c r="E472" s="16" t="s">
        <v>197</v>
      </c>
      <c r="F472" s="16" t="s">
        <v>28</v>
      </c>
    </row>
    <row r="473" spans="1:9">
      <c r="A473" s="16" t="s">
        <v>718</v>
      </c>
      <c r="B473" s="20">
        <v>580000</v>
      </c>
      <c r="C473" s="20">
        <f t="shared" ref="C473:C474" si="119">0.0125*B473</f>
        <v>7250</v>
      </c>
      <c r="D473" s="27">
        <v>45064</v>
      </c>
      <c r="E473" s="16" t="s">
        <v>73</v>
      </c>
      <c r="F473" s="16" t="s">
        <v>1448</v>
      </c>
    </row>
    <row r="474" spans="1:9">
      <c r="A474" s="16" t="s">
        <v>2365</v>
      </c>
      <c r="B474" s="20">
        <v>600000</v>
      </c>
      <c r="C474" s="20">
        <f t="shared" si="119"/>
        <v>7500</v>
      </c>
      <c r="D474" s="27">
        <v>45064</v>
      </c>
      <c r="E474" s="16" t="s">
        <v>11</v>
      </c>
      <c r="F474" s="16" t="s">
        <v>1448</v>
      </c>
    </row>
    <row r="475" spans="1:9">
      <c r="A475" s="16" t="s">
        <v>3941</v>
      </c>
      <c r="B475" s="20">
        <v>200000</v>
      </c>
      <c r="C475" s="20">
        <f>0.0175*B475</f>
        <v>3500.0000000000005</v>
      </c>
      <c r="D475" s="27">
        <v>45064</v>
      </c>
      <c r="E475" s="16" t="s">
        <v>3729</v>
      </c>
      <c r="F475" s="16" t="s">
        <v>28</v>
      </c>
      <c r="I475" s="21" t="s">
        <v>30</v>
      </c>
    </row>
    <row r="476" spans="1:9">
      <c r="A476" s="16" t="s">
        <v>3942</v>
      </c>
      <c r="B476" s="20">
        <v>215000</v>
      </c>
      <c r="C476" s="20">
        <f>0.0125*B476</f>
        <v>2687.5</v>
      </c>
      <c r="D476" s="27">
        <v>45064</v>
      </c>
      <c r="E476" s="16" t="s">
        <v>11</v>
      </c>
      <c r="F476" s="16" t="s">
        <v>1448</v>
      </c>
    </row>
    <row r="477" spans="1:9">
      <c r="A477" s="16" t="s">
        <v>3943</v>
      </c>
      <c r="B477" s="20">
        <v>30000</v>
      </c>
      <c r="C477" s="20">
        <f>0.0175*B477</f>
        <v>525</v>
      </c>
      <c r="D477" s="27">
        <v>45064</v>
      </c>
      <c r="E477" s="16" t="s">
        <v>11</v>
      </c>
      <c r="F477" s="16" t="s">
        <v>28</v>
      </c>
    </row>
    <row r="478" spans="1:9">
      <c r="A478" s="16" t="s">
        <v>3944</v>
      </c>
      <c r="B478" s="20">
        <v>85000</v>
      </c>
      <c r="C478" s="20">
        <f t="shared" ref="C478:C479" si="120">0.0125*B478</f>
        <v>1062.5</v>
      </c>
      <c r="D478" s="27">
        <v>45064</v>
      </c>
      <c r="E478" s="16" t="s">
        <v>11</v>
      </c>
      <c r="F478" s="16" t="s">
        <v>1448</v>
      </c>
    </row>
    <row r="479" spans="1:9">
      <c r="A479" s="16" t="s">
        <v>2886</v>
      </c>
      <c r="B479" s="20">
        <v>12000</v>
      </c>
      <c r="C479" s="20">
        <f t="shared" si="120"/>
        <v>150</v>
      </c>
      <c r="D479" s="27">
        <v>45064</v>
      </c>
      <c r="E479" s="16" t="s">
        <v>11</v>
      </c>
      <c r="F479" s="16" t="s">
        <v>1448</v>
      </c>
    </row>
    <row r="480" spans="1:9">
      <c r="A480" s="16" t="s">
        <v>3945</v>
      </c>
      <c r="B480" s="20">
        <v>40000</v>
      </c>
      <c r="C480" s="20">
        <f>0.0175*B480</f>
        <v>700.00000000000011</v>
      </c>
      <c r="D480" s="27">
        <v>45064</v>
      </c>
      <c r="E480" s="16" t="s">
        <v>11</v>
      </c>
      <c r="F480" s="16" t="s">
        <v>28</v>
      </c>
      <c r="I480" s="21" t="s">
        <v>30</v>
      </c>
    </row>
    <row r="481" spans="1:9">
      <c r="A481" s="16" t="s">
        <v>3946</v>
      </c>
      <c r="B481" s="20">
        <v>1747000</v>
      </c>
      <c r="C481" s="20">
        <f>0.0125*B481</f>
        <v>21837.5</v>
      </c>
      <c r="D481" s="27">
        <v>45064</v>
      </c>
      <c r="E481" s="16" t="s">
        <v>2405</v>
      </c>
      <c r="F481" s="16" t="s">
        <v>1448</v>
      </c>
    </row>
    <row r="482" spans="1:9">
      <c r="A482" s="16" t="s">
        <v>3947</v>
      </c>
      <c r="B482" s="20">
        <v>75000</v>
      </c>
      <c r="C482" s="20">
        <f t="shared" ref="C482:C483" si="121">0.0175*B482</f>
        <v>1312.5000000000002</v>
      </c>
      <c r="D482" s="27">
        <v>45065</v>
      </c>
      <c r="E482" s="16" t="s">
        <v>345</v>
      </c>
      <c r="F482" s="16" t="s">
        <v>28</v>
      </c>
      <c r="H482" s="16" t="s">
        <v>13</v>
      </c>
      <c r="I482" s="21" t="s">
        <v>30</v>
      </c>
    </row>
    <row r="483" spans="1:9">
      <c r="A483" s="16" t="s">
        <v>3948</v>
      </c>
      <c r="B483" s="20">
        <v>175000</v>
      </c>
      <c r="C483" s="20">
        <f t="shared" si="121"/>
        <v>3062.5000000000005</v>
      </c>
      <c r="D483" s="27">
        <v>45065</v>
      </c>
      <c r="E483" s="16" t="s">
        <v>60</v>
      </c>
      <c r="F483" s="16" t="s">
        <v>28</v>
      </c>
      <c r="I483" s="21" t="s">
        <v>30</v>
      </c>
    </row>
    <row r="484" spans="1:9">
      <c r="A484" s="16" t="s">
        <v>3600</v>
      </c>
      <c r="B484" s="20">
        <v>400000</v>
      </c>
      <c r="C484" s="20">
        <f>0.0125*B484</f>
        <v>5000</v>
      </c>
      <c r="D484" s="27">
        <v>45068</v>
      </c>
      <c r="E484" s="16" t="s">
        <v>3949</v>
      </c>
      <c r="F484" s="16" t="s">
        <v>1448</v>
      </c>
    </row>
    <row r="485" spans="1:9">
      <c r="A485" s="16" t="s">
        <v>3791</v>
      </c>
      <c r="B485" s="20">
        <v>200000</v>
      </c>
      <c r="C485" s="20">
        <f>0.0175*B485</f>
        <v>3500.0000000000005</v>
      </c>
      <c r="D485" s="27">
        <v>45068</v>
      </c>
      <c r="E485" s="16" t="s">
        <v>3566</v>
      </c>
      <c r="F485" s="16" t="s">
        <v>28</v>
      </c>
      <c r="I485" s="21" t="s">
        <v>30</v>
      </c>
    </row>
    <row r="486" spans="1:9">
      <c r="A486" s="16" t="s">
        <v>3950</v>
      </c>
      <c r="B486" s="20">
        <v>85000</v>
      </c>
      <c r="C486" s="20">
        <f t="shared" ref="C486:C487" si="122">0.0125*B486</f>
        <v>1062.5</v>
      </c>
      <c r="D486" s="27">
        <v>45068</v>
      </c>
      <c r="E486" s="16" t="s">
        <v>73</v>
      </c>
      <c r="F486" s="16" t="s">
        <v>1448</v>
      </c>
    </row>
    <row r="487" spans="1:9">
      <c r="A487" s="16" t="s">
        <v>2980</v>
      </c>
      <c r="B487" s="20">
        <v>50000</v>
      </c>
      <c r="C487" s="20">
        <f t="shared" si="122"/>
        <v>625</v>
      </c>
      <c r="D487" s="27">
        <v>45069</v>
      </c>
      <c r="E487" s="16" t="s">
        <v>60</v>
      </c>
      <c r="F487" s="16" t="s">
        <v>1448</v>
      </c>
    </row>
    <row r="488" spans="1:9">
      <c r="A488" s="16" t="s">
        <v>3951</v>
      </c>
      <c r="B488" s="20">
        <v>250000</v>
      </c>
      <c r="C488" s="20">
        <f t="shared" ref="C488:C491" si="123">0.0175*B488</f>
        <v>4375</v>
      </c>
      <c r="D488" s="27">
        <v>45069</v>
      </c>
      <c r="E488" s="16" t="s">
        <v>2120</v>
      </c>
      <c r="F488" s="16" t="s">
        <v>28</v>
      </c>
      <c r="I488" s="21" t="s">
        <v>30</v>
      </c>
    </row>
    <row r="489" spans="1:9">
      <c r="A489" s="16" t="s">
        <v>3952</v>
      </c>
      <c r="B489" s="20">
        <v>90000</v>
      </c>
      <c r="C489" s="20">
        <f t="shared" si="123"/>
        <v>1575.0000000000002</v>
      </c>
      <c r="D489" s="27">
        <v>45070</v>
      </c>
      <c r="E489" s="16" t="s">
        <v>2184</v>
      </c>
      <c r="F489" s="16" t="s">
        <v>28</v>
      </c>
      <c r="H489" s="16" t="s">
        <v>13</v>
      </c>
      <c r="I489" s="21" t="s">
        <v>30</v>
      </c>
    </row>
    <row r="490" spans="1:9">
      <c r="A490" s="16" t="s">
        <v>3953</v>
      </c>
      <c r="B490" s="20">
        <v>300000</v>
      </c>
      <c r="C490" s="20">
        <f t="shared" si="123"/>
        <v>5250.0000000000009</v>
      </c>
      <c r="D490" s="27">
        <v>45070</v>
      </c>
      <c r="E490" s="16" t="s">
        <v>3954</v>
      </c>
      <c r="F490" s="16" t="s">
        <v>28</v>
      </c>
      <c r="I490" s="21" t="s">
        <v>30</v>
      </c>
    </row>
    <row r="491" spans="1:9">
      <c r="A491" s="16" t="s">
        <v>3955</v>
      </c>
      <c r="B491" s="20">
        <v>45000</v>
      </c>
      <c r="C491" s="20">
        <f t="shared" si="123"/>
        <v>787.50000000000011</v>
      </c>
      <c r="D491" s="27">
        <v>45070</v>
      </c>
      <c r="E491" s="16" t="s">
        <v>3956</v>
      </c>
      <c r="F491" s="16" t="s">
        <v>28</v>
      </c>
      <c r="I491" s="21" t="s">
        <v>30</v>
      </c>
    </row>
    <row r="492" spans="1:9">
      <c r="A492" s="16" t="s">
        <v>3957</v>
      </c>
      <c r="B492" s="20">
        <v>50000</v>
      </c>
      <c r="C492" s="20">
        <f>0.0125*B492</f>
        <v>625</v>
      </c>
      <c r="D492" s="27">
        <v>45071</v>
      </c>
      <c r="E492" s="16" t="s">
        <v>92</v>
      </c>
      <c r="F492" s="16" t="s">
        <v>1448</v>
      </c>
    </row>
    <row r="493" spans="1:9">
      <c r="A493" s="16" t="s">
        <v>3958</v>
      </c>
      <c r="B493" s="20">
        <v>125000</v>
      </c>
      <c r="C493" s="20">
        <f t="shared" ref="C493:C496" si="124">0.0175*B493</f>
        <v>2187.5</v>
      </c>
      <c r="D493" s="27">
        <v>45071</v>
      </c>
      <c r="E493" s="16" t="s">
        <v>11</v>
      </c>
      <c r="F493" s="16" t="s">
        <v>28</v>
      </c>
      <c r="I493" s="21" t="s">
        <v>30</v>
      </c>
    </row>
    <row r="494" spans="1:9">
      <c r="A494" s="16" t="s">
        <v>3959</v>
      </c>
      <c r="B494" s="20">
        <v>40000</v>
      </c>
      <c r="C494" s="20">
        <f t="shared" si="124"/>
        <v>700.00000000000011</v>
      </c>
      <c r="D494" s="27">
        <v>45071</v>
      </c>
      <c r="E494" s="16" t="s">
        <v>3960</v>
      </c>
      <c r="F494" s="16" t="s">
        <v>28</v>
      </c>
      <c r="I494" s="21" t="s">
        <v>30</v>
      </c>
    </row>
    <row r="495" spans="1:9">
      <c r="A495" s="16" t="s">
        <v>3961</v>
      </c>
      <c r="B495" s="20">
        <v>45000</v>
      </c>
      <c r="C495" s="20">
        <f t="shared" si="124"/>
        <v>787.50000000000011</v>
      </c>
      <c r="D495" s="27">
        <v>45071</v>
      </c>
      <c r="E495" s="16" t="s">
        <v>69</v>
      </c>
      <c r="F495" s="16" t="s">
        <v>28</v>
      </c>
      <c r="H495" s="16" t="s">
        <v>13</v>
      </c>
      <c r="I495" s="21" t="s">
        <v>30</v>
      </c>
    </row>
    <row r="496" spans="1:9">
      <c r="A496" s="16" t="s">
        <v>3962</v>
      </c>
      <c r="B496" s="20">
        <v>60000</v>
      </c>
      <c r="C496" s="20">
        <f t="shared" si="124"/>
        <v>1050</v>
      </c>
      <c r="D496" s="27">
        <v>45071</v>
      </c>
      <c r="E496" s="16" t="s">
        <v>11</v>
      </c>
      <c r="F496" s="16" t="s">
        <v>28</v>
      </c>
      <c r="I496" s="21" t="s">
        <v>30</v>
      </c>
    </row>
    <row r="497" spans="1:9">
      <c r="A497" s="16" t="s">
        <v>3876</v>
      </c>
      <c r="B497" s="20">
        <v>70000</v>
      </c>
      <c r="C497" s="20">
        <f t="shared" ref="C497:C500" si="125">0.0125*B497</f>
        <v>875</v>
      </c>
      <c r="D497" s="27">
        <v>45071</v>
      </c>
      <c r="E497" s="16" t="s">
        <v>11</v>
      </c>
      <c r="F497" s="16" t="s">
        <v>1448</v>
      </c>
    </row>
    <row r="498" spans="1:9">
      <c r="A498" s="16" t="s">
        <v>3963</v>
      </c>
      <c r="B498" s="20">
        <v>130000</v>
      </c>
      <c r="C498" s="20">
        <f t="shared" si="125"/>
        <v>1625</v>
      </c>
      <c r="D498" s="27">
        <v>45071</v>
      </c>
      <c r="E498" s="16" t="s">
        <v>11</v>
      </c>
      <c r="F498" s="16" t="s">
        <v>1448</v>
      </c>
    </row>
    <row r="499" spans="1:9">
      <c r="A499" s="16" t="s">
        <v>3964</v>
      </c>
      <c r="B499" s="20">
        <v>55000</v>
      </c>
      <c r="C499" s="20">
        <f t="shared" si="125"/>
        <v>687.5</v>
      </c>
      <c r="D499" s="27">
        <v>45071</v>
      </c>
      <c r="E499" s="16" t="s">
        <v>11</v>
      </c>
      <c r="F499" s="16" t="s">
        <v>1448</v>
      </c>
    </row>
    <row r="500" spans="1:9">
      <c r="A500" s="16" t="s">
        <v>3965</v>
      </c>
      <c r="B500" s="20">
        <v>25000</v>
      </c>
      <c r="C500" s="20">
        <f t="shared" si="125"/>
        <v>312.5</v>
      </c>
      <c r="D500" s="27">
        <v>45071</v>
      </c>
      <c r="E500" s="16" t="s">
        <v>11</v>
      </c>
      <c r="F500" s="16" t="s">
        <v>1448</v>
      </c>
    </row>
    <row r="501" spans="1:9">
      <c r="A501" s="16" t="s">
        <v>3966</v>
      </c>
      <c r="B501" s="20">
        <v>150000</v>
      </c>
      <c r="C501" s="20">
        <f>0.0175*B501</f>
        <v>2625.0000000000005</v>
      </c>
      <c r="D501" s="27">
        <v>45072</v>
      </c>
      <c r="E501" s="16" t="s">
        <v>69</v>
      </c>
      <c r="F501" s="16" t="s">
        <v>28</v>
      </c>
      <c r="H501" s="16" t="s">
        <v>13</v>
      </c>
      <c r="I501" s="21" t="s">
        <v>30</v>
      </c>
    </row>
    <row r="502" spans="1:9">
      <c r="A502" s="16" t="s">
        <v>3967</v>
      </c>
      <c r="B502" s="20">
        <v>40000</v>
      </c>
      <c r="C502" s="20">
        <f>0.0125*B502</f>
        <v>500</v>
      </c>
      <c r="D502" s="27">
        <v>45072</v>
      </c>
      <c r="E502" s="16" t="s">
        <v>345</v>
      </c>
      <c r="F502" s="16" t="s">
        <v>1448</v>
      </c>
      <c r="H502" s="16" t="s">
        <v>13</v>
      </c>
    </row>
    <row r="503" spans="1:9">
      <c r="A503" s="16" t="s">
        <v>3968</v>
      </c>
      <c r="B503" s="20">
        <v>200000</v>
      </c>
      <c r="C503" s="20">
        <f t="shared" ref="C503:C506" si="126">0.0175*B503</f>
        <v>3500.0000000000005</v>
      </c>
      <c r="D503" s="27">
        <v>45076</v>
      </c>
      <c r="E503" s="16" t="s">
        <v>11</v>
      </c>
      <c r="F503" s="16" t="s">
        <v>28</v>
      </c>
      <c r="I503" s="21" t="s">
        <v>30</v>
      </c>
    </row>
    <row r="504" spans="1:9">
      <c r="A504" s="16" t="s">
        <v>3969</v>
      </c>
      <c r="B504" s="20">
        <v>150000</v>
      </c>
      <c r="C504" s="20">
        <f t="shared" si="126"/>
        <v>2625.0000000000005</v>
      </c>
      <c r="D504" s="27">
        <v>45076</v>
      </c>
      <c r="E504" s="16" t="s">
        <v>69</v>
      </c>
      <c r="F504" s="16" t="s">
        <v>28</v>
      </c>
      <c r="H504" s="16" t="s">
        <v>13</v>
      </c>
      <c r="I504" s="21" t="s">
        <v>30</v>
      </c>
    </row>
    <row r="505" spans="1:9">
      <c r="A505" s="16" t="s">
        <v>3150</v>
      </c>
      <c r="B505" s="20">
        <v>150000</v>
      </c>
      <c r="C505" s="20">
        <f t="shared" si="126"/>
        <v>2625.0000000000005</v>
      </c>
      <c r="D505" s="27">
        <v>45076</v>
      </c>
      <c r="E505" s="16" t="s">
        <v>11</v>
      </c>
      <c r="F505" s="16" t="s">
        <v>28</v>
      </c>
      <c r="I505" s="21" t="s">
        <v>30</v>
      </c>
    </row>
    <row r="506" spans="1:9">
      <c r="A506" s="16" t="s">
        <v>3970</v>
      </c>
      <c r="B506" s="20">
        <v>50000</v>
      </c>
      <c r="C506" s="20">
        <f t="shared" si="126"/>
        <v>875.00000000000011</v>
      </c>
      <c r="D506" s="27">
        <v>45076</v>
      </c>
      <c r="E506" s="16" t="s">
        <v>11</v>
      </c>
      <c r="F506" s="16" t="s">
        <v>28</v>
      </c>
      <c r="I506" s="21" t="s">
        <v>30</v>
      </c>
    </row>
    <row r="507" spans="1:9">
      <c r="A507" s="16" t="s">
        <v>3971</v>
      </c>
      <c r="B507" s="20">
        <v>70000</v>
      </c>
      <c r="C507" s="20">
        <f t="shared" ref="C507:C509" si="127">0.0125*B507</f>
        <v>875</v>
      </c>
      <c r="D507" s="27">
        <v>45076</v>
      </c>
      <c r="E507" s="16" t="s">
        <v>11</v>
      </c>
      <c r="F507" s="16" t="s">
        <v>1448</v>
      </c>
      <c r="I507" s="21" t="s">
        <v>30</v>
      </c>
    </row>
    <row r="508" spans="1:9">
      <c r="A508" s="16" t="s">
        <v>3972</v>
      </c>
      <c r="B508" s="20">
        <v>75000</v>
      </c>
      <c r="C508" s="20">
        <f t="shared" si="127"/>
        <v>937.5</v>
      </c>
      <c r="D508" s="27">
        <v>45076</v>
      </c>
      <c r="E508" s="16" t="s">
        <v>11</v>
      </c>
      <c r="F508" s="16" t="s">
        <v>1448</v>
      </c>
    </row>
    <row r="509" spans="1:9">
      <c r="A509" s="16" t="s">
        <v>3973</v>
      </c>
      <c r="B509" s="20">
        <v>390000</v>
      </c>
      <c r="C509" s="20">
        <f t="shared" si="127"/>
        <v>4875</v>
      </c>
      <c r="D509" s="27">
        <v>45077</v>
      </c>
      <c r="E509" s="16" t="s">
        <v>11</v>
      </c>
      <c r="F509" s="16" t="s">
        <v>1448</v>
      </c>
    </row>
    <row r="510" spans="1:9">
      <c r="A510" s="16" t="s">
        <v>3974</v>
      </c>
      <c r="B510" s="20">
        <v>70000</v>
      </c>
      <c r="C510" s="20">
        <f t="shared" ref="C510:C512" si="128">0.0175*B510</f>
        <v>1225.0000000000002</v>
      </c>
      <c r="D510" s="27">
        <v>45077</v>
      </c>
      <c r="E510" s="16" t="s">
        <v>11</v>
      </c>
      <c r="F510" s="16" t="s">
        <v>28</v>
      </c>
      <c r="I510" s="21" t="s">
        <v>30</v>
      </c>
    </row>
    <row r="511" spans="1:9">
      <c r="A511" s="16" t="s">
        <v>3975</v>
      </c>
      <c r="B511" s="20">
        <v>80000</v>
      </c>
      <c r="C511" s="20">
        <f t="shared" si="128"/>
        <v>1400.0000000000002</v>
      </c>
      <c r="D511" s="27">
        <v>45077</v>
      </c>
      <c r="E511" s="16" t="s">
        <v>60</v>
      </c>
      <c r="F511" s="16" t="s">
        <v>28</v>
      </c>
      <c r="I511" s="21" t="s">
        <v>30</v>
      </c>
    </row>
    <row r="512" spans="1:9">
      <c r="A512" s="16" t="s">
        <v>3976</v>
      </c>
      <c r="B512" s="20">
        <v>110000</v>
      </c>
      <c r="C512" s="20">
        <f t="shared" si="128"/>
        <v>1925.0000000000002</v>
      </c>
      <c r="D512" s="27">
        <v>45077</v>
      </c>
      <c r="E512" s="16" t="s">
        <v>11</v>
      </c>
      <c r="F512" s="16" t="s">
        <v>28</v>
      </c>
      <c r="I512" s="21" t="s">
        <v>30</v>
      </c>
    </row>
    <row r="513" spans="1:9">
      <c r="A513" s="16" t="s">
        <v>3977</v>
      </c>
      <c r="B513" s="20">
        <v>25000</v>
      </c>
      <c r="C513" s="20">
        <f>0.0125*B513</f>
        <v>312.5</v>
      </c>
      <c r="D513" s="27">
        <v>45077</v>
      </c>
      <c r="E513" s="16" t="s">
        <v>11</v>
      </c>
      <c r="F513" s="16" t="s">
        <v>1448</v>
      </c>
    </row>
    <row r="514" spans="1:9">
      <c r="A514" s="16" t="s">
        <v>407</v>
      </c>
      <c r="B514" s="20">
        <v>40000</v>
      </c>
      <c r="C514" s="20">
        <f>0.0175*B514</f>
        <v>700.00000000000011</v>
      </c>
      <c r="D514" s="27">
        <v>45077</v>
      </c>
      <c r="E514" s="16" t="s">
        <v>11</v>
      </c>
      <c r="F514" s="16" t="s">
        <v>28</v>
      </c>
    </row>
    <row r="515" spans="1:9">
      <c r="A515" s="16" t="s">
        <v>3978</v>
      </c>
      <c r="B515" s="20">
        <v>50000</v>
      </c>
      <c r="C515" s="20">
        <f t="shared" ref="C515:C516" si="129">0.0125*B515</f>
        <v>625</v>
      </c>
      <c r="D515" s="27">
        <v>45077</v>
      </c>
      <c r="E515" s="16" t="s">
        <v>11</v>
      </c>
      <c r="F515" s="16" t="s">
        <v>1448</v>
      </c>
    </row>
    <row r="516" spans="1:9">
      <c r="A516" s="16" t="s">
        <v>3979</v>
      </c>
      <c r="B516" s="20">
        <v>125000</v>
      </c>
      <c r="C516" s="20">
        <f t="shared" si="129"/>
        <v>1562.5</v>
      </c>
      <c r="D516" s="27">
        <v>45077</v>
      </c>
      <c r="E516" s="16" t="s">
        <v>60</v>
      </c>
      <c r="F516" s="16" t="s">
        <v>1448</v>
      </c>
    </row>
    <row r="517" spans="1:9">
      <c r="A517" s="16" t="s">
        <v>3980</v>
      </c>
      <c r="B517" s="20">
        <v>40000</v>
      </c>
      <c r="C517" s="20">
        <f t="shared" ref="C517:C518" si="130">0.0175*B517</f>
        <v>700.00000000000011</v>
      </c>
      <c r="D517" s="27">
        <v>45077</v>
      </c>
      <c r="E517" s="16" t="s">
        <v>11</v>
      </c>
      <c r="F517" s="16" t="s">
        <v>28</v>
      </c>
    </row>
    <row r="518" spans="1:9">
      <c r="A518" s="16" t="s">
        <v>3981</v>
      </c>
      <c r="B518" s="20">
        <v>5000</v>
      </c>
      <c r="C518" s="20">
        <f t="shared" si="130"/>
        <v>87.500000000000014</v>
      </c>
      <c r="D518" s="27">
        <v>45077</v>
      </c>
      <c r="E518" s="16" t="s">
        <v>11</v>
      </c>
      <c r="F518" s="16" t="s">
        <v>28</v>
      </c>
    </row>
    <row r="519" spans="1:9">
      <c r="A519" s="57" t="s">
        <v>3849</v>
      </c>
      <c r="B519" s="60">
        <v>36500</v>
      </c>
      <c r="C519" s="60">
        <f t="shared" ref="C519:C520" si="131">0.0125*B519</f>
        <v>456.25</v>
      </c>
      <c r="D519" s="27">
        <v>45077</v>
      </c>
      <c r="E519" s="16" t="s">
        <v>11</v>
      </c>
      <c r="F519" s="16" t="s">
        <v>1448</v>
      </c>
      <c r="G519" s="61"/>
    </row>
    <row r="520" spans="1:9">
      <c r="A520" s="57" t="s">
        <v>3982</v>
      </c>
      <c r="B520" s="60">
        <v>65000</v>
      </c>
      <c r="C520" s="60">
        <f t="shared" si="131"/>
        <v>812.5</v>
      </c>
      <c r="D520" s="27">
        <v>45077</v>
      </c>
      <c r="E520" s="16" t="s">
        <v>11</v>
      </c>
      <c r="F520" s="16" t="s">
        <v>1448</v>
      </c>
      <c r="G520" s="61"/>
    </row>
    <row r="521" spans="1:9">
      <c r="A521" s="11">
        <v>45078</v>
      </c>
      <c r="B521" s="9">
        <f t="shared" ref="B521:C521" si="132">SUM(B522:B619)</f>
        <v>20971750</v>
      </c>
      <c r="C521" s="9">
        <f t="shared" si="132"/>
        <v>286494.375</v>
      </c>
      <c r="D521" s="59"/>
      <c r="E521" s="59"/>
      <c r="F521" s="59"/>
      <c r="G521" s="59"/>
    </row>
    <row r="522" spans="1:9">
      <c r="A522" s="16" t="s">
        <v>3922</v>
      </c>
      <c r="B522" s="20">
        <v>102000</v>
      </c>
      <c r="C522" s="20">
        <f t="shared" ref="C522:C523" si="133">0.0175*B522</f>
        <v>1785.0000000000002</v>
      </c>
      <c r="D522" s="27">
        <v>45078</v>
      </c>
      <c r="E522" s="16" t="s">
        <v>15</v>
      </c>
      <c r="F522" s="16" t="s">
        <v>28</v>
      </c>
      <c r="H522" s="16" t="s">
        <v>3924</v>
      </c>
    </row>
    <row r="523" spans="1:9">
      <c r="A523" s="16" t="s">
        <v>3983</v>
      </c>
      <c r="B523" s="20">
        <v>200000</v>
      </c>
      <c r="C523" s="20">
        <f t="shared" si="133"/>
        <v>3500.0000000000005</v>
      </c>
      <c r="D523" s="27">
        <v>45078</v>
      </c>
      <c r="E523" s="16" t="s">
        <v>11</v>
      </c>
      <c r="F523" s="16" t="s">
        <v>28</v>
      </c>
      <c r="I523" s="21" t="s">
        <v>30</v>
      </c>
    </row>
    <row r="524" spans="1:9">
      <c r="A524" s="16" t="s">
        <v>3984</v>
      </c>
      <c r="B524" s="20">
        <v>70000</v>
      </c>
      <c r="C524" s="20">
        <v>0</v>
      </c>
      <c r="D524" s="27">
        <v>45079</v>
      </c>
      <c r="E524" s="16" t="s">
        <v>3985</v>
      </c>
      <c r="F524" s="16" t="s">
        <v>28</v>
      </c>
      <c r="H524" s="16" t="s">
        <v>3986</v>
      </c>
      <c r="I524" s="21" t="s">
        <v>30</v>
      </c>
    </row>
    <row r="525" spans="1:9">
      <c r="A525" s="16" t="s">
        <v>3987</v>
      </c>
      <c r="B525" s="20">
        <v>90000</v>
      </c>
      <c r="C525" s="20">
        <f t="shared" ref="C525:C528" si="134">0.0175*B525</f>
        <v>1575.0000000000002</v>
      </c>
      <c r="D525" s="27">
        <v>45083</v>
      </c>
      <c r="E525" s="16" t="s">
        <v>60</v>
      </c>
      <c r="F525" s="16" t="s">
        <v>28</v>
      </c>
      <c r="I525" s="21" t="s">
        <v>30</v>
      </c>
    </row>
    <row r="526" spans="1:9">
      <c r="A526" s="16" t="s">
        <v>3988</v>
      </c>
      <c r="B526" s="20">
        <v>150000</v>
      </c>
      <c r="C526" s="20">
        <f t="shared" si="134"/>
        <v>2625.0000000000005</v>
      </c>
      <c r="D526" s="27">
        <v>45079</v>
      </c>
      <c r="E526" s="16" t="s">
        <v>11</v>
      </c>
      <c r="F526" s="16" t="s">
        <v>28</v>
      </c>
      <c r="I526" s="21" t="s">
        <v>30</v>
      </c>
    </row>
    <row r="527" spans="1:9">
      <c r="A527" s="16" t="s">
        <v>3989</v>
      </c>
      <c r="B527" s="20">
        <v>50000</v>
      </c>
      <c r="C527" s="20">
        <f t="shared" si="134"/>
        <v>875.00000000000011</v>
      </c>
      <c r="D527" s="27">
        <v>45079</v>
      </c>
      <c r="E527" s="16" t="s">
        <v>11</v>
      </c>
      <c r="F527" s="16" t="s">
        <v>28</v>
      </c>
      <c r="I527" s="21" t="s">
        <v>30</v>
      </c>
    </row>
    <row r="528" spans="1:9">
      <c r="A528" s="16" t="s">
        <v>3990</v>
      </c>
      <c r="B528" s="20">
        <v>20000</v>
      </c>
      <c r="C528" s="20">
        <f t="shared" si="134"/>
        <v>350.00000000000006</v>
      </c>
      <c r="D528" s="27">
        <v>45079</v>
      </c>
      <c r="E528" s="16" t="s">
        <v>11</v>
      </c>
      <c r="F528" s="16" t="s">
        <v>28</v>
      </c>
    </row>
    <row r="529" spans="1:9">
      <c r="A529" s="16" t="s">
        <v>2090</v>
      </c>
      <c r="B529" s="20">
        <v>50000</v>
      </c>
      <c r="C529" s="20">
        <v>0</v>
      </c>
      <c r="D529" s="27">
        <v>45079</v>
      </c>
      <c r="E529" s="16" t="s">
        <v>73</v>
      </c>
      <c r="F529" s="16" t="s">
        <v>1448</v>
      </c>
      <c r="H529" s="16" t="s">
        <v>3991</v>
      </c>
    </row>
    <row r="530" spans="1:9">
      <c r="A530" s="16" t="s">
        <v>3992</v>
      </c>
      <c r="B530" s="20">
        <v>2000000</v>
      </c>
      <c r="C530" s="20">
        <f>0.0175*B530</f>
        <v>35000</v>
      </c>
      <c r="D530" s="27">
        <v>45083</v>
      </c>
      <c r="E530" s="16" t="s">
        <v>60</v>
      </c>
      <c r="F530" s="16" t="s">
        <v>1448</v>
      </c>
    </row>
    <row r="531" spans="1:9">
      <c r="A531" s="16" t="s">
        <v>3820</v>
      </c>
      <c r="B531" s="20">
        <v>195000</v>
      </c>
      <c r="C531" s="20">
        <f>0.0125*B531</f>
        <v>2437.5</v>
      </c>
      <c r="D531" s="27">
        <v>45083</v>
      </c>
      <c r="E531" s="16" t="s">
        <v>11</v>
      </c>
      <c r="F531" s="16" t="s">
        <v>1448</v>
      </c>
    </row>
    <row r="532" spans="1:9">
      <c r="A532" s="16" t="s">
        <v>3993</v>
      </c>
      <c r="B532" s="20">
        <v>150000</v>
      </c>
      <c r="C532" s="20">
        <f t="shared" ref="C532:C534" si="135">0.0175*B532</f>
        <v>2625.0000000000005</v>
      </c>
      <c r="D532" s="27">
        <v>45083</v>
      </c>
      <c r="E532" s="16" t="s">
        <v>2184</v>
      </c>
      <c r="F532" s="16" t="s">
        <v>28</v>
      </c>
      <c r="H532" s="16" t="s">
        <v>13</v>
      </c>
      <c r="I532" s="21" t="s">
        <v>30</v>
      </c>
    </row>
    <row r="533" spans="1:9">
      <c r="A533" s="16" t="s">
        <v>3994</v>
      </c>
      <c r="B533" s="20">
        <v>130000</v>
      </c>
      <c r="C533" s="20">
        <f t="shared" si="135"/>
        <v>2275</v>
      </c>
      <c r="D533" s="27">
        <v>45084</v>
      </c>
      <c r="E533" s="16" t="s">
        <v>69</v>
      </c>
      <c r="F533" s="16" t="s">
        <v>28</v>
      </c>
      <c r="H533" s="16" t="s">
        <v>13</v>
      </c>
      <c r="I533" s="21" t="s">
        <v>30</v>
      </c>
    </row>
    <row r="534" spans="1:9">
      <c r="A534" s="16" t="s">
        <v>3995</v>
      </c>
      <c r="B534" s="20">
        <v>140000</v>
      </c>
      <c r="C534" s="20">
        <f t="shared" si="135"/>
        <v>2450.0000000000005</v>
      </c>
      <c r="D534" s="27">
        <v>45084</v>
      </c>
      <c r="E534" s="16" t="s">
        <v>345</v>
      </c>
      <c r="F534" s="16" t="s">
        <v>28</v>
      </c>
      <c r="H534" s="16" t="s">
        <v>13</v>
      </c>
      <c r="I534" s="21" t="s">
        <v>30</v>
      </c>
    </row>
    <row r="535" spans="1:9">
      <c r="A535" s="16" t="s">
        <v>630</v>
      </c>
      <c r="B535" s="20">
        <v>40000</v>
      </c>
      <c r="C535" s="20">
        <f t="shared" ref="C535:C540" si="136">0.0125*B535</f>
        <v>500</v>
      </c>
      <c r="D535" s="27">
        <v>45085</v>
      </c>
      <c r="E535" s="16" t="s">
        <v>11</v>
      </c>
      <c r="F535" s="16" t="s">
        <v>1448</v>
      </c>
    </row>
    <row r="536" spans="1:9">
      <c r="A536" s="16" t="s">
        <v>3996</v>
      </c>
      <c r="B536" s="20">
        <v>40000</v>
      </c>
      <c r="C536" s="20">
        <f t="shared" si="136"/>
        <v>500</v>
      </c>
      <c r="D536" s="27">
        <v>45085</v>
      </c>
      <c r="E536" s="16" t="s">
        <v>11</v>
      </c>
      <c r="F536" s="16" t="s">
        <v>1448</v>
      </c>
    </row>
    <row r="537" spans="1:9">
      <c r="A537" s="16" t="s">
        <v>3997</v>
      </c>
      <c r="B537" s="20">
        <v>83500</v>
      </c>
      <c r="C537" s="20">
        <f t="shared" si="136"/>
        <v>1043.75</v>
      </c>
      <c r="D537" s="27">
        <v>45085</v>
      </c>
      <c r="E537" s="16" t="s">
        <v>60</v>
      </c>
      <c r="F537" s="16" t="s">
        <v>1448</v>
      </c>
    </row>
    <row r="538" spans="1:9">
      <c r="A538" s="16" t="s">
        <v>3998</v>
      </c>
      <c r="B538" s="20">
        <v>150000</v>
      </c>
      <c r="C538" s="20">
        <f t="shared" si="136"/>
        <v>1875</v>
      </c>
      <c r="D538" s="27">
        <v>45085</v>
      </c>
      <c r="E538" s="16" t="s">
        <v>11</v>
      </c>
      <c r="F538" s="16" t="s">
        <v>1448</v>
      </c>
    </row>
    <row r="539" spans="1:9">
      <c r="A539" s="16" t="s">
        <v>3999</v>
      </c>
      <c r="B539" s="20">
        <v>175000</v>
      </c>
      <c r="C539" s="20">
        <f t="shared" si="136"/>
        <v>2187.5</v>
      </c>
      <c r="D539" s="27">
        <v>45085</v>
      </c>
      <c r="E539" s="16" t="s">
        <v>11</v>
      </c>
      <c r="F539" s="16" t="s">
        <v>1448</v>
      </c>
    </row>
    <row r="540" spans="1:9">
      <c r="A540" s="16" t="s">
        <v>4000</v>
      </c>
      <c r="B540" s="20">
        <v>50000</v>
      </c>
      <c r="C540" s="20">
        <f t="shared" si="136"/>
        <v>625</v>
      </c>
      <c r="D540" s="27">
        <v>45085</v>
      </c>
      <c r="E540" s="16" t="s">
        <v>73</v>
      </c>
      <c r="F540" s="16" t="s">
        <v>1448</v>
      </c>
    </row>
    <row r="541" spans="1:9">
      <c r="A541" s="16" t="s">
        <v>4001</v>
      </c>
      <c r="B541" s="20">
        <v>50000</v>
      </c>
      <c r="C541" s="20">
        <f t="shared" ref="C541:C542" si="137">0.0175*B541</f>
        <v>875.00000000000011</v>
      </c>
      <c r="D541" s="27">
        <v>45085</v>
      </c>
      <c r="E541" s="16" t="s">
        <v>60</v>
      </c>
      <c r="F541" s="16" t="s">
        <v>28</v>
      </c>
      <c r="I541" s="21" t="s">
        <v>30</v>
      </c>
    </row>
    <row r="542" spans="1:9">
      <c r="A542" s="16" t="s">
        <v>4002</v>
      </c>
      <c r="B542" s="20">
        <v>35000</v>
      </c>
      <c r="C542" s="20">
        <f t="shared" si="137"/>
        <v>612.50000000000011</v>
      </c>
      <c r="D542" s="27">
        <v>45085</v>
      </c>
      <c r="E542" s="16" t="s">
        <v>11</v>
      </c>
      <c r="F542" s="16" t="s">
        <v>28</v>
      </c>
      <c r="I542" s="21" t="s">
        <v>30</v>
      </c>
    </row>
    <row r="543" spans="1:9">
      <c r="A543" s="16" t="s">
        <v>4003</v>
      </c>
      <c r="B543" s="20">
        <v>320000</v>
      </c>
      <c r="C543" s="20">
        <f t="shared" ref="C543:C548" si="138">0.0125*B543</f>
        <v>4000</v>
      </c>
      <c r="D543" s="27">
        <v>45086</v>
      </c>
      <c r="E543" s="16" t="s">
        <v>345</v>
      </c>
      <c r="F543" s="16" t="s">
        <v>1448</v>
      </c>
      <c r="H543" s="16" t="s">
        <v>13</v>
      </c>
    </row>
    <row r="544" spans="1:9">
      <c r="A544" s="16" t="s">
        <v>3679</v>
      </c>
      <c r="B544" s="20">
        <v>100000</v>
      </c>
      <c r="C544" s="20">
        <f t="shared" si="138"/>
        <v>1250</v>
      </c>
      <c r="D544" s="27">
        <v>45086</v>
      </c>
      <c r="E544" s="16" t="s">
        <v>11</v>
      </c>
      <c r="F544" s="16" t="s">
        <v>1448</v>
      </c>
    </row>
    <row r="545" spans="1:9">
      <c r="A545" s="16" t="s">
        <v>348</v>
      </c>
      <c r="B545" s="20">
        <v>375000</v>
      </c>
      <c r="C545" s="20">
        <f t="shared" si="138"/>
        <v>4687.5</v>
      </c>
      <c r="D545" s="27">
        <v>45086</v>
      </c>
      <c r="E545" s="16" t="s">
        <v>60</v>
      </c>
      <c r="F545" s="16" t="s">
        <v>1448</v>
      </c>
    </row>
    <row r="546" spans="1:9">
      <c r="A546" s="16" t="s">
        <v>4004</v>
      </c>
      <c r="B546" s="20">
        <v>125000</v>
      </c>
      <c r="C546" s="20">
        <f t="shared" si="138"/>
        <v>1562.5</v>
      </c>
      <c r="D546" s="27">
        <v>45089</v>
      </c>
      <c r="E546" s="16" t="s">
        <v>4005</v>
      </c>
      <c r="F546" s="16" t="s">
        <v>1448</v>
      </c>
    </row>
    <row r="547" spans="1:9">
      <c r="A547" s="16" t="s">
        <v>3555</v>
      </c>
      <c r="B547" s="20">
        <v>200000</v>
      </c>
      <c r="C547" s="20">
        <f t="shared" si="138"/>
        <v>2500</v>
      </c>
      <c r="D547" s="27">
        <v>45089</v>
      </c>
      <c r="E547" s="16" t="s">
        <v>11</v>
      </c>
      <c r="F547" s="16" t="s">
        <v>1448</v>
      </c>
    </row>
    <row r="548" spans="1:9">
      <c r="A548" s="16" t="s">
        <v>4006</v>
      </c>
      <c r="B548" s="20">
        <v>190000</v>
      </c>
      <c r="C548" s="20">
        <f t="shared" si="138"/>
        <v>2375</v>
      </c>
      <c r="D548" s="27">
        <v>45089</v>
      </c>
      <c r="E548" s="16" t="s">
        <v>11</v>
      </c>
      <c r="F548" s="16" t="s">
        <v>1448</v>
      </c>
    </row>
    <row r="549" spans="1:9">
      <c r="A549" s="16" t="s">
        <v>4007</v>
      </c>
      <c r="B549" s="20">
        <v>250000</v>
      </c>
      <c r="C549" s="20">
        <f>0.0175*B549</f>
        <v>4375</v>
      </c>
      <c r="D549" s="27">
        <v>45090</v>
      </c>
      <c r="E549" s="16" t="s">
        <v>11</v>
      </c>
      <c r="F549" s="16" t="s">
        <v>28</v>
      </c>
      <c r="I549" s="21" t="s">
        <v>30</v>
      </c>
    </row>
    <row r="550" spans="1:9">
      <c r="A550" s="16" t="s">
        <v>4008</v>
      </c>
      <c r="B550" s="20">
        <v>430000</v>
      </c>
      <c r="C550" s="20">
        <f t="shared" ref="C550:C551" si="139">0.0125*B550</f>
        <v>5375</v>
      </c>
      <c r="D550" s="27">
        <v>45090</v>
      </c>
      <c r="E550" s="16" t="s">
        <v>4009</v>
      </c>
      <c r="F550" s="16" t="s">
        <v>1448</v>
      </c>
    </row>
    <row r="551" spans="1:9">
      <c r="A551" s="16" t="s">
        <v>4010</v>
      </c>
      <c r="B551" s="20">
        <v>150000</v>
      </c>
      <c r="C551" s="20">
        <f t="shared" si="139"/>
        <v>1875</v>
      </c>
      <c r="D551" s="27">
        <v>45090</v>
      </c>
      <c r="E551" s="16" t="s">
        <v>60</v>
      </c>
      <c r="F551" s="16" t="s">
        <v>1448</v>
      </c>
    </row>
    <row r="552" spans="1:9">
      <c r="A552" s="16" t="s">
        <v>4011</v>
      </c>
      <c r="B552" s="20">
        <v>65000</v>
      </c>
      <c r="C552" s="20">
        <f>0.0175*B552</f>
        <v>1137.5</v>
      </c>
      <c r="D552" s="27">
        <v>45090</v>
      </c>
      <c r="E552" s="16" t="s">
        <v>60</v>
      </c>
      <c r="F552" s="16" t="s">
        <v>28</v>
      </c>
      <c r="I552" s="21" t="s">
        <v>30</v>
      </c>
    </row>
    <row r="553" spans="1:9">
      <c r="A553" s="16" t="s">
        <v>4012</v>
      </c>
      <c r="B553" s="20">
        <v>175000</v>
      </c>
      <c r="C553" s="20">
        <f>0.0125*B553</f>
        <v>2187.5</v>
      </c>
      <c r="D553" s="27">
        <v>45090</v>
      </c>
      <c r="E553" s="16" t="s">
        <v>11</v>
      </c>
      <c r="F553" s="16" t="s">
        <v>1448</v>
      </c>
    </row>
    <row r="554" spans="1:9">
      <c r="A554" s="16" t="s">
        <v>1457</v>
      </c>
      <c r="B554" s="20">
        <v>90000</v>
      </c>
      <c r="C554" s="20">
        <v>0</v>
      </c>
      <c r="D554" s="27">
        <v>45090</v>
      </c>
      <c r="E554" s="16" t="s">
        <v>11</v>
      </c>
      <c r="F554" s="16" t="s">
        <v>1448</v>
      </c>
      <c r="H554" s="16" t="s">
        <v>4013</v>
      </c>
    </row>
    <row r="555" spans="1:9">
      <c r="A555" s="16" t="s">
        <v>4014</v>
      </c>
      <c r="B555" s="20">
        <v>70000</v>
      </c>
      <c r="C555" s="20">
        <f>0.0175*60000</f>
        <v>1050</v>
      </c>
      <c r="D555" s="27">
        <v>45091</v>
      </c>
      <c r="E555" s="16" t="s">
        <v>69</v>
      </c>
      <c r="F555" s="16" t="s">
        <v>28</v>
      </c>
      <c r="H555" s="16" t="s">
        <v>4015</v>
      </c>
      <c r="I555" s="21" t="s">
        <v>30</v>
      </c>
    </row>
    <row r="556" spans="1:9">
      <c r="A556" s="16" t="s">
        <v>4016</v>
      </c>
      <c r="B556" s="20">
        <v>52500</v>
      </c>
      <c r="C556" s="20">
        <f t="shared" ref="C556:C568" si="140">0.0125*B556</f>
        <v>656.25</v>
      </c>
      <c r="D556" s="27">
        <v>45091</v>
      </c>
      <c r="E556" s="16" t="s">
        <v>92</v>
      </c>
      <c r="F556" s="16" t="s">
        <v>1448</v>
      </c>
    </row>
    <row r="557" spans="1:9">
      <c r="A557" s="16" t="s">
        <v>4017</v>
      </c>
      <c r="B557" s="20">
        <v>506000</v>
      </c>
      <c r="C557" s="20">
        <f t="shared" si="140"/>
        <v>6325</v>
      </c>
      <c r="D557" s="27">
        <v>45092</v>
      </c>
      <c r="E557" s="16" t="s">
        <v>11</v>
      </c>
      <c r="F557" s="16" t="s">
        <v>1448</v>
      </c>
    </row>
    <row r="558" spans="1:9">
      <c r="A558" s="16" t="s">
        <v>4018</v>
      </c>
      <c r="B558" s="20">
        <v>25000</v>
      </c>
      <c r="C558" s="20">
        <f t="shared" si="140"/>
        <v>312.5</v>
      </c>
      <c r="D558" s="27">
        <v>45092</v>
      </c>
      <c r="E558" s="16" t="s">
        <v>73</v>
      </c>
      <c r="F558" s="16" t="s">
        <v>1448</v>
      </c>
    </row>
    <row r="559" spans="1:9">
      <c r="A559" s="16" t="s">
        <v>4019</v>
      </c>
      <c r="B559" s="20">
        <v>17750</v>
      </c>
      <c r="C559" s="20">
        <f t="shared" si="140"/>
        <v>221.875</v>
      </c>
      <c r="D559" s="27">
        <v>45092</v>
      </c>
      <c r="E559" s="16" t="s">
        <v>11</v>
      </c>
      <c r="F559" s="16" t="s">
        <v>1448</v>
      </c>
    </row>
    <row r="560" spans="1:9">
      <c r="A560" s="16" t="s">
        <v>102</v>
      </c>
      <c r="B560" s="20">
        <v>125000</v>
      </c>
      <c r="C560" s="20">
        <f t="shared" si="140"/>
        <v>1562.5</v>
      </c>
      <c r="D560" s="27">
        <v>45092</v>
      </c>
      <c r="E560" s="16" t="s">
        <v>11</v>
      </c>
      <c r="F560" s="16" t="s">
        <v>1448</v>
      </c>
    </row>
    <row r="561" spans="1:9">
      <c r="A561" s="16" t="s">
        <v>4020</v>
      </c>
      <c r="B561" s="20">
        <v>110000</v>
      </c>
      <c r="C561" s="20">
        <f t="shared" si="140"/>
        <v>1375</v>
      </c>
      <c r="D561" s="27">
        <v>45092</v>
      </c>
      <c r="E561" s="16" t="s">
        <v>11</v>
      </c>
      <c r="F561" s="16" t="s">
        <v>1448</v>
      </c>
    </row>
    <row r="562" spans="1:9">
      <c r="A562" s="16" t="s">
        <v>4021</v>
      </c>
      <c r="B562" s="20">
        <v>50000</v>
      </c>
      <c r="C562" s="20">
        <f t="shared" si="140"/>
        <v>625</v>
      </c>
      <c r="D562" s="27">
        <v>45092</v>
      </c>
      <c r="E562" s="16" t="s">
        <v>11</v>
      </c>
      <c r="F562" s="16" t="s">
        <v>1448</v>
      </c>
    </row>
    <row r="563" spans="1:9">
      <c r="A563" s="16" t="s">
        <v>3305</v>
      </c>
      <c r="B563" s="20">
        <v>60000</v>
      </c>
      <c r="C563" s="20">
        <f t="shared" si="140"/>
        <v>750</v>
      </c>
      <c r="D563" s="27">
        <v>45092</v>
      </c>
      <c r="E563" s="16" t="s">
        <v>11</v>
      </c>
      <c r="F563" s="16" t="s">
        <v>1448</v>
      </c>
    </row>
    <row r="564" spans="1:9">
      <c r="A564" s="16" t="s">
        <v>4022</v>
      </c>
      <c r="B564" s="20">
        <v>16500</v>
      </c>
      <c r="C564" s="20">
        <f t="shared" si="140"/>
        <v>206.25</v>
      </c>
      <c r="D564" s="27">
        <v>45092</v>
      </c>
      <c r="E564" s="16" t="s">
        <v>11</v>
      </c>
      <c r="F564" s="16" t="s">
        <v>1448</v>
      </c>
    </row>
    <row r="565" spans="1:9">
      <c r="A565" s="16" t="s">
        <v>2402</v>
      </c>
      <c r="B565" s="20">
        <v>50000</v>
      </c>
      <c r="C565" s="20">
        <f t="shared" si="140"/>
        <v>625</v>
      </c>
      <c r="D565" s="27">
        <v>45092</v>
      </c>
      <c r="E565" s="16" t="s">
        <v>4023</v>
      </c>
      <c r="F565" s="16" t="s">
        <v>1448</v>
      </c>
    </row>
    <row r="566" spans="1:9">
      <c r="A566" s="16" t="s">
        <v>2470</v>
      </c>
      <c r="B566" s="20">
        <v>75000</v>
      </c>
      <c r="C566" s="20">
        <f t="shared" si="140"/>
        <v>937.5</v>
      </c>
      <c r="D566" s="27">
        <v>45092</v>
      </c>
      <c r="E566" s="16" t="s">
        <v>11</v>
      </c>
      <c r="F566" s="16" t="s">
        <v>1448</v>
      </c>
    </row>
    <row r="567" spans="1:9">
      <c r="A567" s="16" t="s">
        <v>2702</v>
      </c>
      <c r="B567" s="20">
        <v>200000</v>
      </c>
      <c r="C567" s="20">
        <f t="shared" si="140"/>
        <v>2500</v>
      </c>
      <c r="D567" s="27">
        <v>45092</v>
      </c>
      <c r="E567" s="16" t="s">
        <v>11</v>
      </c>
      <c r="F567" s="16" t="s">
        <v>1448</v>
      </c>
    </row>
    <row r="568" spans="1:9">
      <c r="A568" s="16" t="s">
        <v>3896</v>
      </c>
      <c r="B568" s="20">
        <v>55500</v>
      </c>
      <c r="C568" s="20">
        <f t="shared" si="140"/>
        <v>693.75</v>
      </c>
      <c r="D568" s="27">
        <v>45092</v>
      </c>
      <c r="E568" s="16" t="s">
        <v>11</v>
      </c>
      <c r="F568" s="16" t="s">
        <v>1448</v>
      </c>
    </row>
    <row r="569" spans="1:9">
      <c r="A569" s="16" t="s">
        <v>4024</v>
      </c>
      <c r="B569" s="20">
        <v>350000</v>
      </c>
      <c r="C569" s="20">
        <f>0.0175*340000</f>
        <v>5950.0000000000009</v>
      </c>
      <c r="D569" s="27">
        <v>45093</v>
      </c>
      <c r="E569" s="16" t="s">
        <v>69</v>
      </c>
      <c r="F569" s="16" t="s">
        <v>28</v>
      </c>
      <c r="H569" s="16" t="s">
        <v>4025</v>
      </c>
      <c r="I569" s="21" t="s">
        <v>30</v>
      </c>
    </row>
    <row r="570" spans="1:9">
      <c r="A570" s="16" t="s">
        <v>4026</v>
      </c>
      <c r="B570" s="20">
        <v>70000</v>
      </c>
      <c r="C570" s="20">
        <f>0.0175*B570</f>
        <v>1225.0000000000002</v>
      </c>
      <c r="D570" s="27">
        <v>45093</v>
      </c>
      <c r="E570" s="16" t="s">
        <v>197</v>
      </c>
      <c r="F570" s="16" t="s">
        <v>28</v>
      </c>
      <c r="H570" s="16" t="s">
        <v>13</v>
      </c>
      <c r="I570" s="21" t="s">
        <v>30</v>
      </c>
    </row>
    <row r="571" spans="1:9">
      <c r="A571" s="16" t="s">
        <v>4027</v>
      </c>
      <c r="B571" s="20">
        <v>1150000</v>
      </c>
      <c r="C571" s="20">
        <f t="shared" ref="C571:C572" si="141">0.0125*B571</f>
        <v>14375</v>
      </c>
      <c r="D571" s="27">
        <v>45093</v>
      </c>
      <c r="E571" s="16" t="s">
        <v>11</v>
      </c>
      <c r="F571" s="16" t="s">
        <v>1448</v>
      </c>
    </row>
    <row r="572" spans="1:9">
      <c r="A572" s="16" t="s">
        <v>4028</v>
      </c>
      <c r="B572" s="20">
        <v>270000</v>
      </c>
      <c r="C572" s="20">
        <f t="shared" si="141"/>
        <v>3375</v>
      </c>
      <c r="D572" s="27">
        <v>45097</v>
      </c>
      <c r="E572" s="16" t="s">
        <v>69</v>
      </c>
      <c r="F572" s="16" t="s">
        <v>1448</v>
      </c>
      <c r="H572" s="16" t="s">
        <v>13</v>
      </c>
    </row>
    <row r="573" spans="1:9">
      <c r="A573" s="16" t="s">
        <v>4029</v>
      </c>
      <c r="B573" s="20">
        <v>60000</v>
      </c>
      <c r="C573" s="20">
        <f>0.0175*B573</f>
        <v>1050</v>
      </c>
      <c r="D573" s="27">
        <v>45097</v>
      </c>
      <c r="E573" s="16" t="s">
        <v>11</v>
      </c>
      <c r="F573" s="16" t="s">
        <v>28</v>
      </c>
      <c r="I573" s="21" t="s">
        <v>30</v>
      </c>
    </row>
    <row r="574" spans="1:9">
      <c r="A574" s="16" t="s">
        <v>4030</v>
      </c>
      <c r="B574" s="20">
        <v>70000</v>
      </c>
      <c r="C574" s="20">
        <f t="shared" ref="C574:C576" si="142">0.0125*B574</f>
        <v>875</v>
      </c>
      <c r="D574" s="27">
        <v>45097</v>
      </c>
      <c r="E574" s="16" t="s">
        <v>73</v>
      </c>
      <c r="F574" s="16" t="s">
        <v>1448</v>
      </c>
    </row>
    <row r="575" spans="1:9">
      <c r="A575" s="16" t="s">
        <v>4031</v>
      </c>
      <c r="B575" s="20">
        <v>200000</v>
      </c>
      <c r="C575" s="20">
        <f t="shared" si="142"/>
        <v>2500</v>
      </c>
      <c r="D575" s="27">
        <v>45097</v>
      </c>
      <c r="E575" s="16" t="s">
        <v>11</v>
      </c>
      <c r="F575" s="16" t="s">
        <v>1448</v>
      </c>
    </row>
    <row r="576" spans="1:9">
      <c r="A576" s="16" t="s">
        <v>4032</v>
      </c>
      <c r="B576" s="20">
        <v>200000</v>
      </c>
      <c r="C576" s="20">
        <f t="shared" si="142"/>
        <v>2500</v>
      </c>
      <c r="D576" s="27">
        <v>45097</v>
      </c>
      <c r="E576" s="16" t="s">
        <v>11</v>
      </c>
      <c r="F576" s="16" t="s">
        <v>1448</v>
      </c>
    </row>
    <row r="577" spans="1:9">
      <c r="A577" s="16" t="s">
        <v>4033</v>
      </c>
      <c r="B577" s="20">
        <v>200000</v>
      </c>
      <c r="C577" s="20">
        <f>0.0175*B577</f>
        <v>3500.0000000000005</v>
      </c>
      <c r="D577" s="27">
        <v>45098</v>
      </c>
      <c r="E577" s="16" t="s">
        <v>4023</v>
      </c>
      <c r="F577" s="16" t="s">
        <v>28</v>
      </c>
      <c r="I577" s="21" t="s">
        <v>30</v>
      </c>
    </row>
    <row r="578" spans="1:9">
      <c r="A578" s="16" t="s">
        <v>4034</v>
      </c>
      <c r="B578" s="20">
        <v>100000</v>
      </c>
      <c r="C578" s="20">
        <f t="shared" ref="C578:C580" si="143">0.0125*B578</f>
        <v>1250</v>
      </c>
      <c r="D578" s="27">
        <v>45098</v>
      </c>
      <c r="E578" s="16" t="s">
        <v>11</v>
      </c>
      <c r="F578" s="16" t="s">
        <v>1448</v>
      </c>
    </row>
    <row r="579" spans="1:9">
      <c r="A579" s="16" t="s">
        <v>4035</v>
      </c>
      <c r="B579" s="20">
        <v>535000</v>
      </c>
      <c r="C579" s="20">
        <f t="shared" si="143"/>
        <v>6687.5</v>
      </c>
      <c r="D579" s="27">
        <v>45099</v>
      </c>
      <c r="E579" s="16" t="s">
        <v>11</v>
      </c>
      <c r="F579" s="16" t="s">
        <v>1448</v>
      </c>
    </row>
    <row r="580" spans="1:9">
      <c r="A580" s="16" t="s">
        <v>4036</v>
      </c>
      <c r="B580" s="20">
        <v>415000</v>
      </c>
      <c r="C580" s="20">
        <f t="shared" si="143"/>
        <v>5187.5</v>
      </c>
      <c r="D580" s="27">
        <v>45099</v>
      </c>
      <c r="E580" s="16" t="s">
        <v>11</v>
      </c>
      <c r="F580" s="16" t="s">
        <v>1448</v>
      </c>
    </row>
    <row r="581" spans="1:9">
      <c r="A581" s="16" t="s">
        <v>4037</v>
      </c>
      <c r="B581" s="20">
        <v>100000</v>
      </c>
      <c r="C581" s="20">
        <f t="shared" ref="C581:C582" si="144">0.0175*B581</f>
        <v>1750.0000000000002</v>
      </c>
      <c r="D581" s="27">
        <v>45099</v>
      </c>
      <c r="E581" s="16" t="s">
        <v>4023</v>
      </c>
      <c r="F581" s="16" t="s">
        <v>28</v>
      </c>
    </row>
    <row r="582" spans="1:9">
      <c r="A582" s="16" t="s">
        <v>4038</v>
      </c>
      <c r="B582" s="20">
        <v>100000</v>
      </c>
      <c r="C582" s="20">
        <f t="shared" si="144"/>
        <v>1750.0000000000002</v>
      </c>
      <c r="D582" s="27">
        <v>45099</v>
      </c>
      <c r="E582" s="16" t="s">
        <v>11</v>
      </c>
      <c r="F582" s="16" t="s">
        <v>28</v>
      </c>
      <c r="I582" s="21" t="s">
        <v>30</v>
      </c>
    </row>
    <row r="583" spans="1:9">
      <c r="A583" s="16" t="s">
        <v>391</v>
      </c>
      <c r="B583" s="20">
        <v>140000</v>
      </c>
      <c r="C583" s="20">
        <f t="shared" ref="C583:C591" si="145">0.0125*B583</f>
        <v>1750</v>
      </c>
      <c r="D583" s="27">
        <v>45099</v>
      </c>
      <c r="E583" s="16" t="s">
        <v>11</v>
      </c>
      <c r="F583" s="16" t="s">
        <v>1448</v>
      </c>
    </row>
    <row r="584" spans="1:9">
      <c r="A584" s="16" t="s">
        <v>3766</v>
      </c>
      <c r="B584" s="20">
        <v>18000</v>
      </c>
      <c r="C584" s="20">
        <f t="shared" si="145"/>
        <v>225</v>
      </c>
      <c r="D584" s="27">
        <v>45099</v>
      </c>
      <c r="E584" s="16" t="s">
        <v>11</v>
      </c>
      <c r="F584" s="16" t="s">
        <v>1448</v>
      </c>
    </row>
    <row r="585" spans="1:9">
      <c r="A585" s="16" t="s">
        <v>3066</v>
      </c>
      <c r="B585" s="20">
        <v>265000</v>
      </c>
      <c r="C585" s="20">
        <f t="shared" si="145"/>
        <v>3312.5</v>
      </c>
      <c r="D585" s="27">
        <v>45099</v>
      </c>
      <c r="E585" s="16" t="s">
        <v>11</v>
      </c>
      <c r="F585" s="16" t="s">
        <v>1448</v>
      </c>
    </row>
    <row r="586" spans="1:9">
      <c r="A586" s="16" t="s">
        <v>4039</v>
      </c>
      <c r="B586" s="20">
        <v>82500</v>
      </c>
      <c r="C586" s="20">
        <f t="shared" si="145"/>
        <v>1031.25</v>
      </c>
      <c r="D586" s="27">
        <v>45099</v>
      </c>
      <c r="E586" s="16" t="s">
        <v>11</v>
      </c>
      <c r="F586" s="16" t="s">
        <v>1448</v>
      </c>
    </row>
    <row r="587" spans="1:9">
      <c r="A587" s="16" t="s">
        <v>4040</v>
      </c>
      <c r="B587" s="20">
        <v>15000</v>
      </c>
      <c r="C587" s="20">
        <f t="shared" si="145"/>
        <v>187.5</v>
      </c>
      <c r="D587" s="27">
        <v>45099</v>
      </c>
      <c r="E587" s="16" t="s">
        <v>11</v>
      </c>
      <c r="F587" s="16" t="s">
        <v>1448</v>
      </c>
    </row>
    <row r="588" spans="1:9">
      <c r="A588" s="16" t="s">
        <v>201</v>
      </c>
      <c r="B588" s="20">
        <v>35000</v>
      </c>
      <c r="C588" s="20">
        <f t="shared" si="145"/>
        <v>437.5</v>
      </c>
      <c r="D588" s="27">
        <v>45099</v>
      </c>
      <c r="E588" s="16" t="s">
        <v>11</v>
      </c>
      <c r="F588" s="16" t="s">
        <v>1448</v>
      </c>
    </row>
    <row r="589" spans="1:9">
      <c r="A589" s="16" t="s">
        <v>4041</v>
      </c>
      <c r="B589" s="20">
        <v>125000</v>
      </c>
      <c r="C589" s="20">
        <f t="shared" si="145"/>
        <v>1562.5</v>
      </c>
      <c r="D589" s="27">
        <v>45099</v>
      </c>
      <c r="E589" s="16" t="s">
        <v>11</v>
      </c>
      <c r="F589" s="16" t="s">
        <v>1448</v>
      </c>
    </row>
    <row r="590" spans="1:9">
      <c r="A590" s="16" t="s">
        <v>4042</v>
      </c>
      <c r="B590" s="20">
        <v>60000</v>
      </c>
      <c r="C590" s="20">
        <f t="shared" si="145"/>
        <v>750</v>
      </c>
      <c r="D590" s="27">
        <v>45099</v>
      </c>
      <c r="E590" s="16" t="s">
        <v>11</v>
      </c>
      <c r="F590" s="16" t="s">
        <v>1448</v>
      </c>
    </row>
    <row r="591" spans="1:9">
      <c r="A591" s="16" t="s">
        <v>2111</v>
      </c>
      <c r="B591" s="20">
        <v>340000</v>
      </c>
      <c r="C591" s="20">
        <f t="shared" si="145"/>
        <v>4250</v>
      </c>
      <c r="D591" s="27">
        <v>45099</v>
      </c>
      <c r="E591" s="16" t="s">
        <v>11</v>
      </c>
      <c r="F591" s="16" t="s">
        <v>1448</v>
      </c>
    </row>
    <row r="592" spans="1:9">
      <c r="A592" s="16" t="s">
        <v>4043</v>
      </c>
      <c r="B592" s="20">
        <v>150000</v>
      </c>
      <c r="C592" s="20">
        <f>0.0175*135000</f>
        <v>2362.5</v>
      </c>
      <c r="D592" s="27">
        <v>45100</v>
      </c>
      <c r="E592" s="16" t="s">
        <v>69</v>
      </c>
      <c r="F592" s="16" t="s">
        <v>28</v>
      </c>
      <c r="H592" s="16" t="s">
        <v>4044</v>
      </c>
      <c r="I592" s="21" t="s">
        <v>30</v>
      </c>
    </row>
    <row r="593" spans="1:9">
      <c r="A593" s="16" t="s">
        <v>2522</v>
      </c>
      <c r="B593" s="20">
        <v>530000</v>
      </c>
      <c r="C593" s="20">
        <f>0.0125*B593</f>
        <v>6625</v>
      </c>
      <c r="D593" s="27">
        <v>45100</v>
      </c>
      <c r="E593" s="16" t="s">
        <v>11</v>
      </c>
      <c r="F593" s="16" t="s">
        <v>1448</v>
      </c>
    </row>
    <row r="594" spans="1:9">
      <c r="A594" s="16" t="s">
        <v>4045</v>
      </c>
      <c r="B594" s="20">
        <v>100000</v>
      </c>
      <c r="C594" s="20">
        <f t="shared" ref="C594:C596" si="146">0.0175*B594</f>
        <v>1750.0000000000002</v>
      </c>
      <c r="D594" s="27">
        <v>45100</v>
      </c>
      <c r="E594" s="16" t="s">
        <v>4023</v>
      </c>
      <c r="F594" s="16" t="s">
        <v>28</v>
      </c>
      <c r="I594" s="21" t="s">
        <v>30</v>
      </c>
    </row>
    <row r="595" spans="1:9">
      <c r="A595" s="16" t="s">
        <v>4046</v>
      </c>
      <c r="B595" s="20">
        <v>550000</v>
      </c>
      <c r="C595" s="20">
        <f t="shared" si="146"/>
        <v>9625.0000000000018</v>
      </c>
      <c r="D595" s="27">
        <v>45103</v>
      </c>
      <c r="E595" s="16" t="s">
        <v>11</v>
      </c>
      <c r="F595" s="16" t="s">
        <v>28</v>
      </c>
      <c r="I595" s="21" t="s">
        <v>30</v>
      </c>
    </row>
    <row r="596" spans="1:9">
      <c r="A596" s="16" t="s">
        <v>4047</v>
      </c>
      <c r="B596" s="20">
        <v>20000</v>
      </c>
      <c r="C596" s="20">
        <f t="shared" si="146"/>
        <v>350.00000000000006</v>
      </c>
      <c r="D596" s="27">
        <v>45103</v>
      </c>
      <c r="E596" s="16" t="s">
        <v>11</v>
      </c>
      <c r="F596" s="16" t="s">
        <v>28</v>
      </c>
      <c r="I596" s="21" t="s">
        <v>30</v>
      </c>
    </row>
    <row r="597" spans="1:9">
      <c r="A597" s="16" t="s">
        <v>4048</v>
      </c>
      <c r="B597" s="20">
        <v>165000</v>
      </c>
      <c r="C597" s="20">
        <f t="shared" ref="C597:C610" si="147">0.0125*B597</f>
        <v>2062.5</v>
      </c>
      <c r="D597" s="27">
        <v>45104</v>
      </c>
      <c r="E597" s="16" t="s">
        <v>4023</v>
      </c>
      <c r="F597" s="16" t="s">
        <v>1448</v>
      </c>
    </row>
    <row r="598" spans="1:9">
      <c r="A598" s="16" t="s">
        <v>4049</v>
      </c>
      <c r="B598" s="20">
        <v>340000</v>
      </c>
      <c r="C598" s="20">
        <f t="shared" si="147"/>
        <v>4250</v>
      </c>
      <c r="D598" s="27">
        <v>45104</v>
      </c>
      <c r="E598" s="16" t="s">
        <v>11</v>
      </c>
      <c r="F598" s="16" t="s">
        <v>1448</v>
      </c>
    </row>
    <row r="599" spans="1:9">
      <c r="A599" s="16" t="s">
        <v>3905</v>
      </c>
      <c r="B599" s="20">
        <v>1300000</v>
      </c>
      <c r="C599" s="20">
        <f t="shared" si="147"/>
        <v>16250</v>
      </c>
      <c r="D599" s="27">
        <v>45105</v>
      </c>
      <c r="E599" s="16" t="s">
        <v>40</v>
      </c>
      <c r="F599" s="16" t="s">
        <v>1448</v>
      </c>
    </row>
    <row r="600" spans="1:9">
      <c r="A600" s="16" t="s">
        <v>4050</v>
      </c>
      <c r="B600" s="20">
        <v>400000</v>
      </c>
      <c r="C600" s="20">
        <f t="shared" si="147"/>
        <v>5000</v>
      </c>
      <c r="D600" s="27">
        <v>45105</v>
      </c>
      <c r="E600" s="16" t="s">
        <v>40</v>
      </c>
      <c r="F600" s="16" t="s">
        <v>1448</v>
      </c>
    </row>
    <row r="601" spans="1:9">
      <c r="A601" s="16" t="s">
        <v>4051</v>
      </c>
      <c r="B601" s="20">
        <v>200000</v>
      </c>
      <c r="C601" s="20">
        <f t="shared" si="147"/>
        <v>2500</v>
      </c>
      <c r="D601" s="27">
        <v>45105</v>
      </c>
      <c r="E601" s="16" t="s">
        <v>11</v>
      </c>
      <c r="F601" s="16" t="s">
        <v>1448</v>
      </c>
    </row>
    <row r="602" spans="1:9">
      <c r="A602" s="16" t="s">
        <v>3761</v>
      </c>
      <c r="B602" s="20">
        <v>215000</v>
      </c>
      <c r="C602" s="20">
        <f t="shared" si="147"/>
        <v>2687.5</v>
      </c>
      <c r="D602" s="27">
        <v>45105</v>
      </c>
      <c r="E602" s="16" t="s">
        <v>11</v>
      </c>
      <c r="F602" s="16" t="s">
        <v>1448</v>
      </c>
    </row>
    <row r="603" spans="1:9">
      <c r="A603" s="16" t="s">
        <v>3859</v>
      </c>
      <c r="B603" s="20">
        <v>50000</v>
      </c>
      <c r="C603" s="20">
        <f t="shared" si="147"/>
        <v>625</v>
      </c>
      <c r="D603" s="27">
        <v>45105</v>
      </c>
      <c r="E603" s="16" t="s">
        <v>11</v>
      </c>
      <c r="F603" s="16" t="s">
        <v>1448</v>
      </c>
    </row>
    <row r="604" spans="1:9">
      <c r="A604" s="16" t="s">
        <v>4052</v>
      </c>
      <c r="B604" s="20">
        <v>45000</v>
      </c>
      <c r="C604" s="20">
        <f t="shared" si="147"/>
        <v>562.5</v>
      </c>
      <c r="D604" s="27">
        <v>45105</v>
      </c>
      <c r="E604" s="16" t="s">
        <v>11</v>
      </c>
      <c r="F604" s="16" t="s">
        <v>1448</v>
      </c>
    </row>
    <row r="605" spans="1:9">
      <c r="A605" s="16" t="s">
        <v>4053</v>
      </c>
      <c r="B605" s="20">
        <v>92500</v>
      </c>
      <c r="C605" s="20">
        <f t="shared" si="147"/>
        <v>1156.25</v>
      </c>
      <c r="D605" s="27">
        <v>45105</v>
      </c>
      <c r="E605" s="16" t="s">
        <v>11</v>
      </c>
      <c r="F605" s="16" t="s">
        <v>1448</v>
      </c>
    </row>
    <row r="606" spans="1:9">
      <c r="A606" s="16" t="s">
        <v>4054</v>
      </c>
      <c r="B606" s="20">
        <v>47500</v>
      </c>
      <c r="C606" s="20">
        <f t="shared" si="147"/>
        <v>593.75</v>
      </c>
      <c r="D606" s="27">
        <v>45105</v>
      </c>
      <c r="E606" s="16" t="s">
        <v>11</v>
      </c>
      <c r="F606" s="16" t="s">
        <v>1448</v>
      </c>
    </row>
    <row r="607" spans="1:9">
      <c r="A607" s="16" t="s">
        <v>4055</v>
      </c>
      <c r="B607" s="20">
        <v>50000</v>
      </c>
      <c r="C607" s="20">
        <f t="shared" si="147"/>
        <v>625</v>
      </c>
      <c r="D607" s="27">
        <v>45105</v>
      </c>
      <c r="E607" s="16" t="s">
        <v>11</v>
      </c>
      <c r="F607" s="16" t="s">
        <v>1448</v>
      </c>
    </row>
    <row r="608" spans="1:9">
      <c r="A608" s="16" t="s">
        <v>4056</v>
      </c>
      <c r="B608" s="20">
        <v>60000</v>
      </c>
      <c r="C608" s="20">
        <f t="shared" si="147"/>
        <v>750</v>
      </c>
      <c r="D608" s="27">
        <v>45105</v>
      </c>
      <c r="E608" s="16" t="s">
        <v>11</v>
      </c>
      <c r="F608" s="16" t="s">
        <v>1448</v>
      </c>
    </row>
    <row r="609" spans="1:9">
      <c r="A609" s="16" t="s">
        <v>2807</v>
      </c>
      <c r="B609" s="20">
        <v>2750000</v>
      </c>
      <c r="C609" s="20">
        <f t="shared" si="147"/>
        <v>34375</v>
      </c>
      <c r="D609" s="27">
        <v>45106</v>
      </c>
      <c r="E609" s="16" t="s">
        <v>92</v>
      </c>
      <c r="F609" s="16" t="s">
        <v>1448</v>
      </c>
    </row>
    <row r="610" spans="1:9">
      <c r="A610" s="16" t="s">
        <v>4057</v>
      </c>
      <c r="B610" s="20">
        <v>230000</v>
      </c>
      <c r="C610" s="20">
        <f t="shared" si="147"/>
        <v>2875</v>
      </c>
      <c r="D610" s="27">
        <v>45106</v>
      </c>
      <c r="E610" s="16" t="s">
        <v>11</v>
      </c>
      <c r="F610" s="16" t="s">
        <v>1448</v>
      </c>
    </row>
    <row r="611" spans="1:9">
      <c r="A611" s="16" t="s">
        <v>4058</v>
      </c>
      <c r="B611" s="20">
        <v>150000</v>
      </c>
      <c r="C611" s="20">
        <f>0.0175*B611</f>
        <v>2625.0000000000005</v>
      </c>
      <c r="D611" s="27">
        <v>45107</v>
      </c>
      <c r="E611" s="16" t="s">
        <v>11</v>
      </c>
      <c r="F611" s="16" t="s">
        <v>28</v>
      </c>
      <c r="I611" s="21" t="s">
        <v>30</v>
      </c>
    </row>
    <row r="612" spans="1:9">
      <c r="A612" s="16" t="s">
        <v>4059</v>
      </c>
      <c r="B612" s="20">
        <v>50000</v>
      </c>
      <c r="C612" s="20">
        <f>0.0125*B612</f>
        <v>625</v>
      </c>
      <c r="D612" s="27">
        <v>45107</v>
      </c>
      <c r="E612" s="16" t="s">
        <v>11</v>
      </c>
      <c r="F612" s="16" t="s">
        <v>1448</v>
      </c>
    </row>
    <row r="613" spans="1:9">
      <c r="A613" s="16" t="s">
        <v>4060</v>
      </c>
      <c r="B613" s="20">
        <v>65000</v>
      </c>
      <c r="C613" s="20">
        <f>0.0175*B613</f>
        <v>1137.5</v>
      </c>
      <c r="D613" s="27">
        <v>45107</v>
      </c>
      <c r="E613" s="16" t="s">
        <v>11</v>
      </c>
      <c r="F613" s="16" t="s">
        <v>28</v>
      </c>
      <c r="I613" s="21" t="s">
        <v>30</v>
      </c>
    </row>
    <row r="614" spans="1:9">
      <c r="A614" s="16" t="s">
        <v>4061</v>
      </c>
      <c r="B614" s="20">
        <v>200000</v>
      </c>
      <c r="C614" s="20">
        <f t="shared" ref="C614:C615" si="148">0.0125*B614</f>
        <v>2500</v>
      </c>
      <c r="D614" s="27">
        <v>45107</v>
      </c>
      <c r="E614" s="16" t="s">
        <v>11</v>
      </c>
      <c r="F614" s="16" t="s">
        <v>1448</v>
      </c>
    </row>
    <row r="615" spans="1:9">
      <c r="A615" s="16" t="s">
        <v>2389</v>
      </c>
      <c r="B615" s="20">
        <v>85000</v>
      </c>
      <c r="C615" s="20">
        <f t="shared" si="148"/>
        <v>1062.5</v>
      </c>
      <c r="D615" s="27">
        <v>45107</v>
      </c>
      <c r="E615" s="16" t="s">
        <v>11</v>
      </c>
      <c r="F615" s="16" t="s">
        <v>1448</v>
      </c>
    </row>
    <row r="616" spans="1:9">
      <c r="A616" s="16" t="s">
        <v>3854</v>
      </c>
      <c r="B616" s="20">
        <v>100000</v>
      </c>
      <c r="C616" s="20">
        <f>0.0175*B616</f>
        <v>1750.0000000000002</v>
      </c>
      <c r="D616" s="27">
        <v>45107</v>
      </c>
      <c r="E616" s="16" t="s">
        <v>4023</v>
      </c>
      <c r="F616" s="16" t="s">
        <v>28</v>
      </c>
      <c r="I616" s="21" t="s">
        <v>30</v>
      </c>
    </row>
    <row r="617" spans="1:9">
      <c r="A617" s="16" t="s">
        <v>3624</v>
      </c>
      <c r="B617" s="20">
        <v>32500</v>
      </c>
      <c r="C617" s="20">
        <f t="shared" ref="C617:C619" si="149">0.0125*B617</f>
        <v>406.25</v>
      </c>
      <c r="D617" s="27">
        <v>45107</v>
      </c>
      <c r="E617" s="16" t="s">
        <v>11</v>
      </c>
      <c r="F617" s="16" t="s">
        <v>1448</v>
      </c>
    </row>
    <row r="618" spans="1:9">
      <c r="A618" s="16" t="s">
        <v>4062</v>
      </c>
      <c r="B618" s="20">
        <v>220000</v>
      </c>
      <c r="C618" s="20">
        <f t="shared" si="149"/>
        <v>2750</v>
      </c>
      <c r="D618" s="27">
        <v>45107</v>
      </c>
      <c r="E618" s="16" t="s">
        <v>11</v>
      </c>
      <c r="F618" s="16" t="s">
        <v>1448</v>
      </c>
    </row>
    <row r="619" spans="1:9">
      <c r="A619" s="16" t="s">
        <v>4063</v>
      </c>
      <c r="B619" s="20">
        <v>20000</v>
      </c>
      <c r="C619" s="20">
        <f t="shared" si="149"/>
        <v>250</v>
      </c>
      <c r="D619" s="27">
        <v>45107</v>
      </c>
      <c r="E619" s="16" t="s">
        <v>11</v>
      </c>
      <c r="F619" s="16" t="s">
        <v>1448</v>
      </c>
    </row>
    <row r="620" spans="1:9">
      <c r="A620" s="11">
        <v>45108</v>
      </c>
      <c r="B620" s="9">
        <f t="shared" ref="B620:C620" si="150">SUM(B621:B715)</f>
        <v>30889250</v>
      </c>
      <c r="C620" s="9">
        <f t="shared" si="150"/>
        <v>431609.375</v>
      </c>
      <c r="D620" s="59"/>
      <c r="E620" s="59"/>
      <c r="F620" s="59"/>
      <c r="G620" s="59"/>
    </row>
    <row r="621" spans="1:9">
      <c r="A621" s="16" t="s">
        <v>3854</v>
      </c>
      <c r="B621" s="20">
        <v>100000</v>
      </c>
      <c r="C621" s="20">
        <f>0.0175*B621</f>
        <v>1750.0000000000002</v>
      </c>
      <c r="D621" s="27">
        <v>45110</v>
      </c>
      <c r="E621" s="16" t="s">
        <v>4023</v>
      </c>
      <c r="F621" s="16" t="s">
        <v>1448</v>
      </c>
    </row>
    <row r="622" spans="1:9">
      <c r="A622" s="16" t="s">
        <v>4064</v>
      </c>
      <c r="B622" s="20">
        <v>750000</v>
      </c>
      <c r="C622" s="20">
        <f>0.0125*B622</f>
        <v>9375</v>
      </c>
      <c r="D622" s="27">
        <v>45110</v>
      </c>
      <c r="E622" s="16" t="s">
        <v>11</v>
      </c>
      <c r="F622" s="16" t="s">
        <v>1448</v>
      </c>
    </row>
    <row r="623" spans="1:9">
      <c r="A623" s="16" t="s">
        <v>3841</v>
      </c>
      <c r="B623" s="20">
        <v>50000</v>
      </c>
      <c r="C623" s="20">
        <v>0</v>
      </c>
      <c r="D623" s="27">
        <v>45112</v>
      </c>
      <c r="E623" s="16" t="s">
        <v>73</v>
      </c>
      <c r="F623" s="16" t="s">
        <v>1448</v>
      </c>
      <c r="H623" s="16" t="s">
        <v>3991</v>
      </c>
    </row>
    <row r="624" spans="1:9">
      <c r="A624" s="16" t="s">
        <v>1010</v>
      </c>
      <c r="B624" s="20">
        <v>470000</v>
      </c>
      <c r="C624" s="20">
        <f>0.0125*B624</f>
        <v>5875</v>
      </c>
      <c r="D624" s="27">
        <v>45112</v>
      </c>
      <c r="E624" s="16" t="s">
        <v>11</v>
      </c>
      <c r="F624" s="16" t="s">
        <v>1448</v>
      </c>
    </row>
    <row r="625" spans="1:9">
      <c r="A625" s="16" t="s">
        <v>4065</v>
      </c>
      <c r="B625" s="20">
        <v>350000</v>
      </c>
      <c r="C625" s="20">
        <f>0.0125*262500</f>
        <v>3281.25</v>
      </c>
      <c r="D625" s="27">
        <v>45112</v>
      </c>
      <c r="E625" s="16" t="s">
        <v>11</v>
      </c>
      <c r="F625" s="16" t="s">
        <v>1448</v>
      </c>
      <c r="H625" s="16" t="s">
        <v>2091</v>
      </c>
    </row>
    <row r="626" spans="1:9">
      <c r="A626" s="16" t="s">
        <v>4066</v>
      </c>
      <c r="B626" s="20">
        <v>45000</v>
      </c>
      <c r="C626" s="20">
        <f>0.0175*B626</f>
        <v>787.50000000000011</v>
      </c>
      <c r="D626" s="27">
        <v>45113</v>
      </c>
      <c r="E626" s="16" t="s">
        <v>11</v>
      </c>
      <c r="F626" s="16" t="s">
        <v>28</v>
      </c>
      <c r="I626" s="21" t="s">
        <v>30</v>
      </c>
    </row>
    <row r="627" spans="1:9">
      <c r="A627" s="16" t="s">
        <v>4067</v>
      </c>
      <c r="B627" s="20">
        <v>185000</v>
      </c>
      <c r="C627" s="20">
        <f>0.0125*B627</f>
        <v>2312.5</v>
      </c>
      <c r="D627" s="27">
        <v>45113</v>
      </c>
      <c r="E627" s="16" t="s">
        <v>4023</v>
      </c>
      <c r="F627" s="16" t="s">
        <v>1448</v>
      </c>
    </row>
    <row r="628" spans="1:9">
      <c r="A628" s="16" t="s">
        <v>4068</v>
      </c>
      <c r="B628" s="20">
        <v>25000</v>
      </c>
      <c r="C628" s="20">
        <f t="shared" ref="C628:C629" si="151">0.0175*B628</f>
        <v>437.50000000000006</v>
      </c>
      <c r="D628" s="27">
        <v>45113</v>
      </c>
      <c r="E628" s="16" t="s">
        <v>11</v>
      </c>
      <c r="F628" s="16" t="s">
        <v>28</v>
      </c>
      <c r="I628" s="21" t="s">
        <v>30</v>
      </c>
    </row>
    <row r="629" spans="1:9">
      <c r="A629" s="16" t="s">
        <v>4069</v>
      </c>
      <c r="B629" s="20">
        <v>35000</v>
      </c>
      <c r="C629" s="20">
        <f t="shared" si="151"/>
        <v>612.50000000000011</v>
      </c>
      <c r="D629" s="27">
        <v>45113</v>
      </c>
      <c r="E629" s="16" t="s">
        <v>4023</v>
      </c>
      <c r="F629" s="16" t="s">
        <v>28</v>
      </c>
      <c r="I629" s="21" t="s">
        <v>30</v>
      </c>
    </row>
    <row r="630" spans="1:9">
      <c r="A630" s="16" t="s">
        <v>3818</v>
      </c>
      <c r="B630" s="20">
        <v>25000</v>
      </c>
      <c r="C630" s="20">
        <f>0.0125*B630</f>
        <v>312.5</v>
      </c>
      <c r="D630" s="27">
        <v>45113</v>
      </c>
      <c r="E630" s="16" t="s">
        <v>69</v>
      </c>
      <c r="F630" s="16" t="s">
        <v>28</v>
      </c>
      <c r="H630" s="16" t="s">
        <v>4070</v>
      </c>
      <c r="I630" s="21" t="s">
        <v>30</v>
      </c>
    </row>
    <row r="631" spans="1:9">
      <c r="A631" s="16" t="s">
        <v>4071</v>
      </c>
      <c r="B631" s="20">
        <v>40000</v>
      </c>
      <c r="C631" s="20">
        <f t="shared" ref="C631:C632" si="152">0.0175*B631</f>
        <v>700.00000000000011</v>
      </c>
      <c r="D631" s="27">
        <v>45113</v>
      </c>
      <c r="E631" s="16" t="s">
        <v>11</v>
      </c>
      <c r="F631" s="16" t="s">
        <v>28</v>
      </c>
      <c r="I631" s="21" t="s">
        <v>30</v>
      </c>
    </row>
    <row r="632" spans="1:9">
      <c r="A632" s="16" t="s">
        <v>4072</v>
      </c>
      <c r="B632" s="20">
        <v>130000</v>
      </c>
      <c r="C632" s="20">
        <f t="shared" si="152"/>
        <v>2275</v>
      </c>
      <c r="D632" s="27">
        <v>45113</v>
      </c>
      <c r="E632" s="16" t="s">
        <v>4023</v>
      </c>
      <c r="F632" s="16" t="s">
        <v>28</v>
      </c>
      <c r="I632" s="21" t="s">
        <v>30</v>
      </c>
    </row>
    <row r="633" spans="1:9">
      <c r="A633" s="16" t="s">
        <v>3595</v>
      </c>
      <c r="B633" s="20">
        <v>90000</v>
      </c>
      <c r="C633" s="20">
        <f t="shared" ref="C633:C637" si="153">0.0125*B633</f>
        <v>1125</v>
      </c>
      <c r="D633" s="27">
        <v>45113</v>
      </c>
      <c r="E633" s="16" t="s">
        <v>11</v>
      </c>
      <c r="F633" s="16" t="s">
        <v>1448</v>
      </c>
    </row>
    <row r="634" spans="1:9">
      <c r="A634" s="16" t="s">
        <v>2216</v>
      </c>
      <c r="B634" s="20">
        <v>100000</v>
      </c>
      <c r="C634" s="20">
        <f t="shared" si="153"/>
        <v>1250</v>
      </c>
      <c r="D634" s="27">
        <v>45113</v>
      </c>
      <c r="E634" s="16" t="s">
        <v>73</v>
      </c>
      <c r="F634" s="16" t="s">
        <v>1448</v>
      </c>
    </row>
    <row r="635" spans="1:9">
      <c r="A635" s="16" t="s">
        <v>3591</v>
      </c>
      <c r="B635" s="20">
        <v>120000</v>
      </c>
      <c r="C635" s="20">
        <f t="shared" si="153"/>
        <v>1500</v>
      </c>
      <c r="D635" s="27">
        <v>45114</v>
      </c>
      <c r="E635" s="16" t="s">
        <v>73</v>
      </c>
      <c r="F635" s="16" t="s">
        <v>1448</v>
      </c>
    </row>
    <row r="636" spans="1:9">
      <c r="A636" s="16" t="s">
        <v>4073</v>
      </c>
      <c r="B636" s="20">
        <v>100000</v>
      </c>
      <c r="C636" s="20">
        <f t="shared" si="153"/>
        <v>1250</v>
      </c>
      <c r="D636" s="27">
        <v>45114</v>
      </c>
      <c r="E636" s="16" t="s">
        <v>73</v>
      </c>
      <c r="F636" s="16" t="s">
        <v>1448</v>
      </c>
    </row>
    <row r="637" spans="1:9">
      <c r="A637" s="16" t="s">
        <v>3365</v>
      </c>
      <c r="B637" s="20">
        <v>330000</v>
      </c>
      <c r="C637" s="20">
        <f t="shared" si="153"/>
        <v>4125</v>
      </c>
      <c r="D637" s="27">
        <v>45114</v>
      </c>
      <c r="E637" s="16" t="s">
        <v>73</v>
      </c>
      <c r="F637" s="16" t="s">
        <v>1448</v>
      </c>
    </row>
    <row r="638" spans="1:9">
      <c r="A638" s="16" t="s">
        <v>4074</v>
      </c>
      <c r="B638" s="20">
        <v>100000</v>
      </c>
      <c r="C638" s="20">
        <f>0.0175*B638</f>
        <v>1750.0000000000002</v>
      </c>
      <c r="D638" s="27">
        <v>45117</v>
      </c>
      <c r="E638" s="16" t="s">
        <v>75</v>
      </c>
      <c r="F638" s="16" t="s">
        <v>28</v>
      </c>
      <c r="I638" s="21" t="s">
        <v>30</v>
      </c>
    </row>
    <row r="639" spans="1:9">
      <c r="A639" s="16" t="s">
        <v>3198</v>
      </c>
      <c r="B639" s="20">
        <v>1000000</v>
      </c>
      <c r="C639" s="20">
        <f t="shared" ref="C639:C646" si="154">0.0125*B639</f>
        <v>12500</v>
      </c>
      <c r="D639" s="27">
        <v>45117</v>
      </c>
      <c r="E639" s="16" t="s">
        <v>2104</v>
      </c>
      <c r="F639" s="16" t="s">
        <v>1448</v>
      </c>
    </row>
    <row r="640" spans="1:9">
      <c r="A640" s="16" t="s">
        <v>465</v>
      </c>
      <c r="B640" s="20">
        <v>21000</v>
      </c>
      <c r="C640" s="20">
        <f t="shared" si="154"/>
        <v>262.5</v>
      </c>
      <c r="D640" s="27">
        <v>45117</v>
      </c>
      <c r="E640" s="16" t="s">
        <v>15</v>
      </c>
      <c r="F640" s="16" t="s">
        <v>1448</v>
      </c>
      <c r="H640" s="16" t="s">
        <v>3924</v>
      </c>
    </row>
    <row r="641" spans="1:9">
      <c r="A641" s="16" t="s">
        <v>3580</v>
      </c>
      <c r="B641" s="20">
        <v>110000</v>
      </c>
      <c r="C641" s="20">
        <f t="shared" si="154"/>
        <v>1375</v>
      </c>
      <c r="D641" s="27">
        <v>45118</v>
      </c>
      <c r="E641" s="16" t="s">
        <v>69</v>
      </c>
      <c r="F641" s="16" t="s">
        <v>1448</v>
      </c>
      <c r="H641" s="16" t="s">
        <v>22</v>
      </c>
    </row>
    <row r="642" spans="1:9">
      <c r="A642" s="16" t="s">
        <v>1239</v>
      </c>
      <c r="B642" s="20">
        <v>575000</v>
      </c>
      <c r="C642" s="20">
        <f t="shared" si="154"/>
        <v>7187.5</v>
      </c>
      <c r="D642" s="27">
        <v>45118</v>
      </c>
      <c r="E642" s="16" t="s">
        <v>11</v>
      </c>
      <c r="F642" s="16" t="s">
        <v>1448</v>
      </c>
    </row>
    <row r="643" spans="1:9">
      <c r="A643" s="16" t="s">
        <v>543</v>
      </c>
      <c r="B643" s="20">
        <v>200000</v>
      </c>
      <c r="C643" s="20">
        <f t="shared" si="154"/>
        <v>2500</v>
      </c>
      <c r="D643" s="27">
        <v>45119</v>
      </c>
      <c r="E643" s="16" t="s">
        <v>73</v>
      </c>
      <c r="F643" s="16" t="s">
        <v>1448</v>
      </c>
    </row>
    <row r="644" spans="1:9">
      <c r="A644" s="16" t="s">
        <v>4075</v>
      </c>
      <c r="B644" s="20">
        <v>850000</v>
      </c>
      <c r="C644" s="20">
        <f t="shared" si="154"/>
        <v>10625</v>
      </c>
      <c r="D644" s="27">
        <v>45119</v>
      </c>
      <c r="E644" s="16" t="s">
        <v>902</v>
      </c>
      <c r="F644" s="16" t="s">
        <v>1448</v>
      </c>
    </row>
    <row r="645" spans="1:9">
      <c r="A645" s="16" t="s">
        <v>4076</v>
      </c>
      <c r="B645" s="20">
        <v>850000</v>
      </c>
      <c r="C645" s="20">
        <f t="shared" si="154"/>
        <v>10625</v>
      </c>
      <c r="D645" s="27">
        <v>45119</v>
      </c>
      <c r="E645" s="16" t="s">
        <v>902</v>
      </c>
      <c r="F645" s="16" t="s">
        <v>1448</v>
      </c>
    </row>
    <row r="646" spans="1:9">
      <c r="A646" s="16" t="s">
        <v>2670</v>
      </c>
      <c r="B646" s="20">
        <v>309250</v>
      </c>
      <c r="C646" s="20">
        <f t="shared" si="154"/>
        <v>3865.625</v>
      </c>
      <c r="D646" s="27">
        <v>45119</v>
      </c>
      <c r="E646" s="16" t="s">
        <v>2130</v>
      </c>
      <c r="F646" s="16" t="s">
        <v>1448</v>
      </c>
    </row>
    <row r="647" spans="1:9">
      <c r="A647" s="16" t="s">
        <v>4077</v>
      </c>
      <c r="B647" s="20">
        <v>40000</v>
      </c>
      <c r="C647" s="20">
        <f t="shared" ref="C647:C648" si="155">0.0175*B647</f>
        <v>700.00000000000011</v>
      </c>
      <c r="D647" s="27">
        <v>45120</v>
      </c>
      <c r="E647" s="16" t="s">
        <v>69</v>
      </c>
      <c r="F647" s="16" t="s">
        <v>28</v>
      </c>
      <c r="H647" s="16" t="s">
        <v>13</v>
      </c>
      <c r="I647" s="21" t="s">
        <v>30</v>
      </c>
    </row>
    <row r="648" spans="1:9">
      <c r="A648" s="16" t="s">
        <v>4078</v>
      </c>
      <c r="B648" s="20">
        <v>100000</v>
      </c>
      <c r="C648" s="20">
        <f t="shared" si="155"/>
        <v>1750.0000000000002</v>
      </c>
      <c r="D648" s="27">
        <v>45120</v>
      </c>
      <c r="E648" s="16" t="s">
        <v>3729</v>
      </c>
      <c r="F648" s="16" t="s">
        <v>28</v>
      </c>
      <c r="I648" s="21" t="s">
        <v>30</v>
      </c>
    </row>
    <row r="649" spans="1:9">
      <c r="A649" s="16" t="s">
        <v>4079</v>
      </c>
      <c r="B649" s="20">
        <v>90000</v>
      </c>
      <c r="C649" s="20">
        <f t="shared" ref="C649:C652" si="156">0.0125*B649</f>
        <v>1125</v>
      </c>
      <c r="D649" s="27">
        <v>45120</v>
      </c>
      <c r="E649" s="16" t="s">
        <v>11</v>
      </c>
      <c r="F649" s="16" t="s">
        <v>1448</v>
      </c>
    </row>
    <row r="650" spans="1:9">
      <c r="A650" s="16" t="s">
        <v>4080</v>
      </c>
      <c r="B650" s="20">
        <v>30000</v>
      </c>
      <c r="C650" s="20">
        <f t="shared" si="156"/>
        <v>375</v>
      </c>
      <c r="D650" s="27">
        <v>45120</v>
      </c>
      <c r="E650" s="16" t="s">
        <v>11</v>
      </c>
      <c r="F650" s="16" t="s">
        <v>1448</v>
      </c>
    </row>
    <row r="651" spans="1:9">
      <c r="A651" s="16" t="s">
        <v>3676</v>
      </c>
      <c r="B651" s="20">
        <v>80000</v>
      </c>
      <c r="C651" s="20">
        <f t="shared" si="156"/>
        <v>1000</v>
      </c>
      <c r="D651" s="27">
        <v>45120</v>
      </c>
      <c r="E651" s="16" t="s">
        <v>11</v>
      </c>
      <c r="F651" s="16" t="s">
        <v>1448</v>
      </c>
    </row>
    <row r="652" spans="1:9">
      <c r="A652" s="16" t="s">
        <v>4081</v>
      </c>
      <c r="B652" s="20">
        <v>20000</v>
      </c>
      <c r="C652" s="20">
        <f t="shared" si="156"/>
        <v>250</v>
      </c>
      <c r="D652" s="27">
        <v>45120</v>
      </c>
      <c r="E652" s="16" t="s">
        <v>11</v>
      </c>
      <c r="F652" s="16" t="s">
        <v>1448</v>
      </c>
    </row>
    <row r="653" spans="1:9">
      <c r="A653" s="16" t="s">
        <v>4082</v>
      </c>
      <c r="B653" s="20">
        <v>100000</v>
      </c>
      <c r="C653" s="20">
        <f>0.0175*B653</f>
        <v>1750.0000000000002</v>
      </c>
      <c r="D653" s="27">
        <v>45121</v>
      </c>
      <c r="E653" s="16" t="s">
        <v>3583</v>
      </c>
      <c r="F653" s="16" t="s">
        <v>28</v>
      </c>
      <c r="I653" s="21" t="s">
        <v>30</v>
      </c>
    </row>
    <row r="654" spans="1:9">
      <c r="A654" s="16" t="s">
        <v>4083</v>
      </c>
      <c r="B654" s="20">
        <v>300000</v>
      </c>
      <c r="C654" s="20">
        <f>0.0175*290000</f>
        <v>5075.0000000000009</v>
      </c>
      <c r="D654" s="27">
        <v>45121</v>
      </c>
      <c r="E654" s="16" t="s">
        <v>69</v>
      </c>
      <c r="F654" s="16" t="s">
        <v>28</v>
      </c>
      <c r="H654" s="16" t="s">
        <v>13</v>
      </c>
      <c r="I654" s="21" t="s">
        <v>30</v>
      </c>
    </row>
    <row r="655" spans="1:9">
      <c r="A655" s="16" t="s">
        <v>3972</v>
      </c>
      <c r="B655" s="20">
        <v>190000</v>
      </c>
      <c r="C655" s="20">
        <f>0.0125*B655</f>
        <v>2375</v>
      </c>
      <c r="D655" s="27">
        <v>45121</v>
      </c>
      <c r="E655" s="16" t="s">
        <v>11</v>
      </c>
      <c r="F655" s="16" t="s">
        <v>1448</v>
      </c>
    </row>
    <row r="656" spans="1:9">
      <c r="A656" s="16" t="s">
        <v>4084</v>
      </c>
      <c r="B656" s="20">
        <v>75000</v>
      </c>
      <c r="C656" s="20">
        <f t="shared" ref="C656:C657" si="157">0.0175*B656</f>
        <v>1312.5000000000002</v>
      </c>
      <c r="D656" s="27">
        <v>45121</v>
      </c>
      <c r="E656" s="16" t="s">
        <v>11</v>
      </c>
      <c r="F656" s="16" t="s">
        <v>28</v>
      </c>
      <c r="I656" s="21" t="s">
        <v>30</v>
      </c>
    </row>
    <row r="657" spans="1:9">
      <c r="A657" s="16" t="s">
        <v>4085</v>
      </c>
      <c r="B657" s="20">
        <v>100000</v>
      </c>
      <c r="C657" s="20">
        <f t="shared" si="157"/>
        <v>1750.0000000000002</v>
      </c>
      <c r="D657" s="27">
        <v>45124</v>
      </c>
      <c r="E657" s="16" t="s">
        <v>135</v>
      </c>
      <c r="F657" s="16" t="s">
        <v>28</v>
      </c>
      <c r="H657" s="16" t="s">
        <v>13</v>
      </c>
      <c r="I657" s="21" t="s">
        <v>30</v>
      </c>
    </row>
    <row r="658" spans="1:9">
      <c r="A658" s="16" t="s">
        <v>4086</v>
      </c>
      <c r="B658" s="20">
        <v>500000</v>
      </c>
      <c r="C658" s="20">
        <f>0.0125*B658</f>
        <v>6250</v>
      </c>
      <c r="D658" s="27">
        <v>45124</v>
      </c>
      <c r="E658" s="16" t="s">
        <v>4087</v>
      </c>
      <c r="F658" s="16" t="s">
        <v>1448</v>
      </c>
    </row>
    <row r="659" spans="1:9">
      <c r="A659" s="16" t="s">
        <v>4088</v>
      </c>
      <c r="B659" s="20">
        <v>100000</v>
      </c>
      <c r="C659" s="20">
        <f t="shared" ref="C659:C660" si="158">0.0175*B659</f>
        <v>1750.0000000000002</v>
      </c>
      <c r="D659" s="27">
        <v>45124</v>
      </c>
      <c r="E659" s="16" t="s">
        <v>4023</v>
      </c>
      <c r="F659" s="16" t="s">
        <v>28</v>
      </c>
      <c r="I659" s="21" t="s">
        <v>30</v>
      </c>
    </row>
    <row r="660" spans="1:9">
      <c r="A660" s="16" t="s">
        <v>4089</v>
      </c>
      <c r="B660" s="20">
        <v>4500000</v>
      </c>
      <c r="C660" s="20">
        <f t="shared" si="158"/>
        <v>78750.000000000015</v>
      </c>
      <c r="D660" s="27">
        <v>45125</v>
      </c>
      <c r="E660" s="16" t="s">
        <v>197</v>
      </c>
      <c r="F660" s="16" t="s">
        <v>28</v>
      </c>
      <c r="H660" s="16" t="s">
        <v>4090</v>
      </c>
      <c r="I660" s="21" t="s">
        <v>30</v>
      </c>
    </row>
    <row r="661" spans="1:9">
      <c r="A661" s="16" t="s">
        <v>4091</v>
      </c>
      <c r="B661" s="20">
        <v>60000</v>
      </c>
      <c r="C661" s="20">
        <f>0.0175*55000</f>
        <v>962.50000000000011</v>
      </c>
      <c r="D661" s="27">
        <v>45125</v>
      </c>
      <c r="E661" s="16" t="s">
        <v>69</v>
      </c>
      <c r="F661" s="16" t="s">
        <v>28</v>
      </c>
      <c r="H661" s="16" t="s">
        <v>4092</v>
      </c>
      <c r="I661" s="21" t="s">
        <v>30</v>
      </c>
    </row>
    <row r="662" spans="1:9">
      <c r="A662" s="16" t="s">
        <v>4093</v>
      </c>
      <c r="B662" s="20">
        <v>35000</v>
      </c>
      <c r="C662" s="20">
        <f>0.0175*B662</f>
        <v>612.50000000000011</v>
      </c>
      <c r="D662" s="27">
        <v>45125</v>
      </c>
      <c r="E662" s="16" t="s">
        <v>11</v>
      </c>
      <c r="F662" s="16" t="s">
        <v>28</v>
      </c>
      <c r="I662" s="21" t="s">
        <v>30</v>
      </c>
    </row>
    <row r="663" spans="1:9">
      <c r="A663" s="16" t="s">
        <v>4094</v>
      </c>
      <c r="B663" s="20">
        <v>2400000</v>
      </c>
      <c r="C663" s="20">
        <f t="shared" ref="C663:C674" si="159">0.0125*B663</f>
        <v>30000</v>
      </c>
      <c r="D663" s="27">
        <v>45126</v>
      </c>
      <c r="E663" s="16" t="s">
        <v>73</v>
      </c>
      <c r="F663" s="16" t="s">
        <v>1448</v>
      </c>
    </row>
    <row r="664" spans="1:9">
      <c r="A664" s="16" t="s">
        <v>4095</v>
      </c>
      <c r="B664" s="20">
        <v>1000000</v>
      </c>
      <c r="C664" s="20">
        <f t="shared" si="159"/>
        <v>12500</v>
      </c>
      <c r="D664" s="27">
        <v>45126</v>
      </c>
      <c r="E664" s="16" t="s">
        <v>73</v>
      </c>
      <c r="F664" s="16" t="s">
        <v>1448</v>
      </c>
    </row>
    <row r="665" spans="1:9">
      <c r="A665" s="16" t="s">
        <v>3914</v>
      </c>
      <c r="B665" s="20">
        <v>470000</v>
      </c>
      <c r="C665" s="20">
        <f t="shared" si="159"/>
        <v>5875</v>
      </c>
      <c r="D665" s="27">
        <v>45126</v>
      </c>
      <c r="E665" s="16" t="s">
        <v>11</v>
      </c>
      <c r="F665" s="16" t="s">
        <v>1448</v>
      </c>
    </row>
    <row r="666" spans="1:9">
      <c r="A666" s="16" t="s">
        <v>2199</v>
      </c>
      <c r="B666" s="20">
        <v>130000</v>
      </c>
      <c r="C666" s="20">
        <f t="shared" si="159"/>
        <v>1625</v>
      </c>
      <c r="D666" s="27">
        <v>45126</v>
      </c>
      <c r="E666" s="16" t="s">
        <v>11</v>
      </c>
      <c r="F666" s="16" t="s">
        <v>1448</v>
      </c>
    </row>
    <row r="667" spans="1:9">
      <c r="A667" s="16" t="s">
        <v>4096</v>
      </c>
      <c r="B667" s="20">
        <v>115000</v>
      </c>
      <c r="C667" s="20">
        <f t="shared" si="159"/>
        <v>1437.5</v>
      </c>
      <c r="D667" s="27">
        <v>45126</v>
      </c>
      <c r="E667" s="16" t="s">
        <v>11</v>
      </c>
      <c r="F667" s="16" t="s">
        <v>1448</v>
      </c>
    </row>
    <row r="668" spans="1:9">
      <c r="A668" s="16" t="s">
        <v>3765</v>
      </c>
      <c r="B668" s="20">
        <v>77500</v>
      </c>
      <c r="C668" s="20">
        <f t="shared" si="159"/>
        <v>968.75</v>
      </c>
      <c r="D668" s="27">
        <v>45126</v>
      </c>
      <c r="E668" s="16" t="s">
        <v>11</v>
      </c>
      <c r="F668" s="16" t="s">
        <v>1448</v>
      </c>
    </row>
    <row r="669" spans="1:9">
      <c r="A669" s="16" t="s">
        <v>4097</v>
      </c>
      <c r="B669" s="20">
        <v>25000</v>
      </c>
      <c r="C669" s="20">
        <f t="shared" si="159"/>
        <v>312.5</v>
      </c>
      <c r="D669" s="27">
        <v>45126</v>
      </c>
      <c r="E669" s="16" t="s">
        <v>11</v>
      </c>
      <c r="F669" s="16" t="s">
        <v>1448</v>
      </c>
    </row>
    <row r="670" spans="1:9">
      <c r="A670" s="16" t="s">
        <v>4098</v>
      </c>
      <c r="B670" s="20">
        <v>23000</v>
      </c>
      <c r="C670" s="20">
        <f t="shared" si="159"/>
        <v>287.5</v>
      </c>
      <c r="D670" s="27">
        <v>45126</v>
      </c>
      <c r="E670" s="16" t="s">
        <v>11</v>
      </c>
      <c r="F670" s="16" t="s">
        <v>1448</v>
      </c>
    </row>
    <row r="671" spans="1:9">
      <c r="A671" s="16" t="s">
        <v>4099</v>
      </c>
      <c r="B671" s="20">
        <v>65000</v>
      </c>
      <c r="C671" s="20">
        <f t="shared" si="159"/>
        <v>812.5</v>
      </c>
      <c r="D671" s="27">
        <v>45126</v>
      </c>
      <c r="E671" s="16" t="s">
        <v>11</v>
      </c>
      <c r="F671" s="16" t="s">
        <v>1448</v>
      </c>
    </row>
    <row r="672" spans="1:9">
      <c r="A672" s="16" t="s">
        <v>4100</v>
      </c>
      <c r="B672" s="20">
        <v>140000</v>
      </c>
      <c r="C672" s="20">
        <f t="shared" si="159"/>
        <v>1750</v>
      </c>
      <c r="D672" s="27">
        <v>45126</v>
      </c>
      <c r="E672" s="16" t="s">
        <v>4023</v>
      </c>
      <c r="F672" s="16" t="s">
        <v>1448</v>
      </c>
    </row>
    <row r="673" spans="1:9">
      <c r="A673" s="16" t="s">
        <v>81</v>
      </c>
      <c r="B673" s="20">
        <v>15000</v>
      </c>
      <c r="C673" s="20">
        <f t="shared" si="159"/>
        <v>187.5</v>
      </c>
      <c r="D673" s="27">
        <v>45126</v>
      </c>
      <c r="E673" s="16" t="s">
        <v>11</v>
      </c>
      <c r="F673" s="16" t="s">
        <v>1448</v>
      </c>
    </row>
    <row r="674" spans="1:9">
      <c r="A674" s="16" t="s">
        <v>2736</v>
      </c>
      <c r="B674" s="20">
        <v>575000</v>
      </c>
      <c r="C674" s="20">
        <f t="shared" si="159"/>
        <v>7187.5</v>
      </c>
      <c r="D674" s="27">
        <v>45127</v>
      </c>
      <c r="E674" s="16" t="s">
        <v>11</v>
      </c>
      <c r="F674" s="16" t="s">
        <v>1448</v>
      </c>
    </row>
    <row r="675" spans="1:9">
      <c r="A675" s="16" t="s">
        <v>3788</v>
      </c>
      <c r="B675" s="20">
        <v>250000</v>
      </c>
      <c r="C675" s="20">
        <f>0.0175*B675</f>
        <v>4375</v>
      </c>
      <c r="D675" s="27">
        <v>45127</v>
      </c>
      <c r="E675" s="16" t="s">
        <v>4023</v>
      </c>
      <c r="F675" s="16" t="s">
        <v>28</v>
      </c>
      <c r="I675" s="21" t="s">
        <v>30</v>
      </c>
    </row>
    <row r="676" spans="1:9">
      <c r="A676" s="16" t="s">
        <v>2454</v>
      </c>
      <c r="B676" s="20">
        <v>2250000</v>
      </c>
      <c r="C676" s="20">
        <f>0.0125*B676</f>
        <v>28125</v>
      </c>
      <c r="D676" s="27">
        <v>45128</v>
      </c>
      <c r="E676" s="16" t="s">
        <v>11</v>
      </c>
      <c r="F676" s="16" t="s">
        <v>1448</v>
      </c>
    </row>
    <row r="677" spans="1:9">
      <c r="A677" s="16" t="s">
        <v>4101</v>
      </c>
      <c r="B677" s="20">
        <v>75000</v>
      </c>
      <c r="C677" s="20">
        <f t="shared" ref="C677:C682" si="160">0.0175*B677</f>
        <v>1312.5000000000002</v>
      </c>
      <c r="D677" s="27">
        <v>45128</v>
      </c>
      <c r="E677" s="16" t="s">
        <v>4023</v>
      </c>
      <c r="F677" s="16" t="s">
        <v>28</v>
      </c>
      <c r="I677" s="21" t="s">
        <v>30</v>
      </c>
    </row>
    <row r="678" spans="1:9">
      <c r="A678" s="16" t="s">
        <v>4102</v>
      </c>
      <c r="B678" s="20">
        <v>700000</v>
      </c>
      <c r="C678" s="20">
        <f t="shared" si="160"/>
        <v>12250.000000000002</v>
      </c>
      <c r="D678" s="27">
        <v>45128</v>
      </c>
      <c r="E678" s="16" t="s">
        <v>4023</v>
      </c>
      <c r="F678" s="16" t="s">
        <v>28</v>
      </c>
      <c r="I678" s="21" t="s">
        <v>30</v>
      </c>
    </row>
    <row r="679" spans="1:9">
      <c r="A679" s="16" t="s">
        <v>4103</v>
      </c>
      <c r="B679" s="20">
        <v>100000</v>
      </c>
      <c r="C679" s="20">
        <f t="shared" si="160"/>
        <v>1750.0000000000002</v>
      </c>
      <c r="D679" s="27">
        <v>45128</v>
      </c>
      <c r="E679" s="16" t="s">
        <v>4104</v>
      </c>
      <c r="F679" s="16" t="s">
        <v>28</v>
      </c>
      <c r="H679" s="16" t="s">
        <v>13</v>
      </c>
      <c r="I679" s="21" t="s">
        <v>30</v>
      </c>
    </row>
    <row r="680" spans="1:9">
      <c r="A680" s="16" t="s">
        <v>4105</v>
      </c>
      <c r="B680" s="20">
        <v>20000</v>
      </c>
      <c r="C680" s="20">
        <f t="shared" si="160"/>
        <v>350.00000000000006</v>
      </c>
      <c r="D680" s="27">
        <v>45131</v>
      </c>
      <c r="E680" s="16" t="s">
        <v>135</v>
      </c>
      <c r="F680" s="16" t="s">
        <v>28</v>
      </c>
      <c r="H680" s="16" t="s">
        <v>13</v>
      </c>
    </row>
    <row r="681" spans="1:9">
      <c r="A681" s="16" t="s">
        <v>4106</v>
      </c>
      <c r="B681" s="20">
        <v>40000</v>
      </c>
      <c r="C681" s="20">
        <f t="shared" si="160"/>
        <v>700.00000000000011</v>
      </c>
      <c r="D681" s="27">
        <v>45131</v>
      </c>
      <c r="E681" s="16" t="s">
        <v>69</v>
      </c>
      <c r="F681" s="16" t="s">
        <v>28</v>
      </c>
      <c r="H681" s="16" t="s">
        <v>13</v>
      </c>
    </row>
    <row r="682" spans="1:9">
      <c r="A682" s="16" t="s">
        <v>4107</v>
      </c>
      <c r="B682" s="20">
        <v>125000</v>
      </c>
      <c r="C682" s="20">
        <f t="shared" si="160"/>
        <v>2187.5</v>
      </c>
      <c r="D682" s="27">
        <v>45132</v>
      </c>
      <c r="E682" s="16" t="s">
        <v>4108</v>
      </c>
      <c r="F682" s="16" t="s">
        <v>28</v>
      </c>
      <c r="I682" s="21" t="s">
        <v>30</v>
      </c>
    </row>
    <row r="683" spans="1:9">
      <c r="A683" s="16" t="s">
        <v>4109</v>
      </c>
      <c r="B683" s="20">
        <v>650000</v>
      </c>
      <c r="C683" s="20">
        <f>0.0125*B683</f>
        <v>8125</v>
      </c>
      <c r="D683" s="27">
        <v>45132</v>
      </c>
      <c r="E683" s="16" t="s">
        <v>135</v>
      </c>
      <c r="F683" s="16" t="s">
        <v>1448</v>
      </c>
      <c r="H683" s="16" t="s">
        <v>22</v>
      </c>
    </row>
    <row r="684" spans="1:9">
      <c r="A684" s="16" t="s">
        <v>4110</v>
      </c>
      <c r="B684" s="20">
        <v>75000</v>
      </c>
      <c r="C684" s="20">
        <f t="shared" ref="C684:C685" si="161">0.0175*B684</f>
        <v>1312.5000000000002</v>
      </c>
      <c r="D684" s="27">
        <v>45132</v>
      </c>
      <c r="E684" s="16" t="s">
        <v>75</v>
      </c>
      <c r="F684" s="16" t="s">
        <v>28</v>
      </c>
      <c r="I684" s="21" t="s">
        <v>30</v>
      </c>
    </row>
    <row r="685" spans="1:9">
      <c r="A685" s="16" t="s">
        <v>2180</v>
      </c>
      <c r="B685" s="20">
        <v>30000</v>
      </c>
      <c r="C685" s="20">
        <f t="shared" si="161"/>
        <v>525</v>
      </c>
      <c r="D685" s="27">
        <v>45133</v>
      </c>
      <c r="E685" s="16" t="s">
        <v>197</v>
      </c>
      <c r="F685" s="16" t="s">
        <v>28</v>
      </c>
      <c r="H685" s="16" t="s">
        <v>22</v>
      </c>
    </row>
    <row r="686" spans="1:9">
      <c r="A686" s="16" t="s">
        <v>4111</v>
      </c>
      <c r="B686" s="20">
        <v>200000</v>
      </c>
      <c r="C686" s="20">
        <f t="shared" ref="C686:C688" si="162">0.0125*B686</f>
        <v>2500</v>
      </c>
      <c r="D686" s="27">
        <v>45133</v>
      </c>
      <c r="E686" s="16" t="s">
        <v>11</v>
      </c>
      <c r="F686" s="16" t="s">
        <v>1448</v>
      </c>
    </row>
    <row r="687" spans="1:9">
      <c r="A687" s="16" t="s">
        <v>3611</v>
      </c>
      <c r="B687" s="20">
        <v>35000</v>
      </c>
      <c r="C687" s="20">
        <f t="shared" si="162"/>
        <v>437.5</v>
      </c>
      <c r="D687" s="27">
        <v>45133</v>
      </c>
      <c r="E687" s="16" t="s">
        <v>73</v>
      </c>
      <c r="F687" s="16" t="s">
        <v>1448</v>
      </c>
    </row>
    <row r="688" spans="1:9">
      <c r="A688" s="16" t="s">
        <v>2111</v>
      </c>
      <c r="B688" s="20">
        <v>150000</v>
      </c>
      <c r="C688" s="20">
        <f t="shared" si="162"/>
        <v>1875</v>
      </c>
      <c r="D688" s="27">
        <v>45133</v>
      </c>
      <c r="E688" s="16" t="s">
        <v>11</v>
      </c>
      <c r="F688" s="16" t="s">
        <v>1448</v>
      </c>
    </row>
    <row r="689" spans="1:9">
      <c r="A689" s="16" t="s">
        <v>4112</v>
      </c>
      <c r="B689" s="20">
        <v>60000</v>
      </c>
      <c r="C689" s="20">
        <f t="shared" ref="C689:C690" si="163">0.0175*B689</f>
        <v>1050</v>
      </c>
      <c r="D689" s="27">
        <v>45133</v>
      </c>
      <c r="E689" s="16" t="s">
        <v>11</v>
      </c>
      <c r="F689" s="16" t="s">
        <v>28</v>
      </c>
      <c r="I689" s="21" t="s">
        <v>30</v>
      </c>
    </row>
    <row r="690" spans="1:9">
      <c r="A690" s="16" t="s">
        <v>4113</v>
      </c>
      <c r="B690" s="20">
        <v>450000</v>
      </c>
      <c r="C690" s="20">
        <f t="shared" si="163"/>
        <v>7875.0000000000009</v>
      </c>
      <c r="D690" s="27">
        <v>45134</v>
      </c>
      <c r="E690" s="16" t="s">
        <v>11</v>
      </c>
      <c r="F690" s="16" t="s">
        <v>28</v>
      </c>
      <c r="I690" s="21" t="s">
        <v>30</v>
      </c>
    </row>
    <row r="691" spans="1:9">
      <c r="A691" s="16" t="s">
        <v>4114</v>
      </c>
      <c r="B691" s="20">
        <v>25000</v>
      </c>
      <c r="C691" s="20">
        <f t="shared" ref="C691:C694" si="164">0.0125*B691</f>
        <v>312.5</v>
      </c>
      <c r="D691" s="27">
        <v>45134</v>
      </c>
      <c r="E691" s="16" t="s">
        <v>11</v>
      </c>
      <c r="F691" s="16" t="s">
        <v>1448</v>
      </c>
    </row>
    <row r="692" spans="1:9">
      <c r="A692" s="16" t="s">
        <v>4115</v>
      </c>
      <c r="B692" s="20">
        <v>45000</v>
      </c>
      <c r="C692" s="20">
        <f t="shared" si="164"/>
        <v>562.5</v>
      </c>
      <c r="D692" s="27">
        <v>45134</v>
      </c>
      <c r="E692" s="16" t="s">
        <v>11</v>
      </c>
      <c r="F692" s="16" t="s">
        <v>1448</v>
      </c>
    </row>
    <row r="693" spans="1:9">
      <c r="A693" s="16" t="s">
        <v>2300</v>
      </c>
      <c r="B693" s="20">
        <v>65000</v>
      </c>
      <c r="C693" s="20">
        <f t="shared" si="164"/>
        <v>812.5</v>
      </c>
      <c r="D693" s="27">
        <v>45134</v>
      </c>
      <c r="E693" s="16" t="s">
        <v>69</v>
      </c>
      <c r="F693" s="16" t="s">
        <v>1448</v>
      </c>
      <c r="H693" s="19" t="s">
        <v>4116</v>
      </c>
    </row>
    <row r="694" spans="1:9">
      <c r="A694" s="16" t="s">
        <v>4117</v>
      </c>
      <c r="B694" s="20">
        <v>18500</v>
      </c>
      <c r="C694" s="20">
        <f t="shared" si="164"/>
        <v>231.25</v>
      </c>
      <c r="D694" s="27">
        <v>45134</v>
      </c>
      <c r="E694" s="16" t="s">
        <v>11</v>
      </c>
      <c r="F694" s="16" t="s">
        <v>1448</v>
      </c>
    </row>
    <row r="695" spans="1:9">
      <c r="A695" s="16" t="s">
        <v>4118</v>
      </c>
      <c r="B695" s="20">
        <v>45000</v>
      </c>
      <c r="C695" s="20">
        <f t="shared" ref="C695:C696" si="165">0.0175*B695</f>
        <v>787.50000000000011</v>
      </c>
      <c r="D695" s="27">
        <v>45134</v>
      </c>
      <c r="E695" s="16" t="s">
        <v>11</v>
      </c>
      <c r="F695" s="16" t="s">
        <v>28</v>
      </c>
      <c r="I695" s="21" t="s">
        <v>30</v>
      </c>
    </row>
    <row r="696" spans="1:9">
      <c r="A696" s="16" t="s">
        <v>4119</v>
      </c>
      <c r="B696" s="20">
        <v>160000</v>
      </c>
      <c r="C696" s="20">
        <f t="shared" si="165"/>
        <v>2800.0000000000005</v>
      </c>
      <c r="D696" s="27">
        <v>45134</v>
      </c>
      <c r="E696" s="16" t="s">
        <v>11</v>
      </c>
      <c r="F696" s="16" t="s">
        <v>28</v>
      </c>
      <c r="I696" s="21" t="s">
        <v>30</v>
      </c>
    </row>
    <row r="697" spans="1:9">
      <c r="A697" s="16" t="s">
        <v>287</v>
      </c>
      <c r="B697" s="20">
        <v>235000</v>
      </c>
      <c r="C697" s="20">
        <f>0.0125*B697</f>
        <v>2937.5</v>
      </c>
      <c r="D697" s="27">
        <v>45134</v>
      </c>
      <c r="E697" s="16" t="s">
        <v>11</v>
      </c>
      <c r="F697" s="16" t="s">
        <v>1448</v>
      </c>
    </row>
    <row r="698" spans="1:9">
      <c r="A698" s="16" t="s">
        <v>4120</v>
      </c>
      <c r="B698" s="20">
        <v>350000</v>
      </c>
      <c r="C698" s="20">
        <f t="shared" ref="C698:C699" si="166">0.0175*B698</f>
        <v>6125.0000000000009</v>
      </c>
      <c r="D698" s="27">
        <v>45134</v>
      </c>
      <c r="E698" s="16" t="s">
        <v>4121</v>
      </c>
      <c r="F698" s="16" t="s">
        <v>28</v>
      </c>
      <c r="I698" s="21" t="s">
        <v>30</v>
      </c>
    </row>
    <row r="699" spans="1:9">
      <c r="A699" s="16" t="s">
        <v>4122</v>
      </c>
      <c r="B699" s="20">
        <v>80000</v>
      </c>
      <c r="C699" s="20">
        <f t="shared" si="166"/>
        <v>1400.0000000000002</v>
      </c>
      <c r="D699" s="27">
        <v>45134</v>
      </c>
      <c r="E699" s="16" t="s">
        <v>4023</v>
      </c>
      <c r="F699" s="16" t="s">
        <v>28</v>
      </c>
      <c r="I699" s="21" t="s">
        <v>30</v>
      </c>
    </row>
    <row r="700" spans="1:9">
      <c r="A700" s="16" t="s">
        <v>3198</v>
      </c>
      <c r="B700" s="20">
        <v>2400000</v>
      </c>
      <c r="C700" s="20">
        <f>0.0125*B700</f>
        <v>30000</v>
      </c>
      <c r="D700" s="27">
        <v>45135</v>
      </c>
      <c r="E700" s="16" t="s">
        <v>2104</v>
      </c>
      <c r="F700" s="16" t="s">
        <v>1448</v>
      </c>
    </row>
    <row r="701" spans="1:9">
      <c r="A701" s="16" t="s">
        <v>4123</v>
      </c>
      <c r="B701" s="20">
        <v>110000</v>
      </c>
      <c r="C701" s="20">
        <f t="shared" ref="C701:C702" si="167">0.0175*B701</f>
        <v>1925.0000000000002</v>
      </c>
      <c r="D701" s="27">
        <v>45135</v>
      </c>
      <c r="E701" s="16" t="s">
        <v>11</v>
      </c>
      <c r="F701" s="16" t="s">
        <v>28</v>
      </c>
      <c r="I701" s="21" t="s">
        <v>30</v>
      </c>
    </row>
    <row r="702" spans="1:9">
      <c r="A702" s="16" t="s">
        <v>4123</v>
      </c>
      <c r="B702" s="20">
        <v>110000</v>
      </c>
      <c r="C702" s="20">
        <f t="shared" si="167"/>
        <v>1925.0000000000002</v>
      </c>
      <c r="D702" s="27">
        <v>45135</v>
      </c>
      <c r="E702" s="16" t="s">
        <v>11</v>
      </c>
      <c r="F702" s="16" t="s">
        <v>28</v>
      </c>
      <c r="I702" s="21" t="s">
        <v>30</v>
      </c>
    </row>
    <row r="703" spans="1:9">
      <c r="A703" s="16" t="s">
        <v>411</v>
      </c>
      <c r="B703" s="20">
        <v>60000</v>
      </c>
      <c r="C703" s="20">
        <f t="shared" ref="C703:C707" si="168">0.0125*B703</f>
        <v>750</v>
      </c>
      <c r="D703" s="27">
        <v>45135</v>
      </c>
      <c r="E703" s="16" t="s">
        <v>11</v>
      </c>
      <c r="F703" s="16" t="s">
        <v>1448</v>
      </c>
    </row>
    <row r="704" spans="1:9">
      <c r="A704" s="16" t="s">
        <v>4124</v>
      </c>
      <c r="B704" s="20">
        <v>150000</v>
      </c>
      <c r="C704" s="20">
        <f t="shared" si="168"/>
        <v>1875</v>
      </c>
      <c r="D704" s="27">
        <v>45135</v>
      </c>
      <c r="E704" s="16" t="s">
        <v>11</v>
      </c>
      <c r="F704" s="16" t="s">
        <v>1448</v>
      </c>
    </row>
    <row r="705" spans="1:9">
      <c r="A705" s="16" t="s">
        <v>2568</v>
      </c>
      <c r="B705" s="20">
        <v>80000</v>
      </c>
      <c r="C705" s="20">
        <f t="shared" si="168"/>
        <v>1000</v>
      </c>
      <c r="D705" s="27">
        <v>45135</v>
      </c>
      <c r="E705" s="16" t="s">
        <v>11</v>
      </c>
      <c r="F705" s="16" t="s">
        <v>1448</v>
      </c>
    </row>
    <row r="706" spans="1:9">
      <c r="A706" s="16" t="s">
        <v>4125</v>
      </c>
      <c r="B706" s="20">
        <v>200000</v>
      </c>
      <c r="C706" s="20">
        <f t="shared" si="168"/>
        <v>2500</v>
      </c>
      <c r="D706" s="27">
        <v>45135</v>
      </c>
      <c r="E706" s="16" t="s">
        <v>75</v>
      </c>
      <c r="F706" s="16" t="s">
        <v>1448</v>
      </c>
    </row>
    <row r="707" spans="1:9">
      <c r="A707" s="16" t="s">
        <v>4126</v>
      </c>
      <c r="B707" s="20">
        <v>275000</v>
      </c>
      <c r="C707" s="20">
        <f t="shared" si="168"/>
        <v>3437.5</v>
      </c>
      <c r="D707" s="27">
        <v>45135</v>
      </c>
      <c r="E707" s="16" t="s">
        <v>75</v>
      </c>
      <c r="F707" s="16" t="s">
        <v>1448</v>
      </c>
    </row>
    <row r="708" spans="1:9">
      <c r="A708" s="16" t="s">
        <v>4127</v>
      </c>
      <c r="B708" s="20">
        <v>80000</v>
      </c>
      <c r="C708" s="20">
        <f t="shared" ref="C708:C709" si="169">0.0175*B708</f>
        <v>1400.0000000000002</v>
      </c>
      <c r="D708" s="27">
        <v>45138</v>
      </c>
      <c r="E708" s="16" t="s">
        <v>92</v>
      </c>
      <c r="F708" s="16" t="s">
        <v>28</v>
      </c>
      <c r="I708" s="21" t="s">
        <v>30</v>
      </c>
    </row>
    <row r="709" spans="1:9">
      <c r="A709" s="16" t="s">
        <v>4128</v>
      </c>
      <c r="B709" s="20">
        <v>750000</v>
      </c>
      <c r="C709" s="20">
        <f t="shared" si="169"/>
        <v>13125.000000000002</v>
      </c>
      <c r="D709" s="27">
        <v>45138</v>
      </c>
      <c r="E709" s="16" t="s">
        <v>11</v>
      </c>
      <c r="F709" s="16" t="s">
        <v>28</v>
      </c>
      <c r="I709" s="21" t="s">
        <v>30</v>
      </c>
    </row>
    <row r="710" spans="1:9">
      <c r="A710" s="16" t="s">
        <v>4129</v>
      </c>
      <c r="B710" s="20">
        <v>1460000</v>
      </c>
      <c r="C710" s="20">
        <f t="shared" ref="C710:C715" si="170">0.0125*B710</f>
        <v>18250</v>
      </c>
      <c r="D710" s="27">
        <v>45138</v>
      </c>
      <c r="E710" s="16" t="s">
        <v>75</v>
      </c>
      <c r="F710" s="16" t="s">
        <v>1448</v>
      </c>
    </row>
    <row r="711" spans="1:9">
      <c r="A711" s="16" t="s">
        <v>3871</v>
      </c>
      <c r="B711" s="20">
        <v>465000</v>
      </c>
      <c r="C711" s="20">
        <f t="shared" si="170"/>
        <v>5812.5</v>
      </c>
      <c r="D711" s="27">
        <v>45138</v>
      </c>
      <c r="E711" s="16" t="s">
        <v>11</v>
      </c>
      <c r="F711" s="16" t="s">
        <v>1448</v>
      </c>
    </row>
    <row r="712" spans="1:9">
      <c r="A712" s="16" t="s">
        <v>4130</v>
      </c>
      <c r="B712" s="20">
        <v>42500</v>
      </c>
      <c r="C712" s="20">
        <f t="shared" si="170"/>
        <v>531.25</v>
      </c>
      <c r="D712" s="27">
        <v>45138</v>
      </c>
      <c r="E712" s="16" t="s">
        <v>11</v>
      </c>
      <c r="F712" s="16" t="s">
        <v>1448</v>
      </c>
    </row>
    <row r="713" spans="1:9">
      <c r="A713" s="16" t="s">
        <v>489</v>
      </c>
      <c r="B713" s="20">
        <v>35000</v>
      </c>
      <c r="C713" s="20">
        <f t="shared" si="170"/>
        <v>437.5</v>
      </c>
      <c r="D713" s="27">
        <v>45138</v>
      </c>
      <c r="E713" s="16" t="s">
        <v>11</v>
      </c>
      <c r="F713" s="16" t="s">
        <v>1448</v>
      </c>
    </row>
    <row r="714" spans="1:9">
      <c r="A714" s="16" t="s">
        <v>2325</v>
      </c>
      <c r="B714" s="20">
        <v>52500</v>
      </c>
      <c r="C714" s="20">
        <f t="shared" si="170"/>
        <v>656.25</v>
      </c>
      <c r="D714" s="27">
        <v>45138</v>
      </c>
      <c r="E714" s="16" t="s">
        <v>11</v>
      </c>
      <c r="F714" s="16" t="s">
        <v>1448</v>
      </c>
    </row>
    <row r="715" spans="1:9">
      <c r="A715" s="16" t="s">
        <v>4131</v>
      </c>
      <c r="B715" s="20">
        <v>70000</v>
      </c>
      <c r="C715" s="20">
        <f t="shared" si="170"/>
        <v>875</v>
      </c>
      <c r="D715" s="27">
        <v>45138</v>
      </c>
      <c r="E715" s="16" t="s">
        <v>11</v>
      </c>
      <c r="F715" s="16" t="s">
        <v>1448</v>
      </c>
    </row>
    <row r="716" spans="1:9">
      <c r="A716" s="11">
        <v>45139</v>
      </c>
      <c r="B716" s="9">
        <f t="shared" ref="B716:C716" si="171">SUM(B717:B825)</f>
        <v>21400500</v>
      </c>
      <c r="C716" s="9">
        <f t="shared" si="171"/>
        <v>309913.75</v>
      </c>
      <c r="D716" s="59"/>
      <c r="E716" s="59"/>
      <c r="F716" s="59"/>
      <c r="G716" s="59"/>
    </row>
    <row r="717" spans="1:9">
      <c r="A717" s="16" t="s">
        <v>4132</v>
      </c>
      <c r="B717" s="20">
        <v>450000</v>
      </c>
      <c r="C717" s="20">
        <f t="shared" ref="C717:C720" si="172">0.0175*B717</f>
        <v>7875.0000000000009</v>
      </c>
      <c r="D717" s="27">
        <v>45139</v>
      </c>
      <c r="E717" s="16" t="s">
        <v>69</v>
      </c>
      <c r="F717" s="16" t="s">
        <v>28</v>
      </c>
      <c r="H717" s="16" t="s">
        <v>4133</v>
      </c>
      <c r="I717" s="21" t="s">
        <v>30</v>
      </c>
    </row>
    <row r="718" spans="1:9">
      <c r="A718" s="16" t="s">
        <v>4134</v>
      </c>
      <c r="B718" s="20">
        <v>625000</v>
      </c>
      <c r="C718" s="20">
        <f t="shared" si="172"/>
        <v>10937.500000000002</v>
      </c>
      <c r="D718" s="27">
        <v>45139</v>
      </c>
      <c r="E718" s="16" t="s">
        <v>4023</v>
      </c>
      <c r="F718" s="16" t="s">
        <v>28</v>
      </c>
      <c r="H718" s="16" t="s">
        <v>4135</v>
      </c>
      <c r="I718" s="21" t="s">
        <v>30</v>
      </c>
    </row>
    <row r="719" spans="1:9">
      <c r="A719" s="16" t="s">
        <v>4136</v>
      </c>
      <c r="B719" s="20">
        <v>100000</v>
      </c>
      <c r="C719" s="20">
        <f t="shared" si="172"/>
        <v>1750.0000000000002</v>
      </c>
      <c r="D719" s="27">
        <v>45139</v>
      </c>
      <c r="E719" s="16" t="s">
        <v>11</v>
      </c>
      <c r="F719" s="16" t="s">
        <v>28</v>
      </c>
    </row>
    <row r="720" spans="1:9">
      <c r="A720" s="16" t="s">
        <v>4137</v>
      </c>
      <c r="B720" s="20">
        <v>125000</v>
      </c>
      <c r="C720" s="20">
        <f t="shared" si="172"/>
        <v>2187.5</v>
      </c>
      <c r="D720" s="27">
        <v>45139</v>
      </c>
      <c r="E720" s="16" t="s">
        <v>4023</v>
      </c>
      <c r="F720" s="16" t="s">
        <v>28</v>
      </c>
      <c r="I720" s="21" t="s">
        <v>30</v>
      </c>
    </row>
    <row r="721" spans="1:9">
      <c r="A721" s="16" t="s">
        <v>2111</v>
      </c>
      <c r="B721" s="20">
        <v>50000</v>
      </c>
      <c r="C721" s="20">
        <f t="shared" ref="C721:C723" si="173">0.0125*B721</f>
        <v>625</v>
      </c>
      <c r="D721" s="27">
        <v>45139</v>
      </c>
      <c r="E721" s="16" t="s">
        <v>11</v>
      </c>
      <c r="F721" s="16" t="s">
        <v>1448</v>
      </c>
    </row>
    <row r="722" spans="1:9">
      <c r="A722" s="16" t="s">
        <v>2140</v>
      </c>
      <c r="B722" s="20">
        <v>200000</v>
      </c>
      <c r="C722" s="20">
        <f t="shared" si="173"/>
        <v>2500</v>
      </c>
      <c r="D722" s="27">
        <v>45140</v>
      </c>
      <c r="E722" s="16" t="s">
        <v>11</v>
      </c>
      <c r="F722" s="16" t="s">
        <v>1448</v>
      </c>
    </row>
    <row r="723" spans="1:9">
      <c r="A723" s="16" t="s">
        <v>4138</v>
      </c>
      <c r="B723" s="20">
        <v>150000</v>
      </c>
      <c r="C723" s="20">
        <f t="shared" si="173"/>
        <v>1875</v>
      </c>
      <c r="D723" s="27">
        <v>45140</v>
      </c>
      <c r="E723" s="16" t="s">
        <v>4023</v>
      </c>
      <c r="F723" s="16" t="s">
        <v>1448</v>
      </c>
    </row>
    <row r="724" spans="1:9">
      <c r="A724" s="16" t="s">
        <v>4139</v>
      </c>
      <c r="B724" s="20">
        <v>25000</v>
      </c>
      <c r="C724" s="20">
        <f t="shared" ref="C724:C727" si="174">0.0175*B724</f>
        <v>437.50000000000006</v>
      </c>
      <c r="D724" s="27">
        <v>45141</v>
      </c>
      <c r="E724" s="16" t="s">
        <v>75</v>
      </c>
      <c r="F724" s="16" t="s">
        <v>28</v>
      </c>
      <c r="I724" s="21" t="s">
        <v>30</v>
      </c>
    </row>
    <row r="725" spans="1:9">
      <c r="A725" s="16" t="s">
        <v>4140</v>
      </c>
      <c r="B725" s="20">
        <v>60000</v>
      </c>
      <c r="C725" s="20">
        <f t="shared" si="174"/>
        <v>1050</v>
      </c>
      <c r="D725" s="27">
        <v>45141</v>
      </c>
      <c r="E725" s="16" t="s">
        <v>11</v>
      </c>
      <c r="F725" s="16" t="s">
        <v>28</v>
      </c>
      <c r="I725" s="21" t="s">
        <v>30</v>
      </c>
    </row>
    <row r="726" spans="1:9">
      <c r="A726" s="16" t="s">
        <v>4141</v>
      </c>
      <c r="B726" s="20">
        <v>95000</v>
      </c>
      <c r="C726" s="20">
        <f t="shared" si="174"/>
        <v>1662.5000000000002</v>
      </c>
      <c r="D726" s="27">
        <v>45141</v>
      </c>
      <c r="E726" s="16" t="s">
        <v>75</v>
      </c>
      <c r="F726" s="16" t="s">
        <v>28</v>
      </c>
      <c r="I726" s="21" t="s">
        <v>30</v>
      </c>
    </row>
    <row r="727" spans="1:9">
      <c r="A727" s="16" t="s">
        <v>4142</v>
      </c>
      <c r="B727" s="20">
        <v>750000</v>
      </c>
      <c r="C727" s="20">
        <f t="shared" si="174"/>
        <v>13125.000000000002</v>
      </c>
      <c r="D727" s="27">
        <v>45141</v>
      </c>
      <c r="E727" s="16" t="s">
        <v>11</v>
      </c>
      <c r="F727" s="16" t="s">
        <v>28</v>
      </c>
      <c r="I727" s="21" t="s">
        <v>30</v>
      </c>
    </row>
    <row r="728" spans="1:9">
      <c r="A728" s="16" t="s">
        <v>3615</v>
      </c>
      <c r="B728" s="20">
        <v>100000</v>
      </c>
      <c r="C728" s="20">
        <f t="shared" ref="C728:C732" si="175">0.0125*B728</f>
        <v>1250</v>
      </c>
      <c r="D728" s="18">
        <v>45142</v>
      </c>
      <c r="E728" s="16" t="s">
        <v>11</v>
      </c>
      <c r="F728" s="16" t="s">
        <v>1448</v>
      </c>
    </row>
    <row r="729" spans="1:9">
      <c r="A729" s="16" t="s">
        <v>2213</v>
      </c>
      <c r="B729" s="20">
        <v>155000</v>
      </c>
      <c r="C729" s="20">
        <f t="shared" si="175"/>
        <v>1937.5</v>
      </c>
      <c r="D729" s="18">
        <v>45142</v>
      </c>
      <c r="E729" s="16" t="s">
        <v>11</v>
      </c>
      <c r="F729" s="16" t="s">
        <v>1448</v>
      </c>
    </row>
    <row r="730" spans="1:9">
      <c r="A730" s="16" t="s">
        <v>3600</v>
      </c>
      <c r="B730" s="20">
        <v>1620000</v>
      </c>
      <c r="C730" s="20">
        <f t="shared" si="175"/>
        <v>20250</v>
      </c>
      <c r="D730" s="27">
        <v>45145</v>
      </c>
      <c r="E730" s="16" t="s">
        <v>2618</v>
      </c>
      <c r="F730" s="16" t="s">
        <v>1448</v>
      </c>
    </row>
    <row r="731" spans="1:9">
      <c r="A731" s="16" t="s">
        <v>4143</v>
      </c>
      <c r="B731" s="20">
        <v>345000</v>
      </c>
      <c r="C731" s="20">
        <f t="shared" si="175"/>
        <v>4312.5</v>
      </c>
      <c r="D731" s="27">
        <v>45145</v>
      </c>
      <c r="E731" s="16" t="s">
        <v>4023</v>
      </c>
      <c r="F731" s="16" t="s">
        <v>1448</v>
      </c>
    </row>
    <row r="732" spans="1:9">
      <c r="A732" s="16" t="s">
        <v>4144</v>
      </c>
      <c r="B732" s="20">
        <v>156500</v>
      </c>
      <c r="C732" s="20">
        <f t="shared" si="175"/>
        <v>1956.25</v>
      </c>
      <c r="D732" s="27">
        <v>45145</v>
      </c>
      <c r="E732" s="16" t="s">
        <v>4023</v>
      </c>
      <c r="F732" s="16" t="s">
        <v>1448</v>
      </c>
    </row>
    <row r="733" spans="1:9">
      <c r="A733" s="16" t="s">
        <v>4145</v>
      </c>
      <c r="B733" s="20">
        <v>500000</v>
      </c>
      <c r="C733" s="20">
        <f>0.0175*B733</f>
        <v>8750</v>
      </c>
      <c r="D733" s="27">
        <v>45145</v>
      </c>
      <c r="E733" s="16" t="s">
        <v>3729</v>
      </c>
      <c r="F733" s="16" t="s">
        <v>28</v>
      </c>
      <c r="I733" s="21" t="s">
        <v>30</v>
      </c>
    </row>
    <row r="734" spans="1:9">
      <c r="A734" s="16" t="s">
        <v>2735</v>
      </c>
      <c r="B734" s="20">
        <v>30000</v>
      </c>
      <c r="C734" s="20">
        <f>0.0125*B734</f>
        <v>375</v>
      </c>
      <c r="D734" s="27">
        <v>45145</v>
      </c>
      <c r="E734" s="16" t="s">
        <v>11</v>
      </c>
      <c r="F734" s="16" t="s">
        <v>1448</v>
      </c>
    </row>
    <row r="735" spans="1:9">
      <c r="A735" s="16" t="s">
        <v>4146</v>
      </c>
      <c r="B735" s="20">
        <v>200000</v>
      </c>
      <c r="C735" s="20">
        <f t="shared" ref="C735:C737" si="176">0.0175*B735</f>
        <v>3500.0000000000005</v>
      </c>
      <c r="D735" s="27">
        <v>45146</v>
      </c>
      <c r="E735" s="16" t="s">
        <v>92</v>
      </c>
      <c r="F735" s="16" t="s">
        <v>28</v>
      </c>
      <c r="I735" s="21" t="s">
        <v>30</v>
      </c>
    </row>
    <row r="736" spans="1:9">
      <c r="A736" s="16" t="s">
        <v>4147</v>
      </c>
      <c r="B736" s="20">
        <v>150000</v>
      </c>
      <c r="C736" s="20">
        <f t="shared" si="176"/>
        <v>2625.0000000000005</v>
      </c>
      <c r="D736" s="27">
        <v>45146</v>
      </c>
      <c r="E736" s="16" t="s">
        <v>75</v>
      </c>
      <c r="F736" s="16" t="s">
        <v>28</v>
      </c>
      <c r="I736" s="21" t="s">
        <v>30</v>
      </c>
    </row>
    <row r="737" spans="1:9">
      <c r="A737" s="16" t="s">
        <v>4148</v>
      </c>
      <c r="B737" s="20">
        <v>225000</v>
      </c>
      <c r="C737" s="20">
        <f t="shared" si="176"/>
        <v>3937.5000000000005</v>
      </c>
      <c r="D737" s="27">
        <v>45146</v>
      </c>
      <c r="E737" s="16" t="s">
        <v>75</v>
      </c>
      <c r="F737" s="16" t="s">
        <v>28</v>
      </c>
      <c r="I737" s="21" t="s">
        <v>30</v>
      </c>
    </row>
    <row r="738" spans="1:9">
      <c r="A738" s="16" t="s">
        <v>4149</v>
      </c>
      <c r="B738" s="20">
        <v>134000</v>
      </c>
      <c r="C738" s="20">
        <f>0.0125*B738</f>
        <v>1675</v>
      </c>
      <c r="D738" s="27">
        <v>45146</v>
      </c>
      <c r="E738" s="16" t="s">
        <v>11</v>
      </c>
      <c r="F738" s="16" t="s">
        <v>1448</v>
      </c>
    </row>
    <row r="739" spans="1:9">
      <c r="A739" s="16" t="s">
        <v>4150</v>
      </c>
      <c r="B739" s="20">
        <v>250000</v>
      </c>
      <c r="C739" s="20">
        <f t="shared" ref="C739:C740" si="177">0.0175*B739</f>
        <v>4375</v>
      </c>
      <c r="D739" s="27">
        <v>45146</v>
      </c>
      <c r="E739" s="16" t="s">
        <v>24</v>
      </c>
      <c r="F739" s="16" t="s">
        <v>28</v>
      </c>
      <c r="I739" s="21" t="s">
        <v>30</v>
      </c>
    </row>
    <row r="740" spans="1:9">
      <c r="A740" s="16" t="s">
        <v>4151</v>
      </c>
      <c r="B740" s="20">
        <v>30000</v>
      </c>
      <c r="C740" s="20">
        <f t="shared" si="177"/>
        <v>525</v>
      </c>
      <c r="D740" s="27">
        <v>45147</v>
      </c>
      <c r="E740" s="16" t="s">
        <v>4152</v>
      </c>
      <c r="F740" s="16" t="s">
        <v>28</v>
      </c>
      <c r="H740" s="16" t="s">
        <v>2143</v>
      </c>
      <c r="I740" s="21" t="s">
        <v>30</v>
      </c>
    </row>
    <row r="741" spans="1:9">
      <c r="A741" s="16" t="s">
        <v>2492</v>
      </c>
      <c r="B741" s="20">
        <v>370000</v>
      </c>
      <c r="C741" s="20">
        <f>0.0125*B741</f>
        <v>4625</v>
      </c>
      <c r="D741" s="27">
        <v>45147</v>
      </c>
      <c r="E741" s="16" t="s">
        <v>11</v>
      </c>
      <c r="F741" s="16" t="s">
        <v>1448</v>
      </c>
    </row>
    <row r="742" spans="1:9">
      <c r="A742" s="16" t="s">
        <v>4153</v>
      </c>
      <c r="B742" s="20">
        <v>90000</v>
      </c>
      <c r="C742" s="20">
        <f>0.0175*B742</f>
        <v>1575.0000000000002</v>
      </c>
      <c r="D742" s="27">
        <v>45147</v>
      </c>
      <c r="E742" s="16" t="s">
        <v>11</v>
      </c>
      <c r="F742" s="16" t="s">
        <v>1448</v>
      </c>
    </row>
    <row r="743" spans="1:9">
      <c r="A743" s="16" t="s">
        <v>3876</v>
      </c>
      <c r="B743" s="20">
        <v>75000</v>
      </c>
      <c r="C743" s="20">
        <f t="shared" ref="C743:C744" si="178">0.0125*B743</f>
        <v>937.5</v>
      </c>
      <c r="D743" s="27">
        <v>45148</v>
      </c>
      <c r="E743" s="16" t="s">
        <v>11</v>
      </c>
      <c r="F743" s="16" t="s">
        <v>1448</v>
      </c>
    </row>
    <row r="744" spans="1:9">
      <c r="A744" s="16" t="s">
        <v>2470</v>
      </c>
      <c r="B744" s="20">
        <v>20000</v>
      </c>
      <c r="C744" s="20">
        <f t="shared" si="178"/>
        <v>250</v>
      </c>
      <c r="D744" s="27">
        <v>45148</v>
      </c>
      <c r="E744" s="16" t="s">
        <v>11</v>
      </c>
      <c r="F744" s="16" t="s">
        <v>1448</v>
      </c>
    </row>
    <row r="745" spans="1:9">
      <c r="A745" s="16" t="s">
        <v>4154</v>
      </c>
      <c r="B745" s="20">
        <v>20000</v>
      </c>
      <c r="C745" s="20">
        <f>0.0175*B745</f>
        <v>350.00000000000006</v>
      </c>
      <c r="D745" s="27">
        <v>45148</v>
      </c>
      <c r="E745" s="16" t="s">
        <v>11</v>
      </c>
      <c r="F745" s="16" t="s">
        <v>28</v>
      </c>
      <c r="I745" s="21" t="s">
        <v>30</v>
      </c>
    </row>
    <row r="746" spans="1:9">
      <c r="A746" s="16" t="s">
        <v>3806</v>
      </c>
      <c r="B746" s="20">
        <v>75000</v>
      </c>
      <c r="C746" s="20">
        <f>0.0125*B746</f>
        <v>937.5</v>
      </c>
      <c r="D746" s="27">
        <v>45148</v>
      </c>
      <c r="E746" s="16" t="s">
        <v>11</v>
      </c>
      <c r="F746" s="16" t="s">
        <v>1448</v>
      </c>
    </row>
    <row r="747" spans="1:9">
      <c r="A747" s="16" t="s">
        <v>4155</v>
      </c>
      <c r="B747" s="20">
        <v>100000</v>
      </c>
      <c r="C747" s="20">
        <f>0.0175*B747</f>
        <v>1750.0000000000002</v>
      </c>
      <c r="D747" s="27">
        <v>45148</v>
      </c>
      <c r="E747" s="16" t="s">
        <v>3729</v>
      </c>
      <c r="F747" s="16" t="s">
        <v>28</v>
      </c>
      <c r="I747" s="21" t="s">
        <v>30</v>
      </c>
    </row>
    <row r="748" spans="1:9">
      <c r="A748" s="16" t="s">
        <v>4156</v>
      </c>
      <c r="B748" s="20">
        <v>50000</v>
      </c>
      <c r="C748" s="20">
        <f>0.0175*40000</f>
        <v>700.00000000000011</v>
      </c>
      <c r="D748" s="27">
        <v>45149</v>
      </c>
      <c r="E748" s="16" t="s">
        <v>69</v>
      </c>
      <c r="F748" s="16" t="s">
        <v>28</v>
      </c>
      <c r="H748" s="16" t="s">
        <v>4157</v>
      </c>
      <c r="I748" s="21" t="s">
        <v>30</v>
      </c>
    </row>
    <row r="749" spans="1:9">
      <c r="A749" s="16" t="s">
        <v>4158</v>
      </c>
      <c r="B749" s="20">
        <v>600000</v>
      </c>
      <c r="C749" s="20">
        <f>0.0175*B749</f>
        <v>10500.000000000002</v>
      </c>
      <c r="D749" s="27">
        <v>45149</v>
      </c>
      <c r="E749" s="16" t="s">
        <v>4023</v>
      </c>
      <c r="F749" s="16" t="s">
        <v>28</v>
      </c>
      <c r="I749" s="21" t="s">
        <v>30</v>
      </c>
    </row>
    <row r="750" spans="1:9">
      <c r="A750" s="16" t="s">
        <v>4159</v>
      </c>
      <c r="B750" s="20">
        <v>50000</v>
      </c>
      <c r="C750" s="20">
        <f>0.0125*40000</f>
        <v>500</v>
      </c>
      <c r="D750" s="27">
        <v>45149</v>
      </c>
      <c r="E750" s="16" t="s">
        <v>69</v>
      </c>
      <c r="F750" s="16" t="s">
        <v>1448</v>
      </c>
      <c r="H750" s="16" t="s">
        <v>4160</v>
      </c>
    </row>
    <row r="751" spans="1:9">
      <c r="A751" s="16" t="s">
        <v>4161</v>
      </c>
      <c r="B751" s="20">
        <v>125000</v>
      </c>
      <c r="C751" s="20">
        <f>0.0175*B751</f>
        <v>2187.5</v>
      </c>
      <c r="D751" s="27">
        <v>45149</v>
      </c>
      <c r="E751" s="16" t="s">
        <v>92</v>
      </c>
      <c r="F751" s="16" t="s">
        <v>28</v>
      </c>
      <c r="I751" s="21" t="s">
        <v>30</v>
      </c>
    </row>
    <row r="752" spans="1:9">
      <c r="A752" s="16" t="s">
        <v>4162</v>
      </c>
      <c r="B752" s="20">
        <v>75000</v>
      </c>
      <c r="C752" s="20">
        <f>0.0175*50000</f>
        <v>875.00000000000011</v>
      </c>
      <c r="D752" s="27">
        <v>45149</v>
      </c>
      <c r="E752" s="16" t="s">
        <v>69</v>
      </c>
      <c r="F752" s="16" t="s">
        <v>28</v>
      </c>
      <c r="H752" s="16" t="s">
        <v>4163</v>
      </c>
      <c r="I752" s="21" t="s">
        <v>30</v>
      </c>
    </row>
    <row r="753" spans="1:9">
      <c r="A753" s="16" t="s">
        <v>4164</v>
      </c>
      <c r="B753" s="20">
        <v>140000</v>
      </c>
      <c r="C753" s="20">
        <f>0.0175*B753</f>
        <v>2450.0000000000005</v>
      </c>
      <c r="D753" s="27">
        <v>45149</v>
      </c>
      <c r="E753" s="16" t="s">
        <v>4023</v>
      </c>
      <c r="F753" s="16" t="s">
        <v>28</v>
      </c>
      <c r="I753" s="21" t="s">
        <v>30</v>
      </c>
    </row>
    <row r="754" spans="1:9">
      <c r="A754" s="16" t="s">
        <v>4165</v>
      </c>
      <c r="B754" s="20">
        <v>150000</v>
      </c>
      <c r="C754" s="20">
        <f t="shared" ref="C754:C756" si="179">0.0125*B754</f>
        <v>1875</v>
      </c>
      <c r="D754" s="27">
        <v>45149</v>
      </c>
      <c r="E754" s="16" t="s">
        <v>11</v>
      </c>
      <c r="F754" s="16" t="s">
        <v>1448</v>
      </c>
    </row>
    <row r="755" spans="1:9">
      <c r="A755" s="16" t="s">
        <v>4166</v>
      </c>
      <c r="B755" s="20">
        <v>50000</v>
      </c>
      <c r="C755" s="20">
        <f t="shared" si="179"/>
        <v>625</v>
      </c>
      <c r="D755" s="27">
        <v>45152</v>
      </c>
      <c r="E755" s="16" t="s">
        <v>4023</v>
      </c>
      <c r="F755" s="16" t="s">
        <v>1448</v>
      </c>
    </row>
    <row r="756" spans="1:9">
      <c r="A756" s="16" t="s">
        <v>4167</v>
      </c>
      <c r="B756" s="20">
        <v>23500</v>
      </c>
      <c r="C756" s="20">
        <f t="shared" si="179"/>
        <v>293.75</v>
      </c>
      <c r="D756" s="27">
        <v>45152</v>
      </c>
      <c r="E756" s="16" t="s">
        <v>11</v>
      </c>
      <c r="F756" s="16" t="s">
        <v>1448</v>
      </c>
    </row>
    <row r="757" spans="1:9">
      <c r="A757" s="16" t="s">
        <v>4168</v>
      </c>
      <c r="B757" s="20">
        <v>60000</v>
      </c>
      <c r="C757" s="20">
        <f>0.0175*B757</f>
        <v>1050</v>
      </c>
      <c r="D757" s="27">
        <v>45152</v>
      </c>
      <c r="E757" s="16" t="s">
        <v>3583</v>
      </c>
      <c r="F757" s="16" t="s">
        <v>28</v>
      </c>
      <c r="I757" s="21" t="s">
        <v>30</v>
      </c>
    </row>
    <row r="758" spans="1:9">
      <c r="A758" s="16" t="s">
        <v>3033</v>
      </c>
      <c r="B758" s="20">
        <v>260000</v>
      </c>
      <c r="C758" s="20">
        <f>0.0125*B758</f>
        <v>3250</v>
      </c>
      <c r="D758" s="27">
        <v>45152</v>
      </c>
      <c r="E758" s="16" t="s">
        <v>4023</v>
      </c>
      <c r="F758" s="16" t="s">
        <v>1448</v>
      </c>
    </row>
    <row r="759" spans="1:9">
      <c r="A759" s="16" t="s">
        <v>4169</v>
      </c>
      <c r="B759" s="20">
        <v>250000</v>
      </c>
      <c r="C759" s="20">
        <f>0.0175*200000</f>
        <v>3500.0000000000005</v>
      </c>
      <c r="D759" s="27">
        <v>45153</v>
      </c>
      <c r="E759" s="16" t="s">
        <v>11</v>
      </c>
      <c r="F759" s="16" t="s">
        <v>28</v>
      </c>
      <c r="H759" s="16" t="s">
        <v>4170</v>
      </c>
      <c r="I759" s="21" t="s">
        <v>30</v>
      </c>
    </row>
    <row r="760" spans="1:9">
      <c r="A760" s="16" t="s">
        <v>4171</v>
      </c>
      <c r="B760" s="20">
        <v>250000</v>
      </c>
      <c r="C760" s="20">
        <f t="shared" ref="C760:C765" si="180">0.0175*B760</f>
        <v>4375</v>
      </c>
      <c r="D760" s="27">
        <v>45153</v>
      </c>
      <c r="E760" s="16" t="s">
        <v>11</v>
      </c>
      <c r="F760" s="16" t="s">
        <v>28</v>
      </c>
      <c r="I760" s="23"/>
    </row>
    <row r="761" spans="1:9">
      <c r="A761" s="16" t="s">
        <v>4172</v>
      </c>
      <c r="B761" s="20">
        <v>150000</v>
      </c>
      <c r="C761" s="20">
        <f t="shared" si="180"/>
        <v>2625.0000000000005</v>
      </c>
      <c r="D761" s="27">
        <v>45154</v>
      </c>
      <c r="E761" s="16" t="s">
        <v>3729</v>
      </c>
      <c r="F761" s="16" t="s">
        <v>28</v>
      </c>
      <c r="I761" s="21" t="s">
        <v>30</v>
      </c>
    </row>
    <row r="762" spans="1:9">
      <c r="A762" s="16" t="s">
        <v>4173</v>
      </c>
      <c r="B762" s="20">
        <v>135000</v>
      </c>
      <c r="C762" s="20">
        <f t="shared" si="180"/>
        <v>2362.5</v>
      </c>
      <c r="D762" s="27">
        <v>45154</v>
      </c>
      <c r="E762" s="16" t="s">
        <v>345</v>
      </c>
      <c r="F762" s="16" t="s">
        <v>28</v>
      </c>
      <c r="H762" s="16" t="s">
        <v>13</v>
      </c>
      <c r="I762" s="21" t="s">
        <v>30</v>
      </c>
    </row>
    <row r="763" spans="1:9">
      <c r="A763" s="16" t="s">
        <v>3034</v>
      </c>
      <c r="B763" s="20">
        <v>300000</v>
      </c>
      <c r="C763" s="20">
        <f t="shared" si="180"/>
        <v>5250.0000000000009</v>
      </c>
      <c r="D763" s="27">
        <v>45154</v>
      </c>
      <c r="E763" s="16" t="s">
        <v>3729</v>
      </c>
      <c r="F763" s="16" t="s">
        <v>28</v>
      </c>
      <c r="I763" s="21" t="s">
        <v>30</v>
      </c>
    </row>
    <row r="764" spans="1:9">
      <c r="A764" s="16" t="s">
        <v>4174</v>
      </c>
      <c r="B764" s="20">
        <v>125000</v>
      </c>
      <c r="C764" s="20">
        <f t="shared" si="180"/>
        <v>2187.5</v>
      </c>
      <c r="D764" s="27">
        <v>45154</v>
      </c>
      <c r="E764" s="16" t="s">
        <v>11</v>
      </c>
      <c r="F764" s="16" t="s">
        <v>28</v>
      </c>
      <c r="I764" s="21" t="s">
        <v>30</v>
      </c>
    </row>
    <row r="765" spans="1:9">
      <c r="A765" s="16" t="s">
        <v>4175</v>
      </c>
      <c r="B765" s="20">
        <v>40000</v>
      </c>
      <c r="C765" s="20">
        <f t="shared" si="180"/>
        <v>700.00000000000011</v>
      </c>
      <c r="D765" s="27">
        <v>45154</v>
      </c>
      <c r="E765" s="16" t="s">
        <v>4176</v>
      </c>
      <c r="F765" s="16" t="s">
        <v>28</v>
      </c>
      <c r="I765" s="21" t="s">
        <v>30</v>
      </c>
    </row>
    <row r="766" spans="1:9">
      <c r="A766" s="16" t="s">
        <v>3916</v>
      </c>
      <c r="B766" s="20">
        <v>100000</v>
      </c>
      <c r="C766" s="20">
        <f>0.0125*B766</f>
        <v>1250</v>
      </c>
      <c r="D766" s="27">
        <v>45154</v>
      </c>
      <c r="E766" s="16" t="s">
        <v>11</v>
      </c>
      <c r="F766" s="16" t="s">
        <v>1448</v>
      </c>
    </row>
    <row r="767" spans="1:9">
      <c r="A767" s="16" t="s">
        <v>4177</v>
      </c>
      <c r="B767" s="20">
        <v>12000</v>
      </c>
      <c r="C767" s="20">
        <f>0.0175*B767</f>
        <v>210.00000000000003</v>
      </c>
      <c r="D767" s="27">
        <v>45154</v>
      </c>
      <c r="E767" s="16" t="s">
        <v>4152</v>
      </c>
      <c r="F767" s="16" t="s">
        <v>28</v>
      </c>
      <c r="H767" s="16" t="s">
        <v>2116</v>
      </c>
    </row>
    <row r="768" spans="1:9">
      <c r="A768" s="16" t="s">
        <v>4178</v>
      </c>
      <c r="B768" s="20">
        <v>53000</v>
      </c>
      <c r="C768" s="20">
        <f t="shared" ref="C768:C771" si="181">0.0125*B768</f>
        <v>662.5</v>
      </c>
      <c r="D768" s="27">
        <v>45155</v>
      </c>
      <c r="E768" s="16" t="s">
        <v>11</v>
      </c>
      <c r="F768" s="16" t="s">
        <v>1448</v>
      </c>
    </row>
    <row r="769" spans="1:9">
      <c r="A769" s="16" t="s">
        <v>348</v>
      </c>
      <c r="B769" s="20">
        <v>860000</v>
      </c>
      <c r="C769" s="20">
        <f t="shared" si="181"/>
        <v>10750</v>
      </c>
      <c r="D769" s="27">
        <v>45155</v>
      </c>
      <c r="E769" s="16" t="s">
        <v>4023</v>
      </c>
      <c r="F769" s="16" t="s">
        <v>1448</v>
      </c>
    </row>
    <row r="770" spans="1:9">
      <c r="A770" s="16" t="s">
        <v>627</v>
      </c>
      <c r="B770" s="20">
        <v>240500</v>
      </c>
      <c r="C770" s="20">
        <f t="shared" si="181"/>
        <v>3006.25</v>
      </c>
      <c r="D770" s="27">
        <v>45156</v>
      </c>
      <c r="E770" s="16" t="s">
        <v>11</v>
      </c>
      <c r="F770" s="16" t="s">
        <v>1448</v>
      </c>
    </row>
    <row r="771" spans="1:9">
      <c r="A771" s="16" t="s">
        <v>4179</v>
      </c>
      <c r="B771" s="20">
        <v>90000</v>
      </c>
      <c r="C771" s="20">
        <f t="shared" si="181"/>
        <v>1125</v>
      </c>
      <c r="D771" s="27">
        <v>45156</v>
      </c>
      <c r="E771" s="16" t="s">
        <v>11</v>
      </c>
      <c r="F771" s="16" t="s">
        <v>1448</v>
      </c>
    </row>
    <row r="772" spans="1:9">
      <c r="A772" s="16" t="s">
        <v>4180</v>
      </c>
      <c r="B772" s="20">
        <v>105000</v>
      </c>
      <c r="C772" s="20">
        <f t="shared" ref="C772:C774" si="182">0.0175*B772</f>
        <v>1837.5000000000002</v>
      </c>
      <c r="D772" s="27">
        <v>45156</v>
      </c>
      <c r="E772" s="16" t="s">
        <v>4152</v>
      </c>
      <c r="F772" s="16" t="s">
        <v>28</v>
      </c>
      <c r="H772" s="16" t="s">
        <v>2143</v>
      </c>
      <c r="I772" s="21" t="s">
        <v>30</v>
      </c>
    </row>
    <row r="773" spans="1:9">
      <c r="A773" s="16" t="s">
        <v>4181</v>
      </c>
      <c r="B773" s="20">
        <v>60000</v>
      </c>
      <c r="C773" s="20">
        <f t="shared" si="182"/>
        <v>1050</v>
      </c>
      <c r="D773" s="27">
        <v>45156</v>
      </c>
      <c r="E773" s="16" t="s">
        <v>345</v>
      </c>
      <c r="F773" s="16" t="s">
        <v>28</v>
      </c>
      <c r="H773" s="16" t="s">
        <v>13</v>
      </c>
      <c r="I773" s="21" t="s">
        <v>30</v>
      </c>
    </row>
    <row r="774" spans="1:9">
      <c r="A774" s="16" t="s">
        <v>4182</v>
      </c>
      <c r="B774" s="20">
        <v>25000</v>
      </c>
      <c r="C774" s="20">
        <f t="shared" si="182"/>
        <v>437.50000000000006</v>
      </c>
      <c r="D774" s="27">
        <v>45156</v>
      </c>
      <c r="E774" s="16" t="s">
        <v>11</v>
      </c>
      <c r="F774" s="16" t="s">
        <v>28</v>
      </c>
      <c r="I774" s="21" t="s">
        <v>30</v>
      </c>
    </row>
    <row r="775" spans="1:9">
      <c r="A775" s="16" t="s">
        <v>4003</v>
      </c>
      <c r="B775" s="20">
        <v>480000</v>
      </c>
      <c r="C775" s="20">
        <f>0.0125*B775</f>
        <v>6000</v>
      </c>
      <c r="D775" s="27">
        <v>45156</v>
      </c>
      <c r="E775" s="16" t="s">
        <v>345</v>
      </c>
      <c r="F775" s="16" t="s">
        <v>1448</v>
      </c>
      <c r="H775" s="16" t="s">
        <v>22</v>
      </c>
    </row>
    <row r="776" spans="1:9">
      <c r="A776" s="16" t="s">
        <v>4183</v>
      </c>
      <c r="B776" s="20">
        <v>30000</v>
      </c>
      <c r="C776" s="20">
        <f>0.0175*B776</f>
        <v>525</v>
      </c>
      <c r="D776" s="27">
        <v>45156</v>
      </c>
      <c r="E776" s="16" t="s">
        <v>11</v>
      </c>
      <c r="F776" s="16" t="s">
        <v>28</v>
      </c>
    </row>
    <row r="777" spans="1:9">
      <c r="A777" s="16" t="s">
        <v>4024</v>
      </c>
      <c r="B777" s="20">
        <v>300000</v>
      </c>
      <c r="C777" s="20">
        <f>0.0175*280000</f>
        <v>4900.0000000000009</v>
      </c>
      <c r="D777" s="27">
        <v>45156</v>
      </c>
      <c r="E777" s="16" t="s">
        <v>69</v>
      </c>
      <c r="F777" s="16" t="s">
        <v>28</v>
      </c>
      <c r="H777" s="16" t="s">
        <v>4184</v>
      </c>
      <c r="I777" s="21" t="s">
        <v>30</v>
      </c>
    </row>
    <row r="778" spans="1:9">
      <c r="A778" s="16" t="s">
        <v>134</v>
      </c>
      <c r="B778" s="20">
        <v>100000</v>
      </c>
      <c r="C778" s="20">
        <f>0.0125*B778</f>
        <v>1250</v>
      </c>
      <c r="D778" s="27">
        <v>45159</v>
      </c>
      <c r="E778" s="16" t="s">
        <v>345</v>
      </c>
      <c r="F778" s="16" t="s">
        <v>1448</v>
      </c>
      <c r="H778" s="16" t="s">
        <v>22</v>
      </c>
    </row>
    <row r="779" spans="1:9">
      <c r="A779" s="16" t="s">
        <v>4185</v>
      </c>
      <c r="B779" s="20">
        <v>4000</v>
      </c>
      <c r="C779" s="20">
        <f>0.0175*B779</f>
        <v>70</v>
      </c>
      <c r="D779" s="27">
        <v>45159</v>
      </c>
      <c r="E779" s="16" t="s">
        <v>4186</v>
      </c>
      <c r="F779" s="16" t="s">
        <v>28</v>
      </c>
      <c r="H779" s="16" t="s">
        <v>4187</v>
      </c>
    </row>
    <row r="780" spans="1:9">
      <c r="A780" s="16" t="s">
        <v>4188</v>
      </c>
      <c r="B780" s="20">
        <v>115000</v>
      </c>
      <c r="C780" s="20">
        <f>0.0175*105000</f>
        <v>1837.5000000000002</v>
      </c>
      <c r="D780" s="27">
        <v>45159</v>
      </c>
      <c r="E780" s="16" t="s">
        <v>69</v>
      </c>
      <c r="F780" s="16" t="s">
        <v>28</v>
      </c>
      <c r="H780" s="16" t="s">
        <v>4189</v>
      </c>
      <c r="I780" s="21" t="s">
        <v>30</v>
      </c>
    </row>
    <row r="781" spans="1:9">
      <c r="A781" s="16" t="s">
        <v>4190</v>
      </c>
      <c r="B781" s="20">
        <v>300000</v>
      </c>
      <c r="C781" s="20">
        <f t="shared" ref="C781:C783" si="183">0.0175*B781</f>
        <v>5250.0000000000009</v>
      </c>
      <c r="D781" s="27">
        <v>45160</v>
      </c>
      <c r="E781" s="16" t="s">
        <v>24</v>
      </c>
      <c r="F781" s="16" t="s">
        <v>28</v>
      </c>
      <c r="H781" s="16" t="s">
        <v>4191</v>
      </c>
      <c r="I781" s="21" t="s">
        <v>30</v>
      </c>
    </row>
    <row r="782" spans="1:9">
      <c r="A782" s="16" t="s">
        <v>4192</v>
      </c>
      <c r="B782" s="20">
        <v>50000</v>
      </c>
      <c r="C782" s="20">
        <f t="shared" si="183"/>
        <v>875.00000000000011</v>
      </c>
      <c r="D782" s="27">
        <v>45161</v>
      </c>
      <c r="E782" s="16" t="s">
        <v>461</v>
      </c>
      <c r="F782" s="16" t="s">
        <v>28</v>
      </c>
      <c r="I782" s="21" t="s">
        <v>30</v>
      </c>
    </row>
    <row r="783" spans="1:9">
      <c r="A783" s="16" t="s">
        <v>4193</v>
      </c>
      <c r="B783" s="20">
        <v>7500</v>
      </c>
      <c r="C783" s="20">
        <f t="shared" si="183"/>
        <v>131.25</v>
      </c>
      <c r="D783" s="27">
        <v>45161</v>
      </c>
      <c r="E783" s="16" t="s">
        <v>4152</v>
      </c>
      <c r="F783" s="16" t="s">
        <v>28</v>
      </c>
      <c r="H783" s="16" t="s">
        <v>4194</v>
      </c>
      <c r="I783" s="21" t="s">
        <v>30</v>
      </c>
    </row>
    <row r="784" spans="1:9">
      <c r="A784" s="16" t="s">
        <v>4195</v>
      </c>
      <c r="B784" s="20">
        <v>350000</v>
      </c>
      <c r="C784" s="20">
        <f t="shared" ref="C784:C785" si="184">0.0125*B784</f>
        <v>4375</v>
      </c>
      <c r="D784" s="27">
        <v>45161</v>
      </c>
      <c r="E784" s="16" t="s">
        <v>345</v>
      </c>
      <c r="F784" s="16" t="s">
        <v>1448</v>
      </c>
      <c r="H784" s="16" t="s">
        <v>22</v>
      </c>
    </row>
    <row r="785" spans="1:9">
      <c r="A785" s="16" t="s">
        <v>4196</v>
      </c>
      <c r="B785" s="20">
        <v>150000</v>
      </c>
      <c r="C785" s="20">
        <f t="shared" si="184"/>
        <v>1875</v>
      </c>
      <c r="D785" s="27">
        <v>45161</v>
      </c>
      <c r="E785" s="16" t="s">
        <v>4023</v>
      </c>
      <c r="F785" s="16" t="s">
        <v>1448</v>
      </c>
    </row>
    <row r="786" spans="1:9">
      <c r="A786" s="16" t="s">
        <v>4197</v>
      </c>
      <c r="B786" s="20">
        <v>110000</v>
      </c>
      <c r="C786" s="20">
        <f t="shared" ref="C786:C788" si="185">0.0175*B786</f>
        <v>1925.0000000000002</v>
      </c>
      <c r="D786" s="27">
        <v>45161</v>
      </c>
      <c r="E786" s="16" t="s">
        <v>4198</v>
      </c>
      <c r="F786" s="16" t="s">
        <v>28</v>
      </c>
      <c r="I786" s="21" t="s">
        <v>30</v>
      </c>
    </row>
    <row r="787" spans="1:9">
      <c r="A787" s="16" t="s">
        <v>4199</v>
      </c>
      <c r="B787" s="20">
        <v>50000</v>
      </c>
      <c r="C787" s="20">
        <f t="shared" si="185"/>
        <v>875.00000000000011</v>
      </c>
      <c r="D787" s="27">
        <v>45162</v>
      </c>
      <c r="E787" s="16" t="s">
        <v>75</v>
      </c>
      <c r="F787" s="16" t="s">
        <v>28</v>
      </c>
      <c r="I787" s="21" t="s">
        <v>30</v>
      </c>
    </row>
    <row r="788" spans="1:9">
      <c r="A788" s="16" t="s">
        <v>4200</v>
      </c>
      <c r="B788" s="20">
        <v>250000</v>
      </c>
      <c r="C788" s="20">
        <f t="shared" si="185"/>
        <v>4375</v>
      </c>
      <c r="D788" s="27">
        <v>45162</v>
      </c>
      <c r="E788" s="16" t="s">
        <v>4023</v>
      </c>
      <c r="F788" s="16" t="s">
        <v>1448</v>
      </c>
    </row>
    <row r="789" spans="1:9">
      <c r="A789" s="16" t="s">
        <v>4201</v>
      </c>
      <c r="B789" s="20">
        <v>35000</v>
      </c>
      <c r="C789" s="20">
        <f t="shared" ref="C789:C792" si="186">0.0125*B789</f>
        <v>437.5</v>
      </c>
      <c r="D789" s="27">
        <v>45162</v>
      </c>
      <c r="E789" s="16" t="s">
        <v>11</v>
      </c>
      <c r="F789" s="16" t="s">
        <v>1448</v>
      </c>
    </row>
    <row r="790" spans="1:9">
      <c r="A790" s="16" t="s">
        <v>3350</v>
      </c>
      <c r="B790" s="20">
        <v>80000</v>
      </c>
      <c r="C790" s="20">
        <f t="shared" si="186"/>
        <v>1000</v>
      </c>
      <c r="D790" s="27">
        <v>45162</v>
      </c>
      <c r="E790" s="16" t="s">
        <v>11</v>
      </c>
      <c r="F790" s="16" t="s">
        <v>1448</v>
      </c>
    </row>
    <row r="791" spans="1:9">
      <c r="A791" s="16" t="s">
        <v>2274</v>
      </c>
      <c r="B791" s="20">
        <v>70000</v>
      </c>
      <c r="C791" s="20">
        <f t="shared" si="186"/>
        <v>875</v>
      </c>
      <c r="D791" s="27">
        <v>45162</v>
      </c>
      <c r="E791" s="16" t="s">
        <v>11</v>
      </c>
      <c r="F791" s="16" t="s">
        <v>1448</v>
      </c>
    </row>
    <row r="792" spans="1:9">
      <c r="A792" s="16" t="s">
        <v>391</v>
      </c>
      <c r="B792" s="20">
        <v>150000</v>
      </c>
      <c r="C792" s="20">
        <f t="shared" si="186"/>
        <v>1875</v>
      </c>
      <c r="D792" s="27">
        <v>45162</v>
      </c>
      <c r="E792" s="16" t="s">
        <v>11</v>
      </c>
      <c r="F792" s="16" t="s">
        <v>1448</v>
      </c>
    </row>
    <row r="793" spans="1:9">
      <c r="A793" s="16" t="s">
        <v>887</v>
      </c>
      <c r="B793" s="20">
        <v>200000</v>
      </c>
      <c r="C793" s="20">
        <f>0.0175*B793</f>
        <v>3500.0000000000005</v>
      </c>
      <c r="D793" s="27">
        <v>45162</v>
      </c>
      <c r="E793" s="16" t="s">
        <v>231</v>
      </c>
      <c r="F793" s="16" t="s">
        <v>28</v>
      </c>
      <c r="H793" s="16" t="s">
        <v>13</v>
      </c>
      <c r="I793" s="21" t="s">
        <v>30</v>
      </c>
    </row>
    <row r="794" spans="1:9">
      <c r="A794" s="16" t="s">
        <v>4202</v>
      </c>
      <c r="B794" s="20">
        <v>50000</v>
      </c>
      <c r="C794" s="20">
        <f t="shared" ref="C794:C799" si="187">0.0125*B794</f>
        <v>625</v>
      </c>
      <c r="D794" s="27">
        <v>45162</v>
      </c>
      <c r="E794" s="16" t="s">
        <v>11</v>
      </c>
      <c r="F794" s="16" t="s">
        <v>1448</v>
      </c>
    </row>
    <row r="795" spans="1:9">
      <c r="A795" s="16" t="s">
        <v>4041</v>
      </c>
      <c r="B795" s="20">
        <v>75000</v>
      </c>
      <c r="C795" s="20">
        <f t="shared" si="187"/>
        <v>937.5</v>
      </c>
      <c r="D795" s="27">
        <v>45162</v>
      </c>
      <c r="E795" s="16" t="s">
        <v>11</v>
      </c>
      <c r="F795" s="16" t="s">
        <v>1448</v>
      </c>
    </row>
    <row r="796" spans="1:9">
      <c r="A796" s="16" t="s">
        <v>2477</v>
      </c>
      <c r="B796" s="20">
        <v>20000</v>
      </c>
      <c r="C796" s="20">
        <f t="shared" si="187"/>
        <v>250</v>
      </c>
      <c r="D796" s="27">
        <v>45162</v>
      </c>
      <c r="E796" s="16" t="s">
        <v>11</v>
      </c>
      <c r="F796" s="16" t="s">
        <v>1448</v>
      </c>
    </row>
    <row r="797" spans="1:9">
      <c r="A797" s="16" t="s">
        <v>4054</v>
      </c>
      <c r="B797" s="20">
        <v>100000</v>
      </c>
      <c r="C797" s="20">
        <f t="shared" si="187"/>
        <v>1250</v>
      </c>
      <c r="D797" s="27">
        <v>45162</v>
      </c>
      <c r="E797" s="16" t="s">
        <v>11</v>
      </c>
      <c r="F797" s="16" t="s">
        <v>1448</v>
      </c>
    </row>
    <row r="798" spans="1:9">
      <c r="A798" s="16" t="s">
        <v>2886</v>
      </c>
      <c r="B798" s="20">
        <v>6500</v>
      </c>
      <c r="C798" s="20">
        <f t="shared" si="187"/>
        <v>81.25</v>
      </c>
      <c r="D798" s="27">
        <v>45162</v>
      </c>
      <c r="E798" s="16" t="s">
        <v>11</v>
      </c>
      <c r="F798" s="16" t="s">
        <v>1448</v>
      </c>
    </row>
    <row r="799" spans="1:9">
      <c r="A799" s="16" t="s">
        <v>4203</v>
      </c>
      <c r="B799" s="20">
        <v>75000</v>
      </c>
      <c r="C799" s="20">
        <f t="shared" si="187"/>
        <v>937.5</v>
      </c>
      <c r="D799" s="27">
        <v>45163</v>
      </c>
      <c r="E799" s="16" t="s">
        <v>4023</v>
      </c>
      <c r="F799" s="16" t="s">
        <v>1448</v>
      </c>
    </row>
    <row r="800" spans="1:9">
      <c r="A800" s="16" t="s">
        <v>4204</v>
      </c>
      <c r="B800" s="20">
        <v>175000</v>
      </c>
      <c r="C800" s="20">
        <f t="shared" ref="C800:C802" si="188">0.0175*B800</f>
        <v>3062.5000000000005</v>
      </c>
      <c r="D800" s="27">
        <v>45163</v>
      </c>
      <c r="E800" s="16" t="s">
        <v>4023</v>
      </c>
      <c r="F800" s="16" t="s">
        <v>28</v>
      </c>
      <c r="I800" s="21" t="s">
        <v>30</v>
      </c>
    </row>
    <row r="801" spans="1:9">
      <c r="A801" s="16" t="s">
        <v>4046</v>
      </c>
      <c r="B801" s="20">
        <v>200000</v>
      </c>
      <c r="C801" s="20">
        <f t="shared" si="188"/>
        <v>3500.0000000000005</v>
      </c>
      <c r="D801" s="27">
        <v>45163</v>
      </c>
      <c r="E801" s="16" t="s">
        <v>11</v>
      </c>
      <c r="F801" s="16" t="s">
        <v>28</v>
      </c>
      <c r="I801" s="21" t="s">
        <v>30</v>
      </c>
    </row>
    <row r="802" spans="1:9">
      <c r="A802" s="16" t="s">
        <v>4205</v>
      </c>
      <c r="B802" s="20">
        <v>90000</v>
      </c>
      <c r="C802" s="20">
        <f t="shared" si="188"/>
        <v>1575.0000000000002</v>
      </c>
      <c r="D802" s="27">
        <v>45163</v>
      </c>
      <c r="E802" s="16" t="s">
        <v>24</v>
      </c>
      <c r="F802" s="16" t="s">
        <v>28</v>
      </c>
      <c r="H802" s="16" t="s">
        <v>4206</v>
      </c>
      <c r="I802" s="21" t="s">
        <v>30</v>
      </c>
    </row>
    <row r="803" spans="1:9">
      <c r="A803" s="16" t="s">
        <v>465</v>
      </c>
      <c r="B803" s="20">
        <v>165000</v>
      </c>
      <c r="C803" s="20">
        <f>0.0125*B803</f>
        <v>2062.5</v>
      </c>
      <c r="D803" s="27">
        <v>45166</v>
      </c>
      <c r="E803" s="16" t="s">
        <v>3923</v>
      </c>
      <c r="F803" s="16" t="s">
        <v>1448</v>
      </c>
      <c r="H803" s="16" t="s">
        <v>3924</v>
      </c>
    </row>
    <row r="804" spans="1:9">
      <c r="A804" s="16" t="s">
        <v>4207</v>
      </c>
      <c r="B804" s="20">
        <v>50000</v>
      </c>
      <c r="C804" s="20">
        <f>0.0175*B804</f>
        <v>875.00000000000011</v>
      </c>
      <c r="D804" s="27">
        <v>45166</v>
      </c>
      <c r="E804" s="16" t="s">
        <v>24</v>
      </c>
      <c r="F804" s="16" t="s">
        <v>28</v>
      </c>
      <c r="H804" s="16" t="s">
        <v>4206</v>
      </c>
      <c r="I804" s="21" t="s">
        <v>30</v>
      </c>
    </row>
    <row r="805" spans="1:9">
      <c r="A805" s="16" t="s">
        <v>3725</v>
      </c>
      <c r="B805" s="20">
        <v>200000</v>
      </c>
      <c r="C805" s="20">
        <f>0.0125*B805</f>
        <v>2500</v>
      </c>
      <c r="D805" s="27">
        <v>45166</v>
      </c>
      <c r="E805" s="16" t="s">
        <v>69</v>
      </c>
      <c r="F805" s="16" t="s">
        <v>1448</v>
      </c>
      <c r="H805" s="16" t="s">
        <v>22</v>
      </c>
    </row>
    <row r="806" spans="1:9">
      <c r="A806" s="16" t="s">
        <v>4208</v>
      </c>
      <c r="B806" s="20">
        <v>500000</v>
      </c>
      <c r="C806" s="20">
        <f t="shared" ref="C806:C807" si="189">0.0175*B806</f>
        <v>8750</v>
      </c>
      <c r="D806" s="27">
        <v>45166</v>
      </c>
      <c r="E806" s="16" t="s">
        <v>2120</v>
      </c>
      <c r="F806" s="16" t="s">
        <v>28</v>
      </c>
      <c r="I806" s="21" t="s">
        <v>30</v>
      </c>
    </row>
    <row r="807" spans="1:9">
      <c r="A807" s="16" t="s">
        <v>4209</v>
      </c>
      <c r="B807" s="20">
        <v>150000</v>
      </c>
      <c r="C807" s="20">
        <f t="shared" si="189"/>
        <v>2625.0000000000005</v>
      </c>
      <c r="D807" s="27">
        <v>45167</v>
      </c>
      <c r="E807" s="16" t="s">
        <v>11</v>
      </c>
      <c r="F807" s="16" t="s">
        <v>28</v>
      </c>
      <c r="I807" s="21" t="s">
        <v>30</v>
      </c>
    </row>
    <row r="808" spans="1:9">
      <c r="A808" s="16" t="s">
        <v>4210</v>
      </c>
      <c r="B808" s="20">
        <v>210000</v>
      </c>
      <c r="C808" s="20">
        <f t="shared" ref="C808:C810" si="190">0.0125*B808</f>
        <v>2625</v>
      </c>
      <c r="D808" s="27">
        <v>45167</v>
      </c>
      <c r="E808" s="16" t="s">
        <v>11</v>
      </c>
      <c r="F808" s="16" t="s">
        <v>1448</v>
      </c>
    </row>
    <row r="809" spans="1:9">
      <c r="A809" s="16" t="s">
        <v>4211</v>
      </c>
      <c r="B809" s="20">
        <v>335000</v>
      </c>
      <c r="C809" s="20">
        <f t="shared" si="190"/>
        <v>4187.5</v>
      </c>
      <c r="D809" s="27">
        <v>45167</v>
      </c>
      <c r="E809" s="16" t="s">
        <v>2120</v>
      </c>
      <c r="F809" s="16" t="s">
        <v>1448</v>
      </c>
    </row>
    <row r="810" spans="1:9">
      <c r="A810" s="16" t="s">
        <v>2338</v>
      </c>
      <c r="B810" s="20">
        <v>150000</v>
      </c>
      <c r="C810" s="20">
        <f t="shared" si="190"/>
        <v>1875</v>
      </c>
      <c r="D810" s="27">
        <v>45167</v>
      </c>
      <c r="E810" s="16" t="s">
        <v>11</v>
      </c>
      <c r="F810" s="16" t="s">
        <v>1448</v>
      </c>
    </row>
    <row r="811" spans="1:9">
      <c r="A811" s="16" t="s">
        <v>4212</v>
      </c>
      <c r="B811" s="20">
        <v>100000</v>
      </c>
      <c r="C811" s="20">
        <f t="shared" ref="C811:C813" si="191">0.0175*B811</f>
        <v>1750.0000000000002</v>
      </c>
      <c r="D811" s="27">
        <v>45167</v>
      </c>
      <c r="E811" s="16" t="s">
        <v>11</v>
      </c>
      <c r="F811" s="16" t="s">
        <v>28</v>
      </c>
      <c r="I811" s="21" t="s">
        <v>30</v>
      </c>
    </row>
    <row r="812" spans="1:9">
      <c r="A812" s="16" t="s">
        <v>4213</v>
      </c>
      <c r="B812" s="20">
        <v>75000</v>
      </c>
      <c r="C812" s="20">
        <f t="shared" si="191"/>
        <v>1312.5000000000002</v>
      </c>
      <c r="D812" s="27">
        <v>45167</v>
      </c>
      <c r="E812" s="16" t="s">
        <v>4152</v>
      </c>
      <c r="F812" s="16" t="s">
        <v>28</v>
      </c>
      <c r="H812" s="16" t="s">
        <v>2143</v>
      </c>
      <c r="I812" s="21" t="s">
        <v>30</v>
      </c>
    </row>
    <row r="813" spans="1:9">
      <c r="A813" s="16" t="s">
        <v>4214</v>
      </c>
      <c r="B813" s="20">
        <v>195000</v>
      </c>
      <c r="C813" s="20">
        <f t="shared" si="191"/>
        <v>3412.5000000000005</v>
      </c>
      <c r="D813" s="27">
        <v>45168</v>
      </c>
      <c r="E813" s="16" t="s">
        <v>4023</v>
      </c>
      <c r="F813" s="16" t="s">
        <v>28</v>
      </c>
      <c r="I813" s="21" t="s">
        <v>30</v>
      </c>
    </row>
    <row r="814" spans="1:9">
      <c r="A814" s="16" t="s">
        <v>4215</v>
      </c>
      <c r="B814" s="20">
        <v>250000</v>
      </c>
      <c r="C814" s="20">
        <f t="shared" ref="C814:C815" si="192">0.0125*B814</f>
        <v>3125</v>
      </c>
      <c r="D814" s="27">
        <v>45168</v>
      </c>
      <c r="E814" s="16" t="s">
        <v>4023</v>
      </c>
      <c r="F814" s="16" t="s">
        <v>1448</v>
      </c>
    </row>
    <row r="815" spans="1:9">
      <c r="A815" s="16" t="s">
        <v>4216</v>
      </c>
      <c r="B815" s="20">
        <v>110000</v>
      </c>
      <c r="C815" s="20">
        <f t="shared" si="192"/>
        <v>1375</v>
      </c>
      <c r="D815" s="27">
        <v>45168</v>
      </c>
      <c r="E815" s="16" t="s">
        <v>4023</v>
      </c>
      <c r="F815" s="16" t="s">
        <v>1448</v>
      </c>
    </row>
    <row r="816" spans="1:9">
      <c r="A816" s="16" t="s">
        <v>2454</v>
      </c>
      <c r="B816" s="20">
        <v>3030000</v>
      </c>
      <c r="C816" s="20">
        <f>0.0125*2830000</f>
        <v>35375</v>
      </c>
      <c r="D816" s="27">
        <v>45168</v>
      </c>
      <c r="E816" s="16" t="s">
        <v>11</v>
      </c>
      <c r="F816" s="16" t="s">
        <v>1448</v>
      </c>
      <c r="H816" s="16" t="s">
        <v>4217</v>
      </c>
    </row>
    <row r="817" spans="1:9">
      <c r="A817" s="16" t="s">
        <v>4218</v>
      </c>
      <c r="B817" s="20">
        <v>60000</v>
      </c>
      <c r="C817" s="20">
        <f t="shared" ref="C817:C820" si="193">0.0175*B817</f>
        <v>1050</v>
      </c>
      <c r="D817" s="27">
        <v>45168</v>
      </c>
      <c r="E817" s="16" t="s">
        <v>11</v>
      </c>
      <c r="F817" s="16" t="s">
        <v>28</v>
      </c>
      <c r="I817" s="21" t="s">
        <v>30</v>
      </c>
    </row>
    <row r="818" spans="1:9">
      <c r="A818" s="16" t="s">
        <v>4219</v>
      </c>
      <c r="B818" s="20">
        <v>60000</v>
      </c>
      <c r="C818" s="20">
        <f t="shared" si="193"/>
        <v>1050</v>
      </c>
      <c r="D818" s="27">
        <v>45169</v>
      </c>
      <c r="E818" s="16" t="s">
        <v>4023</v>
      </c>
      <c r="F818" s="16" t="s">
        <v>28</v>
      </c>
      <c r="I818" s="21" t="s">
        <v>30</v>
      </c>
    </row>
    <row r="819" spans="1:9">
      <c r="A819" s="16" t="s">
        <v>4220</v>
      </c>
      <c r="B819" s="20">
        <v>20000</v>
      </c>
      <c r="C819" s="20">
        <f t="shared" si="193"/>
        <v>350.00000000000006</v>
      </c>
      <c r="D819" s="27">
        <v>45169</v>
      </c>
      <c r="E819" s="16" t="s">
        <v>461</v>
      </c>
      <c r="F819" s="16" t="s">
        <v>28</v>
      </c>
      <c r="I819" s="21" t="s">
        <v>30</v>
      </c>
    </row>
    <row r="820" spans="1:9">
      <c r="A820" s="16" t="s">
        <v>4221</v>
      </c>
      <c r="B820" s="20">
        <v>20500</v>
      </c>
      <c r="C820" s="20">
        <f t="shared" si="193"/>
        <v>358.75000000000006</v>
      </c>
      <c r="D820" s="27">
        <v>45169</v>
      </c>
      <c r="E820" s="16" t="s">
        <v>11</v>
      </c>
      <c r="F820" s="16" t="s">
        <v>28</v>
      </c>
      <c r="I820" s="21" t="s">
        <v>30</v>
      </c>
    </row>
    <row r="821" spans="1:9">
      <c r="A821" s="16" t="s">
        <v>3886</v>
      </c>
      <c r="B821" s="20">
        <v>152500</v>
      </c>
      <c r="C821" s="20">
        <f t="shared" ref="C821:C825" si="194">0.0125*B821</f>
        <v>1906.25</v>
      </c>
      <c r="D821" s="27">
        <v>45169</v>
      </c>
      <c r="E821" s="16" t="s">
        <v>11</v>
      </c>
      <c r="F821" s="16" t="s">
        <v>1448</v>
      </c>
    </row>
    <row r="822" spans="1:9">
      <c r="A822" s="16" t="s">
        <v>4222</v>
      </c>
      <c r="B822" s="20">
        <v>55000</v>
      </c>
      <c r="C822" s="20">
        <f t="shared" si="194"/>
        <v>687.5</v>
      </c>
      <c r="D822" s="27">
        <v>45169</v>
      </c>
      <c r="E822" s="16" t="s">
        <v>461</v>
      </c>
      <c r="F822" s="16" t="s">
        <v>1448</v>
      </c>
    </row>
    <row r="823" spans="1:9">
      <c r="A823" s="16" t="s">
        <v>2953</v>
      </c>
      <c r="B823" s="20">
        <v>70000</v>
      </c>
      <c r="C823" s="20">
        <f t="shared" si="194"/>
        <v>875</v>
      </c>
      <c r="D823" s="27">
        <v>45169</v>
      </c>
      <c r="E823" s="16" t="s">
        <v>11</v>
      </c>
      <c r="F823" s="16" t="s">
        <v>1448</v>
      </c>
    </row>
    <row r="824" spans="1:9">
      <c r="A824" s="16" t="s">
        <v>2300</v>
      </c>
      <c r="B824" s="20">
        <v>65000</v>
      </c>
      <c r="C824" s="20">
        <f t="shared" si="194"/>
        <v>812.5</v>
      </c>
      <c r="D824" s="27">
        <v>45169</v>
      </c>
      <c r="E824" s="16" t="s">
        <v>69</v>
      </c>
      <c r="F824" s="16" t="s">
        <v>1448</v>
      </c>
    </row>
    <row r="825" spans="1:9">
      <c r="A825" s="16" t="s">
        <v>4223</v>
      </c>
      <c r="B825" s="20">
        <v>100000</v>
      </c>
      <c r="C825" s="20">
        <f t="shared" si="194"/>
        <v>1250</v>
      </c>
      <c r="D825" s="27">
        <v>45169</v>
      </c>
      <c r="E825" s="16" t="s">
        <v>11</v>
      </c>
      <c r="F825" s="16" t="s">
        <v>1448</v>
      </c>
    </row>
    <row r="826" spans="1:9">
      <c r="A826" s="11">
        <v>45170</v>
      </c>
      <c r="B826" s="9">
        <f t="shared" ref="B826:C826" si="195">SUM(B827:B926)</f>
        <v>19388750</v>
      </c>
      <c r="C826" s="9">
        <f t="shared" si="195"/>
        <v>290469.375</v>
      </c>
      <c r="D826" s="59"/>
      <c r="E826" s="59"/>
      <c r="F826" s="59"/>
      <c r="G826" s="59"/>
    </row>
    <row r="827" spans="1:9">
      <c r="A827" s="16" t="s">
        <v>4224</v>
      </c>
      <c r="B827" s="20">
        <v>50000</v>
      </c>
      <c r="C827" s="20">
        <f t="shared" ref="C827:C830" si="196">0.0175*B827</f>
        <v>875.00000000000011</v>
      </c>
      <c r="D827" s="27">
        <v>45170</v>
      </c>
      <c r="E827" s="16" t="s">
        <v>4152</v>
      </c>
      <c r="F827" s="16" t="s">
        <v>28</v>
      </c>
      <c r="H827" s="16" t="s">
        <v>2116</v>
      </c>
    </row>
    <row r="828" spans="1:9">
      <c r="A828" s="16" t="s">
        <v>4225</v>
      </c>
      <c r="B828" s="20">
        <v>500000</v>
      </c>
      <c r="C828" s="20">
        <f t="shared" si="196"/>
        <v>8750</v>
      </c>
      <c r="D828" s="27">
        <v>45170</v>
      </c>
      <c r="E828" s="16" t="s">
        <v>11</v>
      </c>
      <c r="F828" s="16" t="s">
        <v>28</v>
      </c>
      <c r="I828" s="21" t="s">
        <v>30</v>
      </c>
    </row>
    <row r="829" spans="1:9">
      <c r="A829" s="16" t="s">
        <v>2605</v>
      </c>
      <c r="B829" s="20">
        <v>60000</v>
      </c>
      <c r="C829" s="20">
        <f t="shared" si="196"/>
        <v>1050</v>
      </c>
      <c r="D829" s="27">
        <v>45170</v>
      </c>
      <c r="E829" s="16" t="s">
        <v>4152</v>
      </c>
      <c r="F829" s="16" t="s">
        <v>28</v>
      </c>
      <c r="H829" s="16" t="s">
        <v>2135</v>
      </c>
      <c r="I829" s="21" t="s">
        <v>30</v>
      </c>
    </row>
    <row r="830" spans="1:9">
      <c r="A830" s="16" t="s">
        <v>4226</v>
      </c>
      <c r="B830" s="20">
        <v>125000</v>
      </c>
      <c r="C830" s="20">
        <f t="shared" si="196"/>
        <v>2187.5</v>
      </c>
      <c r="D830" s="27">
        <v>45170</v>
      </c>
      <c r="E830" s="16" t="s">
        <v>11</v>
      </c>
      <c r="F830" s="16" t="s">
        <v>28</v>
      </c>
      <c r="I830" s="21" t="s">
        <v>30</v>
      </c>
    </row>
    <row r="831" spans="1:9">
      <c r="A831" s="16" t="s">
        <v>4227</v>
      </c>
      <c r="B831" s="20">
        <v>400000</v>
      </c>
      <c r="C831" s="20">
        <f>0.0125*B831</f>
        <v>5000</v>
      </c>
      <c r="D831" s="27">
        <v>45170</v>
      </c>
      <c r="E831" s="16" t="s">
        <v>11</v>
      </c>
      <c r="F831" s="16" t="s">
        <v>12</v>
      </c>
    </row>
    <row r="832" spans="1:9">
      <c r="A832" s="16" t="s">
        <v>4228</v>
      </c>
      <c r="B832" s="20">
        <v>475000</v>
      </c>
      <c r="C832" s="20">
        <f>0.0175*B832</f>
        <v>8312.5</v>
      </c>
      <c r="D832" s="27">
        <v>45170</v>
      </c>
      <c r="E832" s="16" t="s">
        <v>4229</v>
      </c>
      <c r="F832" s="16" t="s">
        <v>28</v>
      </c>
      <c r="H832" s="16" t="s">
        <v>4230</v>
      </c>
      <c r="I832" s="21" t="s">
        <v>30</v>
      </c>
    </row>
    <row r="833" spans="1:9">
      <c r="A833" s="16" t="s">
        <v>718</v>
      </c>
      <c r="B833" s="20">
        <v>110000</v>
      </c>
      <c r="C833" s="20">
        <f>0.0125*B833</f>
        <v>1375</v>
      </c>
      <c r="D833" s="27">
        <v>45174</v>
      </c>
      <c r="E833" s="16" t="s">
        <v>73</v>
      </c>
      <c r="F833" s="16" t="s">
        <v>12</v>
      </c>
    </row>
    <row r="834" spans="1:9">
      <c r="A834" s="16" t="s">
        <v>4231</v>
      </c>
      <c r="B834" s="20">
        <v>30000</v>
      </c>
      <c r="C834" s="20">
        <f>0.0175*B834</f>
        <v>525</v>
      </c>
      <c r="D834" s="27">
        <v>45174</v>
      </c>
      <c r="E834" s="16" t="s">
        <v>4152</v>
      </c>
      <c r="F834" s="16" t="s">
        <v>28</v>
      </c>
      <c r="H834" s="16" t="s">
        <v>2116</v>
      </c>
      <c r="I834" s="21" t="s">
        <v>30</v>
      </c>
    </row>
    <row r="835" spans="1:9">
      <c r="A835" s="16" t="s">
        <v>3900</v>
      </c>
      <c r="B835" s="20">
        <v>135000</v>
      </c>
      <c r="C835" s="20">
        <f>0.0125*B835</f>
        <v>1687.5</v>
      </c>
      <c r="D835" s="27">
        <v>45175</v>
      </c>
      <c r="E835" s="16" t="s">
        <v>4232</v>
      </c>
      <c r="F835" s="16" t="s">
        <v>12</v>
      </c>
    </row>
    <row r="836" spans="1:9">
      <c r="A836" s="16" t="s">
        <v>4233</v>
      </c>
      <c r="B836" s="20">
        <v>7500</v>
      </c>
      <c r="C836" s="20">
        <f>0.0175*B836</f>
        <v>131.25</v>
      </c>
      <c r="D836" s="27">
        <v>45175</v>
      </c>
      <c r="E836" s="16" t="s">
        <v>4152</v>
      </c>
      <c r="F836" s="16" t="s">
        <v>28</v>
      </c>
      <c r="H836" s="16" t="s">
        <v>2116</v>
      </c>
    </row>
    <row r="837" spans="1:9">
      <c r="A837" s="16" t="s">
        <v>3761</v>
      </c>
      <c r="B837" s="20">
        <v>605000</v>
      </c>
      <c r="C837" s="20">
        <f>0.0125*B837</f>
        <v>7562.5</v>
      </c>
      <c r="D837" s="27">
        <v>45176</v>
      </c>
      <c r="E837" s="16" t="s">
        <v>11</v>
      </c>
      <c r="F837" s="16" t="s">
        <v>12</v>
      </c>
    </row>
    <row r="838" spans="1:9">
      <c r="A838" s="16" t="s">
        <v>4234</v>
      </c>
      <c r="B838" s="20">
        <v>250000</v>
      </c>
      <c r="C838" s="20">
        <f>0.0175*B838</f>
        <v>4375</v>
      </c>
      <c r="D838" s="27">
        <v>45176</v>
      </c>
      <c r="E838" s="16" t="s">
        <v>24</v>
      </c>
      <c r="F838" s="16" t="s">
        <v>28</v>
      </c>
      <c r="H838" s="16" t="s">
        <v>2318</v>
      </c>
      <c r="I838" s="21" t="s">
        <v>30</v>
      </c>
    </row>
    <row r="839" spans="1:9">
      <c r="A839" s="16" t="s">
        <v>584</v>
      </c>
      <c r="B839" s="20">
        <v>165000</v>
      </c>
      <c r="C839" s="20">
        <f>0.0125*B839</f>
        <v>2062.5</v>
      </c>
      <c r="D839" s="27">
        <v>45176</v>
      </c>
      <c r="E839" s="16" t="s">
        <v>4023</v>
      </c>
      <c r="F839" s="16" t="s">
        <v>12</v>
      </c>
    </row>
    <row r="840" spans="1:9">
      <c r="A840" s="16" t="s">
        <v>4113</v>
      </c>
      <c r="B840" s="20">
        <v>250000</v>
      </c>
      <c r="C840" s="20">
        <f t="shared" ref="C840:C843" si="197">0.0175*B840</f>
        <v>4375</v>
      </c>
      <c r="D840" s="27">
        <v>45176</v>
      </c>
      <c r="E840" s="16" t="s">
        <v>11</v>
      </c>
      <c r="F840" s="16" t="s">
        <v>28</v>
      </c>
      <c r="I840" s="21" t="s">
        <v>30</v>
      </c>
    </row>
    <row r="841" spans="1:9">
      <c r="A841" s="16" t="s">
        <v>4235</v>
      </c>
      <c r="B841" s="20">
        <v>20000</v>
      </c>
      <c r="C841" s="20">
        <f t="shared" si="197"/>
        <v>350.00000000000006</v>
      </c>
      <c r="D841" s="27">
        <v>45176</v>
      </c>
      <c r="E841" s="16" t="s">
        <v>11</v>
      </c>
      <c r="F841" s="16" t="s">
        <v>28</v>
      </c>
    </row>
    <row r="842" spans="1:9">
      <c r="A842" s="16" t="s">
        <v>4236</v>
      </c>
      <c r="B842" s="20">
        <v>45000</v>
      </c>
      <c r="C842" s="20">
        <f t="shared" si="197"/>
        <v>787.50000000000011</v>
      </c>
      <c r="D842" s="27">
        <v>45176</v>
      </c>
      <c r="E842" s="16" t="s">
        <v>4152</v>
      </c>
      <c r="F842" s="16" t="s">
        <v>28</v>
      </c>
      <c r="H842" s="16" t="s">
        <v>2126</v>
      </c>
      <c r="I842" s="21" t="s">
        <v>30</v>
      </c>
    </row>
    <row r="843" spans="1:9">
      <c r="A843" s="16" t="s">
        <v>4237</v>
      </c>
      <c r="B843" s="20">
        <v>40000</v>
      </c>
      <c r="C843" s="20">
        <f t="shared" si="197"/>
        <v>700.00000000000011</v>
      </c>
      <c r="D843" s="27">
        <v>45176</v>
      </c>
      <c r="E843" s="16" t="s">
        <v>3729</v>
      </c>
      <c r="F843" s="16" t="s">
        <v>28</v>
      </c>
      <c r="I843" s="21" t="s">
        <v>30</v>
      </c>
    </row>
    <row r="844" spans="1:9">
      <c r="A844" s="16" t="s">
        <v>2462</v>
      </c>
      <c r="B844" s="20">
        <v>110000</v>
      </c>
      <c r="C844" s="20">
        <f t="shared" ref="C844:C845" si="198">0.0125*B844</f>
        <v>1375</v>
      </c>
      <c r="D844" s="27">
        <v>45177</v>
      </c>
      <c r="E844" s="16" t="s">
        <v>11</v>
      </c>
      <c r="F844" s="16" t="s">
        <v>12</v>
      </c>
    </row>
    <row r="845" spans="1:9">
      <c r="A845" s="16" t="s">
        <v>2146</v>
      </c>
      <c r="B845" s="20">
        <v>230000</v>
      </c>
      <c r="C845" s="20">
        <f t="shared" si="198"/>
        <v>2875</v>
      </c>
      <c r="D845" s="27">
        <v>45177</v>
      </c>
      <c r="E845" s="16" t="s">
        <v>4023</v>
      </c>
      <c r="F845" s="16" t="s">
        <v>12</v>
      </c>
    </row>
    <row r="846" spans="1:9">
      <c r="A846" s="16" t="s">
        <v>4238</v>
      </c>
      <c r="B846" s="20">
        <v>100000</v>
      </c>
      <c r="C846" s="20">
        <f t="shared" ref="C846:C849" si="199">0.0175*B846</f>
        <v>1750.0000000000002</v>
      </c>
      <c r="D846" s="27">
        <v>45177</v>
      </c>
      <c r="E846" s="16" t="s">
        <v>4152</v>
      </c>
      <c r="F846" s="16" t="s">
        <v>28</v>
      </c>
      <c r="H846" s="16" t="s">
        <v>2409</v>
      </c>
      <c r="I846" s="21" t="s">
        <v>30</v>
      </c>
    </row>
    <row r="847" spans="1:9">
      <c r="A847" s="16" t="s">
        <v>4239</v>
      </c>
      <c r="B847" s="20">
        <v>50000</v>
      </c>
      <c r="C847" s="20">
        <f t="shared" si="199"/>
        <v>875.00000000000011</v>
      </c>
      <c r="D847" s="27">
        <v>45177</v>
      </c>
      <c r="E847" s="16" t="s">
        <v>4240</v>
      </c>
      <c r="F847" s="16" t="s">
        <v>28</v>
      </c>
      <c r="H847" s="16" t="s">
        <v>13</v>
      </c>
      <c r="I847" s="21" t="s">
        <v>30</v>
      </c>
    </row>
    <row r="848" spans="1:9">
      <c r="A848" s="16" t="s">
        <v>4169</v>
      </c>
      <c r="B848" s="20">
        <v>150000</v>
      </c>
      <c r="C848" s="20">
        <f t="shared" si="199"/>
        <v>2625.0000000000005</v>
      </c>
      <c r="D848" s="27">
        <v>45177</v>
      </c>
      <c r="E848" s="16" t="s">
        <v>11</v>
      </c>
      <c r="F848" s="16" t="s">
        <v>28</v>
      </c>
      <c r="I848" s="21" t="s">
        <v>30</v>
      </c>
    </row>
    <row r="849" spans="1:9">
      <c r="A849" s="16" t="s">
        <v>4241</v>
      </c>
      <c r="B849" s="20">
        <v>225000</v>
      </c>
      <c r="C849" s="20">
        <f t="shared" si="199"/>
        <v>3937.5000000000005</v>
      </c>
      <c r="D849" s="27">
        <v>45180</v>
      </c>
      <c r="E849" s="16" t="s">
        <v>11</v>
      </c>
      <c r="F849" s="16" t="s">
        <v>28</v>
      </c>
      <c r="I849" s="21" t="s">
        <v>30</v>
      </c>
    </row>
    <row r="850" spans="1:9">
      <c r="A850" s="16" t="s">
        <v>3429</v>
      </c>
      <c r="B850" s="20">
        <v>125000</v>
      </c>
      <c r="C850" s="20">
        <f>0.0125*B850</f>
        <v>1562.5</v>
      </c>
      <c r="D850" s="27">
        <v>45180</v>
      </c>
      <c r="E850" s="16" t="s">
        <v>73</v>
      </c>
      <c r="F850" s="16" t="s">
        <v>12</v>
      </c>
    </row>
    <row r="851" spans="1:9">
      <c r="A851" s="16" t="s">
        <v>4242</v>
      </c>
      <c r="B851" s="20">
        <v>12500</v>
      </c>
      <c r="C851" s="20">
        <f t="shared" ref="C851:C852" si="200">0.0175*B851</f>
        <v>218.75000000000003</v>
      </c>
      <c r="D851" s="27">
        <v>45180</v>
      </c>
      <c r="E851" s="16" t="s">
        <v>4152</v>
      </c>
      <c r="F851" s="16" t="s">
        <v>28</v>
      </c>
      <c r="H851" s="16" t="s">
        <v>2116</v>
      </c>
    </row>
    <row r="852" spans="1:9">
      <c r="A852" s="16" t="s">
        <v>4243</v>
      </c>
      <c r="B852" s="20">
        <v>350000</v>
      </c>
      <c r="C852" s="20">
        <f t="shared" si="200"/>
        <v>6125.0000000000009</v>
      </c>
      <c r="D852" s="27">
        <v>45180</v>
      </c>
      <c r="E852" s="16" t="s">
        <v>4023</v>
      </c>
      <c r="F852" s="16" t="s">
        <v>28</v>
      </c>
      <c r="I852" s="21" t="s">
        <v>30</v>
      </c>
    </row>
    <row r="853" spans="1:9">
      <c r="A853" s="16" t="s">
        <v>4244</v>
      </c>
      <c r="B853" s="20">
        <v>645000</v>
      </c>
      <c r="C853" s="20">
        <f t="shared" ref="C853:C854" si="201">0.0125*B853</f>
        <v>8062.5</v>
      </c>
      <c r="D853" s="27">
        <v>45180</v>
      </c>
      <c r="E853" s="16" t="s">
        <v>11</v>
      </c>
      <c r="F853" s="16" t="s">
        <v>12</v>
      </c>
    </row>
    <row r="854" spans="1:9">
      <c r="A854" s="16" t="s">
        <v>4064</v>
      </c>
      <c r="B854" s="20">
        <v>425000</v>
      </c>
      <c r="C854" s="20">
        <f t="shared" si="201"/>
        <v>5312.5</v>
      </c>
      <c r="D854" s="27">
        <v>45181</v>
      </c>
      <c r="E854" s="16" t="s">
        <v>11</v>
      </c>
      <c r="F854" s="16" t="s">
        <v>12</v>
      </c>
    </row>
    <row r="855" spans="1:9">
      <c r="A855" s="16" t="s">
        <v>4245</v>
      </c>
      <c r="B855" s="20">
        <v>90000</v>
      </c>
      <c r="C855" s="20">
        <f>0.0175*B855</f>
        <v>1575.0000000000002</v>
      </c>
      <c r="D855" s="27">
        <v>45181</v>
      </c>
      <c r="E855" s="16" t="s">
        <v>4023</v>
      </c>
      <c r="F855" s="16" t="s">
        <v>28</v>
      </c>
      <c r="I855" s="21" t="s">
        <v>30</v>
      </c>
    </row>
    <row r="856" spans="1:9">
      <c r="A856" s="16" t="s">
        <v>4246</v>
      </c>
      <c r="B856" s="20">
        <v>120000</v>
      </c>
      <c r="C856" s="20">
        <f>0.0125*B856</f>
        <v>1500</v>
      </c>
      <c r="D856" s="27">
        <v>45181</v>
      </c>
      <c r="E856" s="16" t="s">
        <v>11</v>
      </c>
      <c r="F856" s="16" t="s">
        <v>12</v>
      </c>
    </row>
    <row r="857" spans="1:9">
      <c r="A857" s="16" t="s">
        <v>4247</v>
      </c>
      <c r="B857" s="20">
        <v>300000</v>
      </c>
      <c r="C857" s="20">
        <f>0.0175*B857</f>
        <v>5250.0000000000009</v>
      </c>
      <c r="D857" s="27">
        <v>45182</v>
      </c>
      <c r="E857" s="16" t="s">
        <v>3583</v>
      </c>
      <c r="F857" s="16" t="s">
        <v>28</v>
      </c>
      <c r="I857" s="21" t="s">
        <v>30</v>
      </c>
    </row>
    <row r="858" spans="1:9">
      <c r="A858" s="16" t="s">
        <v>4248</v>
      </c>
      <c r="B858" s="20">
        <v>250000</v>
      </c>
      <c r="C858" s="20">
        <f>0.0175*240000</f>
        <v>4200</v>
      </c>
      <c r="D858" s="27">
        <v>45182</v>
      </c>
      <c r="E858" s="16" t="s">
        <v>69</v>
      </c>
      <c r="F858" s="16" t="s">
        <v>28</v>
      </c>
      <c r="H858" s="16" t="s">
        <v>4249</v>
      </c>
      <c r="I858" s="21" t="s">
        <v>30</v>
      </c>
    </row>
    <row r="859" spans="1:9">
      <c r="A859" s="16" t="s">
        <v>4250</v>
      </c>
      <c r="B859" s="20">
        <v>100000</v>
      </c>
      <c r="C859" s="20">
        <f>0.0175*B859</f>
        <v>1750.0000000000002</v>
      </c>
      <c r="D859" s="27">
        <v>45182</v>
      </c>
      <c r="E859" s="16" t="s">
        <v>11</v>
      </c>
      <c r="F859" s="16" t="s">
        <v>28</v>
      </c>
      <c r="I859" s="21" t="s">
        <v>30</v>
      </c>
    </row>
    <row r="860" spans="1:9">
      <c r="A860" s="16" t="s">
        <v>3972</v>
      </c>
      <c r="B860" s="20">
        <v>200000</v>
      </c>
      <c r="C860" s="20">
        <f t="shared" ref="C860:C861" si="202">0.0125*B860</f>
        <v>2500</v>
      </c>
      <c r="D860" s="27">
        <v>45183</v>
      </c>
      <c r="E860" s="16" t="s">
        <v>11</v>
      </c>
      <c r="F860" s="16" t="s">
        <v>12</v>
      </c>
    </row>
    <row r="861" spans="1:9">
      <c r="A861" s="16" t="s">
        <v>4049</v>
      </c>
      <c r="B861" s="20">
        <v>370000</v>
      </c>
      <c r="C861" s="20">
        <f t="shared" si="202"/>
        <v>4625</v>
      </c>
      <c r="D861" s="27">
        <v>45183</v>
      </c>
      <c r="E861" s="16" t="s">
        <v>11</v>
      </c>
      <c r="F861" s="16" t="s">
        <v>12</v>
      </c>
    </row>
    <row r="862" spans="1:9">
      <c r="A862" s="16" t="s">
        <v>4251</v>
      </c>
      <c r="B862" s="20">
        <v>300000</v>
      </c>
      <c r="C862" s="20">
        <f t="shared" ref="C862:C863" si="203">0.0175*B862</f>
        <v>5250.0000000000009</v>
      </c>
      <c r="D862" s="27">
        <v>45183</v>
      </c>
      <c r="E862" s="16" t="s">
        <v>11</v>
      </c>
      <c r="F862" s="16" t="s">
        <v>28</v>
      </c>
      <c r="I862" s="21" t="s">
        <v>30</v>
      </c>
    </row>
    <row r="863" spans="1:9">
      <c r="A863" s="16" t="s">
        <v>4252</v>
      </c>
      <c r="B863" s="20">
        <v>75000</v>
      </c>
      <c r="C863" s="20">
        <f t="shared" si="203"/>
        <v>1312.5000000000002</v>
      </c>
      <c r="D863" s="27">
        <v>45183</v>
      </c>
      <c r="E863" s="16" t="s">
        <v>4023</v>
      </c>
      <c r="F863" s="16" t="s">
        <v>28</v>
      </c>
      <c r="I863" s="21" t="s">
        <v>30</v>
      </c>
    </row>
    <row r="864" spans="1:9">
      <c r="A864" s="16" t="s">
        <v>4253</v>
      </c>
      <c r="B864" s="20">
        <v>15000</v>
      </c>
      <c r="C864" s="20">
        <f t="shared" ref="C864:C865" si="204">0.0125*B864</f>
        <v>187.5</v>
      </c>
      <c r="D864" s="27">
        <v>45183</v>
      </c>
      <c r="E864" s="16" t="s">
        <v>73</v>
      </c>
      <c r="F864" s="16" t="s">
        <v>12</v>
      </c>
    </row>
    <row r="865" spans="1:9">
      <c r="A865" s="16" t="s">
        <v>3876</v>
      </c>
      <c r="B865" s="20">
        <v>85000</v>
      </c>
      <c r="C865" s="20">
        <f t="shared" si="204"/>
        <v>1062.5</v>
      </c>
      <c r="D865" s="27">
        <v>45183</v>
      </c>
      <c r="E865" s="16" t="s">
        <v>11</v>
      </c>
      <c r="F865" s="16" t="s">
        <v>12</v>
      </c>
    </row>
    <row r="866" spans="1:9">
      <c r="A866" s="24" t="s">
        <v>4254</v>
      </c>
      <c r="B866" s="20">
        <v>200000</v>
      </c>
      <c r="C866" s="20">
        <f t="shared" ref="C866:C868" si="205">0.0175*B866</f>
        <v>3500.0000000000005</v>
      </c>
      <c r="D866" s="27">
        <v>45183</v>
      </c>
      <c r="E866" s="16" t="s">
        <v>3583</v>
      </c>
      <c r="F866" s="16" t="s">
        <v>28</v>
      </c>
      <c r="I866" s="21" t="s">
        <v>30</v>
      </c>
    </row>
    <row r="867" spans="1:9">
      <c r="A867" s="16" t="s">
        <v>4255</v>
      </c>
      <c r="B867" s="20">
        <v>10000</v>
      </c>
      <c r="C867" s="20">
        <f t="shared" si="205"/>
        <v>175.00000000000003</v>
      </c>
      <c r="D867" s="27">
        <v>45183</v>
      </c>
      <c r="E867" s="16" t="s">
        <v>4152</v>
      </c>
      <c r="F867" s="16" t="s">
        <v>28</v>
      </c>
      <c r="H867" s="16" t="s">
        <v>2135</v>
      </c>
      <c r="I867" s="21" t="s">
        <v>30</v>
      </c>
    </row>
    <row r="868" spans="1:9">
      <c r="A868" s="16" t="s">
        <v>2113</v>
      </c>
      <c r="B868" s="20">
        <v>500000</v>
      </c>
      <c r="C868" s="20">
        <f t="shared" si="205"/>
        <v>8750</v>
      </c>
      <c r="D868" s="27">
        <v>45183</v>
      </c>
      <c r="E868" s="16" t="s">
        <v>3583</v>
      </c>
      <c r="F868" s="16" t="s">
        <v>28</v>
      </c>
      <c r="I868" s="21" t="s">
        <v>30</v>
      </c>
    </row>
    <row r="869" spans="1:9">
      <c r="A869" s="16" t="s">
        <v>4256</v>
      </c>
      <c r="B869" s="20">
        <v>170000</v>
      </c>
      <c r="C869" s="20">
        <f t="shared" ref="C869:C870" si="206">0.0125*B869</f>
        <v>2125</v>
      </c>
      <c r="D869" s="27">
        <v>45184</v>
      </c>
      <c r="E869" s="16" t="s">
        <v>2635</v>
      </c>
      <c r="F869" s="16" t="s">
        <v>12</v>
      </c>
      <c r="H869" s="16" t="s">
        <v>4257</v>
      </c>
    </row>
    <row r="870" spans="1:9">
      <c r="A870" s="16" t="s">
        <v>2522</v>
      </c>
      <c r="B870" s="20">
        <v>185000</v>
      </c>
      <c r="C870" s="20">
        <f t="shared" si="206"/>
        <v>2312.5</v>
      </c>
      <c r="D870" s="27">
        <v>45184</v>
      </c>
      <c r="E870" s="16" t="s">
        <v>11</v>
      </c>
      <c r="F870" s="16" t="s">
        <v>12</v>
      </c>
    </row>
    <row r="871" spans="1:9">
      <c r="A871" s="16" t="s">
        <v>4258</v>
      </c>
      <c r="B871" s="20">
        <v>30000</v>
      </c>
      <c r="C871" s="20">
        <f t="shared" ref="C871:C872" si="207">0.0175*B871</f>
        <v>525</v>
      </c>
      <c r="D871" s="62">
        <v>45184</v>
      </c>
      <c r="E871" s="16" t="s">
        <v>11</v>
      </c>
      <c r="F871" s="16" t="s">
        <v>28</v>
      </c>
      <c r="I871" s="21" t="s">
        <v>30</v>
      </c>
    </row>
    <row r="872" spans="1:9">
      <c r="A872" s="16" t="s">
        <v>4259</v>
      </c>
      <c r="B872" s="20">
        <v>25000</v>
      </c>
      <c r="C872" s="20">
        <f t="shared" si="207"/>
        <v>437.50000000000006</v>
      </c>
      <c r="D872" s="62">
        <v>45184</v>
      </c>
      <c r="E872" s="16" t="s">
        <v>4152</v>
      </c>
      <c r="F872" s="16" t="s">
        <v>28</v>
      </c>
      <c r="H872" s="16" t="s">
        <v>2265</v>
      </c>
      <c r="I872" s="21" t="s">
        <v>30</v>
      </c>
    </row>
    <row r="873" spans="1:9">
      <c r="A873" s="16" t="s">
        <v>4260</v>
      </c>
      <c r="B873" s="20">
        <v>105000</v>
      </c>
      <c r="C873" s="20">
        <f t="shared" ref="C873:C878" si="208">0.0125*B873</f>
        <v>1312.5</v>
      </c>
      <c r="D873" s="27">
        <v>45187</v>
      </c>
      <c r="E873" s="16" t="s">
        <v>2120</v>
      </c>
      <c r="F873" s="16" t="s">
        <v>12</v>
      </c>
    </row>
    <row r="874" spans="1:9">
      <c r="A874" s="16" t="s">
        <v>701</v>
      </c>
      <c r="B874" s="20">
        <v>27500</v>
      </c>
      <c r="C874" s="20">
        <f t="shared" si="208"/>
        <v>343.75</v>
      </c>
      <c r="D874" s="27">
        <v>45187</v>
      </c>
      <c r="E874" s="16" t="s">
        <v>4023</v>
      </c>
      <c r="F874" s="16" t="s">
        <v>12</v>
      </c>
      <c r="H874" s="16" t="s">
        <v>4261</v>
      </c>
    </row>
    <row r="875" spans="1:9">
      <c r="A875" s="16" t="s">
        <v>701</v>
      </c>
      <c r="B875" s="20">
        <v>14250</v>
      </c>
      <c r="C875" s="20">
        <f t="shared" si="208"/>
        <v>178.125</v>
      </c>
      <c r="D875" s="27">
        <v>45187</v>
      </c>
      <c r="E875" s="16" t="s">
        <v>4023</v>
      </c>
      <c r="F875" s="16" t="s">
        <v>12</v>
      </c>
      <c r="H875" s="16" t="s">
        <v>4262</v>
      </c>
    </row>
    <row r="876" spans="1:9">
      <c r="A876" s="16" t="s">
        <v>3541</v>
      </c>
      <c r="B876" s="20">
        <v>600000</v>
      </c>
      <c r="C876" s="20">
        <f t="shared" si="208"/>
        <v>7500</v>
      </c>
      <c r="D876" s="27">
        <v>45188</v>
      </c>
      <c r="E876" s="16" t="s">
        <v>11</v>
      </c>
      <c r="F876" s="16" t="s">
        <v>12</v>
      </c>
    </row>
    <row r="877" spans="1:9">
      <c r="A877" s="16" t="s">
        <v>4263</v>
      </c>
      <c r="B877" s="20">
        <v>725000</v>
      </c>
      <c r="C877" s="20">
        <f t="shared" si="208"/>
        <v>9062.5</v>
      </c>
      <c r="D877" s="27">
        <v>45188</v>
      </c>
      <c r="E877" s="16" t="s">
        <v>11</v>
      </c>
      <c r="F877" s="16" t="s">
        <v>12</v>
      </c>
    </row>
    <row r="878" spans="1:9">
      <c r="A878" s="16" t="s">
        <v>4264</v>
      </c>
      <c r="B878" s="20">
        <v>6000</v>
      </c>
      <c r="C878" s="20">
        <f t="shared" si="208"/>
        <v>75</v>
      </c>
      <c r="D878" s="27">
        <v>45188</v>
      </c>
      <c r="E878" s="16" t="s">
        <v>4265</v>
      </c>
      <c r="F878" s="16" t="s">
        <v>12</v>
      </c>
      <c r="H878" s="16" t="s">
        <v>4266</v>
      </c>
    </row>
    <row r="879" spans="1:9">
      <c r="A879" s="16" t="s">
        <v>4267</v>
      </c>
      <c r="B879" s="20">
        <v>500000</v>
      </c>
      <c r="C879" s="20">
        <f t="shared" ref="C879:C880" si="209">0.0175*B879</f>
        <v>8750</v>
      </c>
      <c r="D879" s="27">
        <v>45188</v>
      </c>
      <c r="E879" s="16" t="s">
        <v>24</v>
      </c>
      <c r="F879" s="16" t="s">
        <v>28</v>
      </c>
      <c r="H879" s="16" t="s">
        <v>2318</v>
      </c>
      <c r="I879" s="21" t="s">
        <v>30</v>
      </c>
    </row>
    <row r="880" spans="1:9">
      <c r="A880" s="16" t="s">
        <v>4268</v>
      </c>
      <c r="B880" s="20">
        <v>70000</v>
      </c>
      <c r="C880" s="20">
        <f t="shared" si="209"/>
        <v>1225.0000000000002</v>
      </c>
      <c r="D880" s="27">
        <v>45188</v>
      </c>
      <c r="E880" s="16" t="s">
        <v>24</v>
      </c>
      <c r="F880" s="16" t="s">
        <v>28</v>
      </c>
      <c r="H880" s="16" t="s">
        <v>2318</v>
      </c>
      <c r="I880" s="21" t="s">
        <v>30</v>
      </c>
    </row>
    <row r="881" spans="1:9">
      <c r="A881" s="16" t="s">
        <v>4269</v>
      </c>
      <c r="B881" s="20">
        <v>525000</v>
      </c>
      <c r="C881" s="20">
        <f>0.0125*B881</f>
        <v>6562.5</v>
      </c>
      <c r="D881" s="27">
        <v>45189</v>
      </c>
      <c r="E881" s="16" t="s">
        <v>147</v>
      </c>
      <c r="F881" s="16" t="s">
        <v>12</v>
      </c>
    </row>
    <row r="882" spans="1:9">
      <c r="A882" s="16" t="s">
        <v>4270</v>
      </c>
      <c r="B882" s="20">
        <v>60000</v>
      </c>
      <c r="C882" s="20">
        <f>0.0175*50000</f>
        <v>875.00000000000011</v>
      </c>
      <c r="D882" s="27">
        <v>45189</v>
      </c>
      <c r="E882" s="16" t="s">
        <v>69</v>
      </c>
      <c r="F882" s="16" t="s">
        <v>28</v>
      </c>
      <c r="H882" s="16" t="s">
        <v>4271</v>
      </c>
      <c r="I882" s="21" t="s">
        <v>30</v>
      </c>
    </row>
    <row r="883" spans="1:9">
      <c r="A883" s="16" t="s">
        <v>3344</v>
      </c>
      <c r="B883" s="20">
        <v>600000</v>
      </c>
      <c r="C883" s="20">
        <f t="shared" ref="C883:C886" si="210">0.0175*B883</f>
        <v>10500.000000000002</v>
      </c>
      <c r="D883" s="27">
        <v>45189</v>
      </c>
      <c r="E883" s="16" t="s">
        <v>11</v>
      </c>
      <c r="F883" s="16" t="s">
        <v>28</v>
      </c>
      <c r="I883" s="21" t="s">
        <v>30</v>
      </c>
    </row>
    <row r="884" spans="1:9">
      <c r="A884" s="16" t="s">
        <v>4272</v>
      </c>
      <c r="B884" s="20">
        <v>75000</v>
      </c>
      <c r="C884" s="20">
        <f t="shared" si="210"/>
        <v>1312.5000000000002</v>
      </c>
      <c r="D884" s="27">
        <v>45189</v>
      </c>
      <c r="E884" s="16" t="s">
        <v>11</v>
      </c>
      <c r="F884" s="16" t="s">
        <v>28</v>
      </c>
      <c r="I884" s="21" t="s">
        <v>30</v>
      </c>
    </row>
    <row r="885" spans="1:9">
      <c r="A885" s="16" t="s">
        <v>4273</v>
      </c>
      <c r="B885" s="20">
        <v>100000</v>
      </c>
      <c r="C885" s="20">
        <f t="shared" si="210"/>
        <v>1750.0000000000002</v>
      </c>
      <c r="D885" s="27">
        <v>45189</v>
      </c>
      <c r="E885" s="16" t="s">
        <v>4152</v>
      </c>
      <c r="F885" s="16" t="s">
        <v>28</v>
      </c>
      <c r="H885" s="16" t="s">
        <v>2126</v>
      </c>
      <c r="I885" s="21" t="s">
        <v>30</v>
      </c>
    </row>
    <row r="886" spans="1:9">
      <c r="A886" s="16" t="s">
        <v>4274</v>
      </c>
      <c r="B886" s="20">
        <v>250000</v>
      </c>
      <c r="C886" s="20">
        <f t="shared" si="210"/>
        <v>4375</v>
      </c>
      <c r="D886" s="27">
        <v>45189</v>
      </c>
      <c r="E886" s="16" t="s">
        <v>4275</v>
      </c>
      <c r="F886" s="16" t="s">
        <v>28</v>
      </c>
      <c r="I886" s="21" t="s">
        <v>30</v>
      </c>
    </row>
    <row r="887" spans="1:9">
      <c r="A887" s="16" t="s">
        <v>4276</v>
      </c>
      <c r="B887" s="20">
        <v>285000</v>
      </c>
      <c r="C887" s="20">
        <f t="shared" ref="C887:C888" si="211">0.0125*B887</f>
        <v>3562.5</v>
      </c>
      <c r="D887" s="27">
        <v>45189</v>
      </c>
      <c r="E887" s="16" t="s">
        <v>11</v>
      </c>
      <c r="F887" s="16" t="s">
        <v>12</v>
      </c>
    </row>
    <row r="888" spans="1:9">
      <c r="A888" s="16" t="s">
        <v>2836</v>
      </c>
      <c r="B888" s="20">
        <v>150000</v>
      </c>
      <c r="C888" s="20">
        <f t="shared" si="211"/>
        <v>1875</v>
      </c>
      <c r="D888" s="27">
        <v>45189</v>
      </c>
      <c r="E888" s="16" t="s">
        <v>11</v>
      </c>
      <c r="F888" s="16" t="s">
        <v>12</v>
      </c>
    </row>
    <row r="889" spans="1:9">
      <c r="A889" s="16" t="s">
        <v>4277</v>
      </c>
      <c r="B889" s="20">
        <v>250000</v>
      </c>
      <c r="C889" s="20">
        <f t="shared" ref="C889:C891" si="212">0.0175*B889</f>
        <v>4375</v>
      </c>
      <c r="D889" s="27">
        <v>45190</v>
      </c>
      <c r="E889" s="16" t="s">
        <v>24</v>
      </c>
      <c r="F889" s="16" t="s">
        <v>28</v>
      </c>
      <c r="H889" s="16" t="s">
        <v>2318</v>
      </c>
      <c r="I889" s="21" t="s">
        <v>30</v>
      </c>
    </row>
    <row r="890" spans="1:9">
      <c r="A890" s="16" t="s">
        <v>4193</v>
      </c>
      <c r="B890" s="20">
        <v>5000</v>
      </c>
      <c r="C890" s="20">
        <f t="shared" si="212"/>
        <v>87.500000000000014</v>
      </c>
      <c r="D890" s="27">
        <v>45190</v>
      </c>
      <c r="E890" s="16" t="s">
        <v>4152</v>
      </c>
      <c r="F890" s="16" t="s">
        <v>28</v>
      </c>
      <c r="H890" s="16" t="s">
        <v>4194</v>
      </c>
      <c r="I890" s="21" t="s">
        <v>30</v>
      </c>
    </row>
    <row r="891" spans="1:9">
      <c r="A891" s="16" t="s">
        <v>3070</v>
      </c>
      <c r="B891" s="20">
        <v>100000</v>
      </c>
      <c r="C891" s="20">
        <f t="shared" si="212"/>
        <v>1750.0000000000002</v>
      </c>
      <c r="D891" s="27">
        <v>45190</v>
      </c>
      <c r="E891" s="16" t="s">
        <v>4152</v>
      </c>
      <c r="F891" s="16" t="s">
        <v>28</v>
      </c>
      <c r="H891" s="16" t="s">
        <v>2126</v>
      </c>
      <c r="I891" s="21" t="s">
        <v>30</v>
      </c>
    </row>
    <row r="892" spans="1:9">
      <c r="A892" s="16" t="s">
        <v>4278</v>
      </c>
      <c r="B892" s="20">
        <v>20000</v>
      </c>
      <c r="C892" s="20">
        <f t="shared" ref="C892:C895" si="213">0.0125*B892</f>
        <v>250</v>
      </c>
      <c r="D892" s="27">
        <v>45190</v>
      </c>
      <c r="E892" s="16" t="s">
        <v>11</v>
      </c>
      <c r="F892" s="16" t="s">
        <v>12</v>
      </c>
    </row>
    <row r="893" spans="1:9">
      <c r="A893" s="16" t="s">
        <v>3066</v>
      </c>
      <c r="B893" s="20">
        <v>375000</v>
      </c>
      <c r="C893" s="20">
        <f t="shared" si="213"/>
        <v>4687.5</v>
      </c>
      <c r="D893" s="27">
        <v>45190</v>
      </c>
      <c r="E893" s="16" t="s">
        <v>11</v>
      </c>
      <c r="F893" s="16" t="s">
        <v>12</v>
      </c>
    </row>
    <row r="894" spans="1:9">
      <c r="A894" s="16" t="s">
        <v>4279</v>
      </c>
      <c r="B894" s="20">
        <v>30000</v>
      </c>
      <c r="C894" s="20">
        <f t="shared" si="213"/>
        <v>375</v>
      </c>
      <c r="D894" s="27">
        <v>45190</v>
      </c>
      <c r="E894" s="16" t="s">
        <v>11</v>
      </c>
      <c r="F894" s="16" t="s">
        <v>12</v>
      </c>
    </row>
    <row r="895" spans="1:9">
      <c r="A895" s="16" t="s">
        <v>2302</v>
      </c>
      <c r="B895" s="20">
        <v>30000</v>
      </c>
      <c r="C895" s="20">
        <f t="shared" si="213"/>
        <v>375</v>
      </c>
      <c r="D895" s="27">
        <v>45190</v>
      </c>
      <c r="E895" s="16" t="s">
        <v>11</v>
      </c>
      <c r="F895" s="16" t="s">
        <v>12</v>
      </c>
    </row>
    <row r="896" spans="1:9">
      <c r="A896" s="16" t="s">
        <v>4280</v>
      </c>
      <c r="B896" s="20">
        <v>85000</v>
      </c>
      <c r="C896" s="20">
        <f t="shared" ref="C896:C897" si="214">0.0175*B896</f>
        <v>1487.5000000000002</v>
      </c>
      <c r="D896" s="27">
        <v>45191</v>
      </c>
      <c r="E896" s="16" t="s">
        <v>4281</v>
      </c>
      <c r="F896" s="16" t="s">
        <v>28</v>
      </c>
      <c r="I896" s="21" t="s">
        <v>30</v>
      </c>
    </row>
    <row r="897" spans="1:9">
      <c r="A897" s="16" t="s">
        <v>4282</v>
      </c>
      <c r="B897" s="20">
        <v>500000</v>
      </c>
      <c r="C897" s="20">
        <f t="shared" si="214"/>
        <v>8750</v>
      </c>
      <c r="D897" s="27">
        <v>45191</v>
      </c>
      <c r="E897" s="16" t="s">
        <v>92</v>
      </c>
      <c r="F897" s="16" t="s">
        <v>28</v>
      </c>
      <c r="I897" s="21" t="s">
        <v>30</v>
      </c>
    </row>
    <row r="898" spans="1:9">
      <c r="A898" s="16" t="s">
        <v>2136</v>
      </c>
      <c r="B898" s="20">
        <v>275000</v>
      </c>
      <c r="C898" s="20">
        <f t="shared" ref="C898:C899" si="215">0.0125*B898</f>
        <v>3437.5</v>
      </c>
      <c r="D898" s="27">
        <v>45191</v>
      </c>
      <c r="E898" s="16" t="s">
        <v>11</v>
      </c>
      <c r="F898" s="16" t="s">
        <v>12</v>
      </c>
    </row>
    <row r="899" spans="1:9">
      <c r="A899" s="16" t="s">
        <v>1437</v>
      </c>
      <c r="B899" s="20">
        <v>515000</v>
      </c>
      <c r="C899" s="20">
        <f t="shared" si="215"/>
        <v>6437.5</v>
      </c>
      <c r="D899" s="27">
        <v>45191</v>
      </c>
      <c r="E899" s="16" t="s">
        <v>11</v>
      </c>
      <c r="F899" s="16" t="s">
        <v>12</v>
      </c>
    </row>
    <row r="900" spans="1:9">
      <c r="A900" s="16" t="s">
        <v>3246</v>
      </c>
      <c r="B900" s="20">
        <v>160000</v>
      </c>
      <c r="C900" s="20">
        <f t="shared" ref="C900:C901" si="216">0.0175*B900</f>
        <v>2800.0000000000005</v>
      </c>
      <c r="D900" s="27">
        <v>45191</v>
      </c>
      <c r="E900" s="16" t="s">
        <v>11</v>
      </c>
      <c r="F900" s="16" t="s">
        <v>28</v>
      </c>
      <c r="I900" s="21" t="s">
        <v>30</v>
      </c>
    </row>
    <row r="901" spans="1:9">
      <c r="A901" s="16" t="s">
        <v>4283</v>
      </c>
      <c r="B901" s="20">
        <v>1000000</v>
      </c>
      <c r="C901" s="20">
        <f t="shared" si="216"/>
        <v>17500</v>
      </c>
      <c r="D901" s="27">
        <v>45191</v>
      </c>
      <c r="E901" s="16" t="s">
        <v>24</v>
      </c>
      <c r="F901" s="16" t="s">
        <v>28</v>
      </c>
      <c r="H901" s="16" t="s">
        <v>2318</v>
      </c>
      <c r="I901" s="21" t="s">
        <v>30</v>
      </c>
    </row>
    <row r="902" spans="1:9">
      <c r="A902" s="16" t="s">
        <v>4284</v>
      </c>
      <c r="B902" s="20">
        <v>190000</v>
      </c>
      <c r="C902" s="20">
        <f t="shared" ref="C902:C905" si="217">0.0125*B902</f>
        <v>2375</v>
      </c>
      <c r="D902" s="27">
        <v>45194</v>
      </c>
      <c r="E902" s="16" t="s">
        <v>11</v>
      </c>
      <c r="F902" s="16" t="s">
        <v>12</v>
      </c>
    </row>
    <row r="903" spans="1:9">
      <c r="A903" s="16" t="s">
        <v>4285</v>
      </c>
      <c r="B903" s="20">
        <v>375000</v>
      </c>
      <c r="C903" s="20">
        <f t="shared" si="217"/>
        <v>4687.5</v>
      </c>
      <c r="D903" s="27">
        <v>45194</v>
      </c>
      <c r="E903" s="16" t="s">
        <v>11</v>
      </c>
      <c r="F903" s="16" t="s">
        <v>12</v>
      </c>
    </row>
    <row r="904" spans="1:9">
      <c r="A904" s="16" t="s">
        <v>4286</v>
      </c>
      <c r="B904" s="20">
        <v>395000</v>
      </c>
      <c r="C904" s="20">
        <f t="shared" si="217"/>
        <v>4937.5</v>
      </c>
      <c r="D904" s="27">
        <v>45194</v>
      </c>
      <c r="E904" s="16" t="s">
        <v>11</v>
      </c>
      <c r="F904" s="16" t="s">
        <v>12</v>
      </c>
    </row>
    <row r="905" spans="1:9">
      <c r="A905" s="16" t="s">
        <v>4287</v>
      </c>
      <c r="B905" s="20">
        <v>10000</v>
      </c>
      <c r="C905" s="20">
        <f t="shared" si="217"/>
        <v>125</v>
      </c>
      <c r="D905" s="27">
        <v>45194</v>
      </c>
      <c r="E905" s="16" t="s">
        <v>11</v>
      </c>
      <c r="F905" s="16" t="s">
        <v>12</v>
      </c>
    </row>
    <row r="906" spans="1:9">
      <c r="A906" s="16" t="s">
        <v>4288</v>
      </c>
      <c r="B906" s="20">
        <v>25000</v>
      </c>
      <c r="C906" s="20">
        <f t="shared" ref="C906:C907" si="218">0.0175*B906</f>
        <v>437.50000000000006</v>
      </c>
      <c r="D906" s="27">
        <v>45194</v>
      </c>
      <c r="E906" s="16" t="s">
        <v>4152</v>
      </c>
      <c r="F906" s="16" t="s">
        <v>28</v>
      </c>
      <c r="H906" s="16" t="s">
        <v>2116</v>
      </c>
    </row>
    <row r="907" spans="1:9">
      <c r="A907" s="16" t="s">
        <v>4289</v>
      </c>
      <c r="B907" s="20">
        <v>200000</v>
      </c>
      <c r="C907" s="20">
        <f t="shared" si="218"/>
        <v>3500.0000000000005</v>
      </c>
      <c r="D907" s="27">
        <v>45194</v>
      </c>
      <c r="E907" s="16" t="s">
        <v>69</v>
      </c>
      <c r="F907" s="16" t="s">
        <v>28</v>
      </c>
      <c r="H907" s="16" t="s">
        <v>13</v>
      </c>
      <c r="I907" s="21" t="s">
        <v>30</v>
      </c>
    </row>
    <row r="908" spans="1:9">
      <c r="A908" s="16" t="s">
        <v>2492</v>
      </c>
      <c r="B908" s="20">
        <v>100000</v>
      </c>
      <c r="C908" s="20">
        <f>0.0125*B908</f>
        <v>1250</v>
      </c>
      <c r="D908" s="27">
        <v>45195</v>
      </c>
      <c r="E908" s="16" t="s">
        <v>11</v>
      </c>
      <c r="F908" s="16" t="s">
        <v>12</v>
      </c>
    </row>
    <row r="909" spans="1:9">
      <c r="A909" s="16" t="s">
        <v>4290</v>
      </c>
      <c r="B909" s="20">
        <v>130000</v>
      </c>
      <c r="C909" s="20">
        <f t="shared" ref="C909:C913" si="219">0.0175*B909</f>
        <v>2275</v>
      </c>
      <c r="D909" s="27">
        <v>45195</v>
      </c>
      <c r="E909" s="16" t="s">
        <v>4023</v>
      </c>
      <c r="F909" s="16" t="s">
        <v>28</v>
      </c>
      <c r="I909" s="21" t="s">
        <v>30</v>
      </c>
    </row>
    <row r="910" spans="1:9">
      <c r="A910" s="16" t="s">
        <v>4291</v>
      </c>
      <c r="B910" s="20">
        <v>140000</v>
      </c>
      <c r="C910" s="20">
        <f t="shared" si="219"/>
        <v>2450.0000000000005</v>
      </c>
      <c r="D910" s="27">
        <v>45196</v>
      </c>
      <c r="E910" s="16" t="s">
        <v>73</v>
      </c>
      <c r="F910" s="16" t="s">
        <v>28</v>
      </c>
      <c r="H910" s="16" t="s">
        <v>4292</v>
      </c>
      <c r="I910" s="21" t="s">
        <v>30</v>
      </c>
    </row>
    <row r="911" spans="1:9">
      <c r="A911" s="16" t="s">
        <v>4293</v>
      </c>
      <c r="B911" s="20">
        <v>60000</v>
      </c>
      <c r="C911" s="20">
        <f t="shared" si="219"/>
        <v>1050</v>
      </c>
      <c r="D911" s="27">
        <v>45196</v>
      </c>
      <c r="E911" s="16" t="s">
        <v>4152</v>
      </c>
      <c r="F911" s="16" t="s">
        <v>28</v>
      </c>
      <c r="H911" s="16" t="s">
        <v>4194</v>
      </c>
      <c r="I911" s="21" t="s">
        <v>30</v>
      </c>
    </row>
    <row r="912" spans="1:9">
      <c r="A912" s="16" t="s">
        <v>4294</v>
      </c>
      <c r="B912" s="20">
        <v>115000</v>
      </c>
      <c r="C912" s="20">
        <f t="shared" si="219"/>
        <v>2012.5000000000002</v>
      </c>
      <c r="D912" s="27">
        <v>45196</v>
      </c>
      <c r="E912" s="16" t="s">
        <v>4023</v>
      </c>
      <c r="F912" s="16" t="s">
        <v>28</v>
      </c>
      <c r="I912" s="21" t="s">
        <v>30</v>
      </c>
    </row>
    <row r="913" spans="1:16">
      <c r="A913" s="16" t="s">
        <v>4295</v>
      </c>
      <c r="B913" s="20">
        <v>50000</v>
      </c>
      <c r="C913" s="20">
        <f t="shared" si="219"/>
        <v>875.00000000000011</v>
      </c>
      <c r="D913" s="27">
        <v>45196</v>
      </c>
      <c r="E913" s="16" t="s">
        <v>4152</v>
      </c>
      <c r="F913" s="16" t="s">
        <v>28</v>
      </c>
      <c r="H913" s="16" t="s">
        <v>2143</v>
      </c>
      <c r="I913" s="21" t="s">
        <v>30</v>
      </c>
    </row>
    <row r="914" spans="1:16">
      <c r="A914" s="16" t="s">
        <v>4296</v>
      </c>
      <c r="B914" s="20">
        <v>50000</v>
      </c>
      <c r="C914" s="20">
        <f>0.0125*B914</f>
        <v>625</v>
      </c>
      <c r="D914" s="27">
        <v>45196</v>
      </c>
      <c r="E914" s="16" t="s">
        <v>11</v>
      </c>
      <c r="F914" s="16" t="s">
        <v>12</v>
      </c>
    </row>
    <row r="915" spans="1:16">
      <c r="A915" s="16" t="s">
        <v>4297</v>
      </c>
      <c r="B915" s="20">
        <v>300000</v>
      </c>
      <c r="C915" s="20">
        <f t="shared" ref="C915:C918" si="220">0.0175*B915</f>
        <v>5250.0000000000009</v>
      </c>
      <c r="D915" s="27">
        <v>45196</v>
      </c>
      <c r="E915" s="16" t="s">
        <v>69</v>
      </c>
      <c r="F915" s="16" t="s">
        <v>28</v>
      </c>
      <c r="H915" s="16" t="s">
        <v>13</v>
      </c>
      <c r="I915" s="21" t="s">
        <v>30</v>
      </c>
    </row>
    <row r="916" spans="1:16">
      <c r="A916" s="16" t="s">
        <v>4298</v>
      </c>
      <c r="B916" s="20">
        <v>150000</v>
      </c>
      <c r="C916" s="20">
        <f t="shared" si="220"/>
        <v>2625.0000000000005</v>
      </c>
      <c r="D916" s="27">
        <v>45197</v>
      </c>
      <c r="E916" s="16" t="s">
        <v>24</v>
      </c>
      <c r="F916" s="16" t="s">
        <v>28</v>
      </c>
      <c r="H916" s="16" t="s">
        <v>2318</v>
      </c>
      <c r="I916" s="21" t="s">
        <v>30</v>
      </c>
    </row>
    <row r="917" spans="1:16">
      <c r="A917" s="16" t="s">
        <v>4299</v>
      </c>
      <c r="B917" s="20">
        <v>30000</v>
      </c>
      <c r="C917" s="20">
        <f t="shared" si="220"/>
        <v>525</v>
      </c>
      <c r="D917" s="27">
        <v>45197</v>
      </c>
      <c r="E917" s="16" t="s">
        <v>4152</v>
      </c>
      <c r="F917" s="16" t="s">
        <v>28</v>
      </c>
      <c r="H917" s="16" t="s">
        <v>2143</v>
      </c>
      <c r="I917" s="21" t="s">
        <v>30</v>
      </c>
    </row>
    <row r="918" spans="1:16">
      <c r="A918" s="16" t="s">
        <v>4300</v>
      </c>
      <c r="B918" s="20">
        <v>100000</v>
      </c>
      <c r="C918" s="20">
        <f t="shared" si="220"/>
        <v>1750.0000000000002</v>
      </c>
      <c r="D918" s="27">
        <v>45198</v>
      </c>
      <c r="E918" s="16" t="s">
        <v>4152</v>
      </c>
      <c r="F918" s="16" t="s">
        <v>28</v>
      </c>
      <c r="H918" s="16" t="s">
        <v>2126</v>
      </c>
      <c r="I918" s="21" t="s">
        <v>30</v>
      </c>
    </row>
    <row r="919" spans="1:16">
      <c r="A919" s="16" t="s">
        <v>4301</v>
      </c>
      <c r="B919" s="20">
        <v>300000</v>
      </c>
      <c r="C919" s="20">
        <f>0.0125*B919</f>
        <v>3750</v>
      </c>
      <c r="D919" s="27">
        <v>45198</v>
      </c>
      <c r="E919" s="16" t="s">
        <v>11</v>
      </c>
      <c r="F919" s="16" t="s">
        <v>12</v>
      </c>
    </row>
    <row r="920" spans="1:16">
      <c r="A920" s="16" t="s">
        <v>4302</v>
      </c>
      <c r="B920" s="20">
        <v>17000</v>
      </c>
      <c r="C920" s="20">
        <f>0.0175*B920</f>
        <v>297.5</v>
      </c>
      <c r="D920" s="27">
        <v>45198</v>
      </c>
      <c r="E920" s="16" t="s">
        <v>11</v>
      </c>
      <c r="F920" s="16" t="s">
        <v>28</v>
      </c>
      <c r="I920" s="21" t="s">
        <v>30</v>
      </c>
    </row>
    <row r="921" spans="1:16">
      <c r="A921" s="16" t="s">
        <v>4303</v>
      </c>
      <c r="B921" s="20">
        <v>50000</v>
      </c>
      <c r="C921" s="20">
        <f t="shared" ref="C921:C926" si="221">0.0125*B921</f>
        <v>625</v>
      </c>
      <c r="D921" s="27">
        <v>45198</v>
      </c>
      <c r="E921" s="16" t="s">
        <v>11</v>
      </c>
      <c r="F921" s="16" t="s">
        <v>12</v>
      </c>
    </row>
    <row r="922" spans="1:16">
      <c r="A922" s="16" t="s">
        <v>4304</v>
      </c>
      <c r="B922" s="20">
        <v>100000</v>
      </c>
      <c r="C922" s="20">
        <f t="shared" si="221"/>
        <v>1250</v>
      </c>
      <c r="D922" s="27">
        <v>45198</v>
      </c>
      <c r="E922" s="16" t="s">
        <v>11</v>
      </c>
      <c r="F922" s="16" t="s">
        <v>12</v>
      </c>
      <c r="P922" s="33"/>
    </row>
    <row r="923" spans="1:16">
      <c r="A923" s="16" t="s">
        <v>4305</v>
      </c>
      <c r="B923" s="20">
        <v>50000</v>
      </c>
      <c r="C923" s="20">
        <f t="shared" si="221"/>
        <v>625</v>
      </c>
      <c r="D923" s="27">
        <v>45198</v>
      </c>
      <c r="E923" s="16" t="s">
        <v>11</v>
      </c>
      <c r="F923" s="16" t="s">
        <v>12</v>
      </c>
      <c r="P923" s="31"/>
    </row>
    <row r="924" spans="1:16">
      <c r="A924" s="16" t="s">
        <v>348</v>
      </c>
      <c r="B924" s="20">
        <v>150000</v>
      </c>
      <c r="C924" s="20">
        <f t="shared" si="221"/>
        <v>1875</v>
      </c>
      <c r="D924" s="27">
        <v>45198</v>
      </c>
      <c r="E924" s="16" t="s">
        <v>4023</v>
      </c>
      <c r="F924" s="16" t="s">
        <v>12</v>
      </c>
    </row>
    <row r="925" spans="1:16">
      <c r="A925" s="16" t="s">
        <v>688</v>
      </c>
      <c r="B925" s="20">
        <v>92500</v>
      </c>
      <c r="C925" s="20">
        <f t="shared" si="221"/>
        <v>1156.25</v>
      </c>
      <c r="D925" s="27">
        <v>45198</v>
      </c>
      <c r="E925" s="16" t="s">
        <v>11</v>
      </c>
      <c r="F925" s="16" t="s">
        <v>12</v>
      </c>
    </row>
    <row r="926" spans="1:16">
      <c r="A926" s="16" t="s">
        <v>4306</v>
      </c>
      <c r="B926" s="20">
        <v>56500</v>
      </c>
      <c r="C926" s="20">
        <f t="shared" si="221"/>
        <v>706.25</v>
      </c>
      <c r="D926" s="27">
        <v>45177</v>
      </c>
      <c r="E926" s="16" t="s">
        <v>11</v>
      </c>
      <c r="F926" s="16" t="s">
        <v>12</v>
      </c>
    </row>
    <row r="927" spans="1:16">
      <c r="A927" s="11">
        <v>45201</v>
      </c>
      <c r="B927" s="9">
        <f t="shared" ref="B927:C927" si="222">SUM(B928:B1019)</f>
        <v>17475500</v>
      </c>
      <c r="C927" s="9">
        <f t="shared" si="222"/>
        <v>274416.25</v>
      </c>
      <c r="D927" s="59"/>
      <c r="E927" s="59"/>
      <c r="F927" s="59"/>
      <c r="G927" s="59"/>
    </row>
    <row r="928" spans="1:16">
      <c r="A928" s="16" t="s">
        <v>3039</v>
      </c>
      <c r="B928" s="20">
        <v>400000</v>
      </c>
      <c r="C928" s="20">
        <f t="shared" ref="C928:C929" si="223">0.0175*B928</f>
        <v>7000.0000000000009</v>
      </c>
      <c r="D928" s="27">
        <v>45201</v>
      </c>
      <c r="E928" s="16" t="s">
        <v>21</v>
      </c>
      <c r="F928" s="16" t="s">
        <v>28</v>
      </c>
      <c r="I928" s="21" t="s">
        <v>30</v>
      </c>
    </row>
    <row r="929" spans="1:9">
      <c r="A929" s="16" t="s">
        <v>4307</v>
      </c>
      <c r="B929" s="20">
        <v>40000</v>
      </c>
      <c r="C929" s="20">
        <f t="shared" si="223"/>
        <v>700.00000000000011</v>
      </c>
      <c r="D929" s="27">
        <v>45201</v>
      </c>
      <c r="E929" s="16" t="s">
        <v>69</v>
      </c>
      <c r="F929" s="16" t="s">
        <v>28</v>
      </c>
      <c r="H929" s="16" t="s">
        <v>13</v>
      </c>
      <c r="I929" s="21" t="s">
        <v>30</v>
      </c>
    </row>
    <row r="930" spans="1:9">
      <c r="A930" s="16" t="s">
        <v>4308</v>
      </c>
      <c r="B930" s="20">
        <v>325000</v>
      </c>
      <c r="C930" s="20">
        <f t="shared" ref="C930:C931" si="224">0.0125*B930</f>
        <v>4062.5</v>
      </c>
      <c r="D930" s="27">
        <v>45201</v>
      </c>
      <c r="E930" s="16" t="s">
        <v>231</v>
      </c>
      <c r="F930" s="16" t="s">
        <v>12</v>
      </c>
      <c r="H930" s="16" t="s">
        <v>22</v>
      </c>
    </row>
    <row r="931" spans="1:9">
      <c r="A931" s="16" t="s">
        <v>465</v>
      </c>
      <c r="B931" s="20">
        <v>20000</v>
      </c>
      <c r="C931" s="20">
        <f t="shared" si="224"/>
        <v>250</v>
      </c>
      <c r="D931" s="27">
        <v>45202</v>
      </c>
      <c r="E931" s="16" t="s">
        <v>2635</v>
      </c>
      <c r="F931" s="16" t="s">
        <v>12</v>
      </c>
      <c r="H931" s="16" t="s">
        <v>4309</v>
      </c>
    </row>
    <row r="932" spans="1:9">
      <c r="A932" s="16" t="s">
        <v>4310</v>
      </c>
      <c r="B932" s="20">
        <v>125000</v>
      </c>
      <c r="C932" s="20">
        <f>0.0175*B932</f>
        <v>2187.5</v>
      </c>
      <c r="D932" s="27">
        <v>45202</v>
      </c>
      <c r="E932" s="16" t="s">
        <v>461</v>
      </c>
      <c r="F932" s="16" t="s">
        <v>28</v>
      </c>
      <c r="I932" s="21" t="s">
        <v>30</v>
      </c>
    </row>
    <row r="933" spans="1:9">
      <c r="A933" s="16" t="s">
        <v>2311</v>
      </c>
      <c r="B933" s="20">
        <v>150000</v>
      </c>
      <c r="C933" s="20">
        <f t="shared" ref="C933:C934" si="225">0.0125*B933</f>
        <v>1875</v>
      </c>
      <c r="D933" s="27">
        <v>45202</v>
      </c>
      <c r="E933" s="16" t="s">
        <v>11</v>
      </c>
      <c r="F933" s="16" t="s">
        <v>12</v>
      </c>
    </row>
    <row r="934" spans="1:9">
      <c r="A934" s="16" t="s">
        <v>4311</v>
      </c>
      <c r="B934" s="20">
        <v>115000</v>
      </c>
      <c r="C934" s="20">
        <f t="shared" si="225"/>
        <v>1437.5</v>
      </c>
      <c r="D934" s="27">
        <v>45202</v>
      </c>
      <c r="E934" s="16" t="s">
        <v>11</v>
      </c>
      <c r="F934" s="16" t="s">
        <v>12</v>
      </c>
    </row>
    <row r="935" spans="1:9">
      <c r="A935" s="16" t="s">
        <v>4312</v>
      </c>
      <c r="B935" s="20">
        <v>300000</v>
      </c>
      <c r="C935" s="20">
        <f t="shared" ref="C935:C936" si="226">0.0175*B935</f>
        <v>5250.0000000000009</v>
      </c>
      <c r="D935" s="27">
        <v>45202</v>
      </c>
      <c r="E935" s="16" t="s">
        <v>4023</v>
      </c>
      <c r="F935" s="16" t="s">
        <v>28</v>
      </c>
      <c r="I935" s="21" t="s">
        <v>30</v>
      </c>
    </row>
    <row r="936" spans="1:9">
      <c r="A936" s="16" t="s">
        <v>4313</v>
      </c>
      <c r="B936" s="20">
        <v>100000</v>
      </c>
      <c r="C936" s="20">
        <f t="shared" si="226"/>
        <v>1750.0000000000002</v>
      </c>
      <c r="D936" s="27">
        <v>45203</v>
      </c>
      <c r="E936" s="16" t="s">
        <v>69</v>
      </c>
      <c r="F936" s="16" t="s">
        <v>28</v>
      </c>
      <c r="H936" s="16" t="s">
        <v>1008</v>
      </c>
      <c r="I936" s="21" t="s">
        <v>30</v>
      </c>
    </row>
    <row r="937" spans="1:9">
      <c r="A937" s="16" t="s">
        <v>4314</v>
      </c>
      <c r="B937" s="20">
        <v>930000</v>
      </c>
      <c r="C937" s="20">
        <f>0.0125*B937</f>
        <v>11625</v>
      </c>
      <c r="D937" s="27">
        <v>45203</v>
      </c>
      <c r="E937" s="16" t="s">
        <v>4023</v>
      </c>
      <c r="F937" s="16" t="s">
        <v>12</v>
      </c>
    </row>
    <row r="938" spans="1:9">
      <c r="A938" s="16" t="s">
        <v>4315</v>
      </c>
      <c r="B938" s="20">
        <v>40000</v>
      </c>
      <c r="C938" s="20">
        <f>0.0175*B938</f>
        <v>700.00000000000011</v>
      </c>
      <c r="D938" s="27">
        <v>45203</v>
      </c>
      <c r="E938" s="16" t="s">
        <v>73</v>
      </c>
      <c r="F938" s="16" t="s">
        <v>28</v>
      </c>
    </row>
    <row r="939" spans="1:9">
      <c r="A939" s="16" t="s">
        <v>4159</v>
      </c>
      <c r="B939" s="20">
        <v>175000</v>
      </c>
      <c r="C939" s="20">
        <f>0.0125*B939</f>
        <v>2187.5</v>
      </c>
      <c r="D939" s="27">
        <v>45203</v>
      </c>
      <c r="E939" s="16" t="s">
        <v>69</v>
      </c>
      <c r="F939" s="16" t="s">
        <v>12</v>
      </c>
      <c r="H939" s="16" t="s">
        <v>22</v>
      </c>
    </row>
    <row r="940" spans="1:9">
      <c r="A940" s="16" t="s">
        <v>4316</v>
      </c>
      <c r="B940" s="20">
        <v>150000</v>
      </c>
      <c r="C940" s="20">
        <f>0.0175*B940</f>
        <v>2625.0000000000005</v>
      </c>
      <c r="D940" s="27">
        <v>45204</v>
      </c>
      <c r="E940" s="16" t="s">
        <v>11</v>
      </c>
      <c r="F940" s="16" t="s">
        <v>28</v>
      </c>
      <c r="I940" s="21" t="s">
        <v>30</v>
      </c>
    </row>
    <row r="941" spans="1:9">
      <c r="A941" s="16" t="s">
        <v>2118</v>
      </c>
      <c r="B941" s="20">
        <v>37500</v>
      </c>
      <c r="C941" s="20">
        <f t="shared" ref="C941:C942" si="227">0.0125*B941</f>
        <v>468.75</v>
      </c>
      <c r="D941" s="27">
        <v>45204</v>
      </c>
      <c r="E941" s="16" t="s">
        <v>11</v>
      </c>
      <c r="F941" s="16" t="s">
        <v>12</v>
      </c>
    </row>
    <row r="942" spans="1:9">
      <c r="A942" s="16" t="s">
        <v>391</v>
      </c>
      <c r="B942" s="20">
        <v>180000</v>
      </c>
      <c r="C942" s="20">
        <f t="shared" si="227"/>
        <v>2250</v>
      </c>
      <c r="D942" s="27">
        <v>45204</v>
      </c>
      <c r="E942" s="16" t="s">
        <v>11</v>
      </c>
      <c r="F942" s="16" t="s">
        <v>12</v>
      </c>
    </row>
    <row r="943" spans="1:9">
      <c r="A943" s="16" t="s">
        <v>1314</v>
      </c>
      <c r="B943" s="20">
        <v>500000</v>
      </c>
      <c r="C943" s="20">
        <f>0.0175*B943</f>
        <v>8750</v>
      </c>
      <c r="D943" s="27">
        <v>45205</v>
      </c>
      <c r="E943" s="16" t="s">
        <v>4108</v>
      </c>
      <c r="F943" s="16" t="s">
        <v>28</v>
      </c>
      <c r="H943" s="16" t="s">
        <v>2318</v>
      </c>
      <c r="I943" s="21" t="s">
        <v>30</v>
      </c>
    </row>
    <row r="944" spans="1:9">
      <c r="A944" s="16" t="s">
        <v>4035</v>
      </c>
      <c r="B944" s="20">
        <v>600000</v>
      </c>
      <c r="C944" s="20">
        <f>0.0125*B944</f>
        <v>7500</v>
      </c>
      <c r="D944" s="27">
        <v>45205</v>
      </c>
      <c r="E944" s="16" t="s">
        <v>11</v>
      </c>
      <c r="F944" s="16" t="s">
        <v>12</v>
      </c>
    </row>
    <row r="945" spans="1:9">
      <c r="A945" s="16" t="s">
        <v>483</v>
      </c>
      <c r="B945" s="20">
        <v>1500000</v>
      </c>
      <c r="C945" s="20">
        <f t="shared" ref="C945:C946" si="228">0.0175*B945</f>
        <v>26250.000000000004</v>
      </c>
      <c r="D945" s="27">
        <v>45205</v>
      </c>
      <c r="E945" s="16" t="s">
        <v>11</v>
      </c>
      <c r="F945" s="16" t="s">
        <v>28</v>
      </c>
      <c r="I945" s="21" t="s">
        <v>30</v>
      </c>
    </row>
    <row r="946" spans="1:9">
      <c r="A946" s="16" t="s">
        <v>4317</v>
      </c>
      <c r="B946" s="20">
        <v>500000</v>
      </c>
      <c r="C946" s="20">
        <f t="shared" si="228"/>
        <v>8750</v>
      </c>
      <c r="D946" s="27">
        <v>45205</v>
      </c>
      <c r="E946" s="16" t="s">
        <v>4108</v>
      </c>
      <c r="F946" s="16" t="s">
        <v>28</v>
      </c>
      <c r="H946" s="16" t="s">
        <v>4318</v>
      </c>
      <c r="I946" s="21" t="s">
        <v>30</v>
      </c>
    </row>
    <row r="947" spans="1:9">
      <c r="A947" s="16" t="s">
        <v>3602</v>
      </c>
      <c r="B947" s="20">
        <v>36000</v>
      </c>
      <c r="C947" s="20">
        <f>0.0125*B947</f>
        <v>450</v>
      </c>
      <c r="D947" s="27">
        <v>45209</v>
      </c>
      <c r="E947" s="16" t="s">
        <v>73</v>
      </c>
      <c r="F947" s="16" t="s">
        <v>12</v>
      </c>
    </row>
    <row r="948" spans="1:9">
      <c r="A948" s="16" t="s">
        <v>4319</v>
      </c>
      <c r="B948" s="20">
        <v>175000</v>
      </c>
      <c r="C948" s="20">
        <f t="shared" ref="C948:C952" si="229">0.0175*B948</f>
        <v>3062.5000000000005</v>
      </c>
      <c r="D948" s="27">
        <v>45209</v>
      </c>
      <c r="E948" s="16" t="s">
        <v>4023</v>
      </c>
      <c r="F948" s="16" t="s">
        <v>28</v>
      </c>
      <c r="I948" s="21" t="s">
        <v>30</v>
      </c>
    </row>
    <row r="949" spans="1:9">
      <c r="A949" s="16" t="s">
        <v>4320</v>
      </c>
      <c r="B949" s="20">
        <v>225000</v>
      </c>
      <c r="C949" s="20">
        <f t="shared" si="229"/>
        <v>3937.5000000000005</v>
      </c>
      <c r="D949" s="27">
        <v>45209</v>
      </c>
      <c r="E949" s="16" t="s">
        <v>4023</v>
      </c>
      <c r="F949" s="16" t="s">
        <v>28</v>
      </c>
      <c r="I949" s="21" t="s">
        <v>30</v>
      </c>
    </row>
    <row r="950" spans="1:9">
      <c r="A950" s="16" t="s">
        <v>4321</v>
      </c>
      <c r="B950" s="20">
        <v>80000</v>
      </c>
      <c r="C950" s="20">
        <f t="shared" si="229"/>
        <v>1400.0000000000002</v>
      </c>
      <c r="D950" s="27">
        <v>45210</v>
      </c>
      <c r="E950" s="16" t="s">
        <v>2635</v>
      </c>
      <c r="F950" s="16" t="s">
        <v>28</v>
      </c>
      <c r="H950" s="16" t="s">
        <v>2135</v>
      </c>
      <c r="I950" s="21" t="s">
        <v>30</v>
      </c>
    </row>
    <row r="951" spans="1:9">
      <c r="A951" s="16" t="s">
        <v>4322</v>
      </c>
      <c r="B951" s="20">
        <v>310000</v>
      </c>
      <c r="C951" s="20">
        <f t="shared" si="229"/>
        <v>5425.0000000000009</v>
      </c>
      <c r="D951" s="27">
        <v>45210</v>
      </c>
      <c r="E951" s="16" t="s">
        <v>11</v>
      </c>
      <c r="F951" s="16" t="s">
        <v>28</v>
      </c>
      <c r="I951" s="21" t="s">
        <v>30</v>
      </c>
    </row>
    <row r="952" spans="1:9">
      <c r="A952" s="16" t="s">
        <v>4323</v>
      </c>
      <c r="B952" s="20">
        <v>250000</v>
      </c>
      <c r="C952" s="20">
        <f t="shared" si="229"/>
        <v>4375</v>
      </c>
      <c r="D952" s="27">
        <v>45211</v>
      </c>
      <c r="E952" s="16" t="s">
        <v>4324</v>
      </c>
      <c r="F952" s="16" t="s">
        <v>28</v>
      </c>
      <c r="H952" s="16" t="s">
        <v>2318</v>
      </c>
    </row>
    <row r="953" spans="1:9">
      <c r="A953" s="16" t="s">
        <v>4325</v>
      </c>
      <c r="B953" s="20">
        <v>290000</v>
      </c>
      <c r="C953" s="20">
        <f t="shared" ref="C953:C954" si="230">0.0125*B953</f>
        <v>3625</v>
      </c>
      <c r="D953" s="27">
        <v>45211</v>
      </c>
      <c r="E953" s="16" t="s">
        <v>4023</v>
      </c>
      <c r="F953" s="16" t="s">
        <v>12</v>
      </c>
    </row>
    <row r="954" spans="1:9">
      <c r="A954" s="16" t="s">
        <v>3241</v>
      </c>
      <c r="B954" s="20">
        <v>60000</v>
      </c>
      <c r="C954" s="20">
        <f t="shared" si="230"/>
        <v>750</v>
      </c>
      <c r="D954" s="27">
        <v>45211</v>
      </c>
      <c r="E954" s="16" t="s">
        <v>11</v>
      </c>
      <c r="F954" s="16" t="s">
        <v>12</v>
      </c>
    </row>
    <row r="955" spans="1:9">
      <c r="A955" s="16" t="s">
        <v>4326</v>
      </c>
      <c r="B955" s="20">
        <v>20000</v>
      </c>
      <c r="C955" s="20">
        <f t="shared" ref="C955:C959" si="231">0.0175*B955</f>
        <v>350.00000000000006</v>
      </c>
      <c r="D955" s="27">
        <v>45211</v>
      </c>
      <c r="E955" s="16" t="s">
        <v>11</v>
      </c>
      <c r="F955" s="16" t="s">
        <v>28</v>
      </c>
      <c r="I955" s="21" t="s">
        <v>30</v>
      </c>
    </row>
    <row r="956" spans="1:9">
      <c r="A956" s="16" t="s">
        <v>4327</v>
      </c>
      <c r="B956" s="20">
        <v>250000</v>
      </c>
      <c r="C956" s="20">
        <f t="shared" si="231"/>
        <v>4375</v>
      </c>
      <c r="D956" s="27">
        <v>45212</v>
      </c>
      <c r="E956" s="16" t="s">
        <v>73</v>
      </c>
      <c r="F956" s="16" t="s">
        <v>28</v>
      </c>
    </row>
    <row r="957" spans="1:9">
      <c r="A957" s="16" t="s">
        <v>4328</v>
      </c>
      <c r="B957" s="20">
        <v>150000</v>
      </c>
      <c r="C957" s="20">
        <f t="shared" si="231"/>
        <v>2625.0000000000005</v>
      </c>
      <c r="D957" s="27">
        <v>45212</v>
      </c>
      <c r="E957" s="16" t="s">
        <v>4329</v>
      </c>
      <c r="F957" s="16" t="s">
        <v>28</v>
      </c>
      <c r="H957" s="16" t="s">
        <v>13</v>
      </c>
      <c r="I957" s="21" t="s">
        <v>30</v>
      </c>
    </row>
    <row r="958" spans="1:9">
      <c r="A958" s="16" t="s">
        <v>4330</v>
      </c>
      <c r="B958" s="20">
        <v>500000</v>
      </c>
      <c r="C958" s="20">
        <f t="shared" si="231"/>
        <v>8750</v>
      </c>
      <c r="D958" s="27">
        <v>45212</v>
      </c>
      <c r="E958" s="16" t="s">
        <v>4324</v>
      </c>
      <c r="F958" s="16" t="s">
        <v>28</v>
      </c>
      <c r="H958" s="16" t="s">
        <v>2318</v>
      </c>
      <c r="I958" s="21" t="s">
        <v>30</v>
      </c>
    </row>
    <row r="959" spans="1:9">
      <c r="A959" s="16" t="s">
        <v>4331</v>
      </c>
      <c r="B959" s="20">
        <v>100000</v>
      </c>
      <c r="C959" s="20">
        <f t="shared" si="231"/>
        <v>1750.0000000000002</v>
      </c>
      <c r="D959" s="27">
        <v>45215</v>
      </c>
      <c r="E959" s="16" t="s">
        <v>4152</v>
      </c>
      <c r="F959" s="16" t="s">
        <v>28</v>
      </c>
      <c r="H959" s="16" t="s">
        <v>2253</v>
      </c>
      <c r="I959" s="21" t="s">
        <v>30</v>
      </c>
    </row>
    <row r="960" spans="1:9">
      <c r="A960" s="16" t="s">
        <v>4332</v>
      </c>
      <c r="B960" s="20">
        <v>140000</v>
      </c>
      <c r="C960" s="20">
        <f>0.0125*B960</f>
        <v>1750</v>
      </c>
      <c r="D960" s="27">
        <v>45215</v>
      </c>
      <c r="E960" s="16" t="s">
        <v>69</v>
      </c>
      <c r="F960" s="16" t="s">
        <v>12</v>
      </c>
      <c r="H960" s="16" t="s">
        <v>1139</v>
      </c>
    </row>
    <row r="961" spans="1:9">
      <c r="A961" s="16" t="s">
        <v>4150</v>
      </c>
      <c r="B961" s="20">
        <v>130000</v>
      </c>
      <c r="C961" s="20">
        <f t="shared" ref="C961:C963" si="232">0.0175*B961</f>
        <v>2275</v>
      </c>
      <c r="D961" s="27">
        <v>45215</v>
      </c>
      <c r="E961" s="16" t="s">
        <v>4324</v>
      </c>
      <c r="F961" s="16" t="s">
        <v>4333</v>
      </c>
      <c r="I961" s="21" t="s">
        <v>30</v>
      </c>
    </row>
    <row r="962" spans="1:9">
      <c r="A962" s="16" t="s">
        <v>4334</v>
      </c>
      <c r="B962" s="20">
        <v>50000</v>
      </c>
      <c r="C962" s="20">
        <f t="shared" si="232"/>
        <v>875.00000000000011</v>
      </c>
      <c r="D962" s="27">
        <v>45215</v>
      </c>
      <c r="E962" s="16" t="s">
        <v>69</v>
      </c>
      <c r="F962" s="16" t="s">
        <v>28</v>
      </c>
      <c r="H962" s="16" t="s">
        <v>13</v>
      </c>
      <c r="I962" s="21" t="s">
        <v>30</v>
      </c>
    </row>
    <row r="963" spans="1:9">
      <c r="A963" s="16" t="s">
        <v>4335</v>
      </c>
      <c r="B963" s="20">
        <v>4000</v>
      </c>
      <c r="C963" s="20">
        <f t="shared" si="232"/>
        <v>70</v>
      </c>
      <c r="D963" s="27">
        <v>45216</v>
      </c>
      <c r="E963" s="16" t="s">
        <v>75</v>
      </c>
      <c r="F963" s="16" t="s">
        <v>28</v>
      </c>
      <c r="H963" s="16" t="s">
        <v>4336</v>
      </c>
    </row>
    <row r="964" spans="1:9">
      <c r="A964" s="16" t="s">
        <v>4337</v>
      </c>
      <c r="B964" s="20">
        <v>350000</v>
      </c>
      <c r="C964" s="20">
        <f>0.0125*B964</f>
        <v>4375</v>
      </c>
      <c r="D964" s="27">
        <v>45216</v>
      </c>
      <c r="E964" s="16" t="s">
        <v>75</v>
      </c>
      <c r="F964" s="16" t="s">
        <v>12</v>
      </c>
    </row>
    <row r="965" spans="1:9">
      <c r="A965" s="16" t="s">
        <v>4338</v>
      </c>
      <c r="B965" s="20">
        <v>10000</v>
      </c>
      <c r="C965" s="20">
        <f t="shared" ref="C965:C967" si="233">0.0175*B965</f>
        <v>175.00000000000003</v>
      </c>
      <c r="D965" s="27">
        <v>45217</v>
      </c>
      <c r="E965" s="16" t="s">
        <v>4152</v>
      </c>
      <c r="F965" s="16" t="s">
        <v>28</v>
      </c>
      <c r="H965" s="16" t="s">
        <v>2116</v>
      </c>
      <c r="I965" s="21" t="s">
        <v>30</v>
      </c>
    </row>
    <row r="966" spans="1:9">
      <c r="A966" s="38" t="s">
        <v>4339</v>
      </c>
      <c r="B966" s="20">
        <v>150000</v>
      </c>
      <c r="C966" s="20">
        <f t="shared" si="233"/>
        <v>2625.0000000000005</v>
      </c>
      <c r="D966" s="27">
        <v>45217</v>
      </c>
      <c r="E966" s="16" t="s">
        <v>11</v>
      </c>
      <c r="F966" s="16" t="s">
        <v>28</v>
      </c>
      <c r="I966" s="21" t="s">
        <v>30</v>
      </c>
    </row>
    <row r="967" spans="1:9">
      <c r="A967" s="16" t="s">
        <v>4340</v>
      </c>
      <c r="B967" s="20">
        <v>150000</v>
      </c>
      <c r="C967" s="20">
        <f t="shared" si="233"/>
        <v>2625.0000000000005</v>
      </c>
      <c r="D967" s="27">
        <v>45218</v>
      </c>
      <c r="E967" s="16" t="s">
        <v>4104</v>
      </c>
      <c r="F967" s="16" t="s">
        <v>28</v>
      </c>
      <c r="H967" s="16" t="s">
        <v>13</v>
      </c>
      <c r="I967" s="21" t="s">
        <v>30</v>
      </c>
    </row>
    <row r="968" spans="1:9">
      <c r="A968" s="38" t="s">
        <v>4052</v>
      </c>
      <c r="B968" s="20">
        <v>50000</v>
      </c>
      <c r="C968" s="20">
        <f t="shared" ref="C968:C973" si="234">0.0125*B968</f>
        <v>625</v>
      </c>
      <c r="D968" s="27">
        <v>45218</v>
      </c>
      <c r="E968" s="16" t="s">
        <v>11</v>
      </c>
      <c r="F968" s="16" t="s">
        <v>12</v>
      </c>
    </row>
    <row r="969" spans="1:9">
      <c r="A969" s="38" t="s">
        <v>4341</v>
      </c>
      <c r="B969" s="20">
        <v>110000</v>
      </c>
      <c r="C969" s="20">
        <f t="shared" si="234"/>
        <v>1375</v>
      </c>
      <c r="D969" s="27">
        <v>45218</v>
      </c>
      <c r="E969" s="16" t="s">
        <v>11</v>
      </c>
      <c r="F969" s="16" t="s">
        <v>12</v>
      </c>
    </row>
    <row r="970" spans="1:9">
      <c r="A970" s="38" t="s">
        <v>3963</v>
      </c>
      <c r="B970" s="20">
        <v>130000</v>
      </c>
      <c r="C970" s="20">
        <f t="shared" si="234"/>
        <v>1625</v>
      </c>
      <c r="D970" s="27">
        <v>45218</v>
      </c>
      <c r="E970" s="16" t="s">
        <v>11</v>
      </c>
      <c r="F970" s="16" t="s">
        <v>12</v>
      </c>
    </row>
    <row r="971" spans="1:9">
      <c r="A971" s="38" t="s">
        <v>4342</v>
      </c>
      <c r="B971" s="20">
        <v>31500</v>
      </c>
      <c r="C971" s="20">
        <f t="shared" si="234"/>
        <v>393.75</v>
      </c>
      <c r="D971" s="27">
        <v>45218</v>
      </c>
      <c r="E971" s="16" t="s">
        <v>4023</v>
      </c>
      <c r="F971" s="16" t="s">
        <v>12</v>
      </c>
    </row>
    <row r="972" spans="1:9">
      <c r="A972" s="38" t="s">
        <v>4343</v>
      </c>
      <c r="B972" s="20">
        <v>120000</v>
      </c>
      <c r="C972" s="20">
        <f t="shared" si="234"/>
        <v>1500</v>
      </c>
      <c r="D972" s="27">
        <v>45218</v>
      </c>
      <c r="E972" s="16" t="s">
        <v>11</v>
      </c>
      <c r="F972" s="16" t="s">
        <v>12</v>
      </c>
    </row>
    <row r="973" spans="1:9">
      <c r="A973" s="38" t="s">
        <v>4344</v>
      </c>
      <c r="B973" s="20">
        <v>60000</v>
      </c>
      <c r="C973" s="20">
        <f t="shared" si="234"/>
        <v>750</v>
      </c>
      <c r="D973" s="27">
        <v>45218</v>
      </c>
      <c r="E973" s="16" t="s">
        <v>4023</v>
      </c>
      <c r="F973" s="16" t="s">
        <v>12</v>
      </c>
    </row>
    <row r="974" spans="1:9">
      <c r="A974" s="38" t="s">
        <v>4345</v>
      </c>
      <c r="B974" s="20">
        <v>100000</v>
      </c>
      <c r="C974" s="20">
        <f t="shared" ref="C974:C980" si="235">0.0175*B974</f>
        <v>1750.0000000000002</v>
      </c>
      <c r="D974" s="27">
        <v>45218</v>
      </c>
      <c r="E974" s="16" t="s">
        <v>11</v>
      </c>
      <c r="F974" s="16" t="s">
        <v>28</v>
      </c>
      <c r="I974" s="21" t="s">
        <v>30</v>
      </c>
    </row>
    <row r="975" spans="1:9">
      <c r="A975" s="16" t="s">
        <v>4346</v>
      </c>
      <c r="B975" s="33">
        <v>85000</v>
      </c>
      <c r="C975" s="20">
        <f t="shared" si="235"/>
        <v>1487.5000000000002</v>
      </c>
      <c r="D975" s="27">
        <v>45218</v>
      </c>
      <c r="E975" s="16" t="s">
        <v>11</v>
      </c>
      <c r="F975" s="16" t="s">
        <v>28</v>
      </c>
      <c r="I975" s="21" t="s">
        <v>30</v>
      </c>
    </row>
    <row r="976" spans="1:9">
      <c r="A976" s="16" t="s">
        <v>4347</v>
      </c>
      <c r="B976" s="33">
        <v>205500</v>
      </c>
      <c r="C976" s="20">
        <f t="shared" si="235"/>
        <v>3596.2500000000005</v>
      </c>
      <c r="D976" s="27">
        <v>45218</v>
      </c>
      <c r="E976" s="16" t="s">
        <v>4152</v>
      </c>
      <c r="F976" s="16" t="s">
        <v>28</v>
      </c>
      <c r="H976" s="16" t="s">
        <v>2179</v>
      </c>
      <c r="I976" s="21" t="s">
        <v>30</v>
      </c>
    </row>
    <row r="977" spans="1:9">
      <c r="A977" s="16" t="s">
        <v>4348</v>
      </c>
      <c r="B977" s="33">
        <v>150000</v>
      </c>
      <c r="C977" s="20">
        <f t="shared" si="235"/>
        <v>2625.0000000000005</v>
      </c>
      <c r="D977" s="27">
        <v>45218</v>
      </c>
      <c r="E977" s="16" t="s">
        <v>772</v>
      </c>
      <c r="F977" s="16" t="s">
        <v>28</v>
      </c>
      <c r="I977" s="21" t="s">
        <v>30</v>
      </c>
    </row>
    <row r="978" spans="1:9">
      <c r="A978" s="16" t="s">
        <v>4349</v>
      </c>
      <c r="B978" s="33">
        <v>300000</v>
      </c>
      <c r="C978" s="20">
        <f t="shared" si="235"/>
        <v>5250.0000000000009</v>
      </c>
      <c r="D978" s="27">
        <v>45219</v>
      </c>
      <c r="E978" s="16" t="s">
        <v>11</v>
      </c>
      <c r="F978" s="16" t="s">
        <v>28</v>
      </c>
    </row>
    <row r="979" spans="1:9">
      <c r="A979" s="16" t="s">
        <v>4350</v>
      </c>
      <c r="B979" s="33">
        <v>2000000</v>
      </c>
      <c r="C979" s="20">
        <f t="shared" si="235"/>
        <v>35000</v>
      </c>
      <c r="D979" s="27">
        <v>45219</v>
      </c>
      <c r="E979" s="16" t="s">
        <v>11</v>
      </c>
      <c r="F979" s="16" t="s">
        <v>28</v>
      </c>
      <c r="I979" s="21" t="s">
        <v>30</v>
      </c>
    </row>
    <row r="980" spans="1:9">
      <c r="A980" s="16" t="s">
        <v>4351</v>
      </c>
      <c r="B980" s="33">
        <v>225000</v>
      </c>
      <c r="C980" s="20">
        <f t="shared" si="235"/>
        <v>3937.5000000000005</v>
      </c>
      <c r="D980" s="27">
        <v>45222</v>
      </c>
      <c r="E980" s="16" t="s">
        <v>21</v>
      </c>
      <c r="F980" s="16" t="s">
        <v>28</v>
      </c>
      <c r="I980" s="21" t="s">
        <v>30</v>
      </c>
    </row>
    <row r="981" spans="1:9">
      <c r="A981" s="16" t="s">
        <v>4352</v>
      </c>
      <c r="B981" s="33">
        <v>30000</v>
      </c>
      <c r="C981" s="20">
        <f>0.0125*B981</f>
        <v>375</v>
      </c>
      <c r="D981" s="27">
        <v>45222</v>
      </c>
      <c r="E981" s="16" t="s">
        <v>4152</v>
      </c>
      <c r="F981" s="16" t="s">
        <v>12</v>
      </c>
      <c r="H981" s="16" t="s">
        <v>2126</v>
      </c>
    </row>
    <row r="982" spans="1:9">
      <c r="A982" s="16" t="s">
        <v>4353</v>
      </c>
      <c r="B982" s="33">
        <v>50000</v>
      </c>
      <c r="C982" s="20">
        <f>0.0175*B982</f>
        <v>875.00000000000011</v>
      </c>
      <c r="D982" s="27">
        <v>45222</v>
      </c>
      <c r="E982" s="16" t="s">
        <v>4329</v>
      </c>
      <c r="F982" s="16" t="s">
        <v>28</v>
      </c>
      <c r="H982" s="16" t="s">
        <v>13</v>
      </c>
      <c r="I982" s="21" t="s">
        <v>30</v>
      </c>
    </row>
    <row r="983" spans="1:9">
      <c r="A983" s="16" t="s">
        <v>4354</v>
      </c>
      <c r="B983" s="33">
        <v>140000</v>
      </c>
      <c r="C983" s="20">
        <f t="shared" ref="C983:C984" si="236">0.0125*B983</f>
        <v>1750</v>
      </c>
      <c r="D983" s="27">
        <v>45223</v>
      </c>
      <c r="E983" s="16" t="s">
        <v>11</v>
      </c>
      <c r="F983" s="16" t="s">
        <v>12</v>
      </c>
    </row>
    <row r="984" spans="1:9">
      <c r="A984" s="16" t="s">
        <v>4355</v>
      </c>
      <c r="B984" s="33">
        <v>300000</v>
      </c>
      <c r="C984" s="20">
        <f t="shared" si="236"/>
        <v>3750</v>
      </c>
      <c r="D984" s="27">
        <v>45223</v>
      </c>
      <c r="E984" s="16" t="s">
        <v>4104</v>
      </c>
      <c r="F984" s="16" t="s">
        <v>12</v>
      </c>
      <c r="H984" s="16" t="s">
        <v>22</v>
      </c>
    </row>
    <row r="985" spans="1:9">
      <c r="A985" s="16" t="s">
        <v>4356</v>
      </c>
      <c r="B985" s="33">
        <v>35000</v>
      </c>
      <c r="C985" s="20">
        <f t="shared" ref="C985:C986" si="237">0.0175*B985</f>
        <v>612.50000000000011</v>
      </c>
      <c r="D985" s="27">
        <v>45224</v>
      </c>
      <c r="E985" s="16" t="s">
        <v>4152</v>
      </c>
      <c r="F985" s="16" t="s">
        <v>28</v>
      </c>
      <c r="H985" s="16" t="s">
        <v>2143</v>
      </c>
      <c r="I985" s="21" t="s">
        <v>30</v>
      </c>
    </row>
    <row r="986" spans="1:9">
      <c r="A986" s="16" t="s">
        <v>4357</v>
      </c>
      <c r="B986" s="33">
        <v>100000</v>
      </c>
      <c r="C986" s="20">
        <f t="shared" si="237"/>
        <v>1750.0000000000002</v>
      </c>
      <c r="D986" s="27">
        <v>45224</v>
      </c>
      <c r="E986" s="16" t="s">
        <v>4023</v>
      </c>
      <c r="F986" s="16" t="s">
        <v>28</v>
      </c>
      <c r="I986" s="21" t="s">
        <v>30</v>
      </c>
    </row>
    <row r="987" spans="1:9">
      <c r="A987" s="16" t="s">
        <v>3800</v>
      </c>
      <c r="B987" s="33">
        <v>80000</v>
      </c>
      <c r="C987" s="33">
        <f>0.0125*B987</f>
        <v>1000</v>
      </c>
      <c r="D987" s="27">
        <v>45224</v>
      </c>
      <c r="E987" s="16" t="s">
        <v>11</v>
      </c>
      <c r="F987" s="16" t="s">
        <v>12</v>
      </c>
    </row>
    <row r="988" spans="1:9">
      <c r="A988" s="16" t="s">
        <v>4358</v>
      </c>
      <c r="B988" s="33">
        <v>60000</v>
      </c>
      <c r="C988" s="33">
        <f t="shared" ref="C988:C991" si="238">0.0175*B988</f>
        <v>1050</v>
      </c>
      <c r="D988" s="27">
        <v>45224</v>
      </c>
      <c r="E988" s="16" t="s">
        <v>11</v>
      </c>
      <c r="F988" s="16" t="s">
        <v>28</v>
      </c>
      <c r="I988" s="21" t="s">
        <v>30</v>
      </c>
    </row>
    <row r="989" spans="1:9">
      <c r="A989" s="16" t="s">
        <v>4359</v>
      </c>
      <c r="B989" s="33">
        <v>150000</v>
      </c>
      <c r="C989" s="33">
        <f t="shared" si="238"/>
        <v>2625.0000000000005</v>
      </c>
      <c r="D989" s="27">
        <v>45224</v>
      </c>
      <c r="E989" s="16" t="s">
        <v>4023</v>
      </c>
      <c r="F989" s="16" t="s">
        <v>28</v>
      </c>
      <c r="I989" s="21" t="s">
        <v>30</v>
      </c>
    </row>
    <row r="990" spans="1:9">
      <c r="A990" s="16" t="s">
        <v>4360</v>
      </c>
      <c r="B990" s="33">
        <v>40000</v>
      </c>
      <c r="C990" s="33">
        <f t="shared" si="238"/>
        <v>700.00000000000011</v>
      </c>
      <c r="D990" s="27">
        <v>45224</v>
      </c>
      <c r="E990" s="16" t="s">
        <v>24</v>
      </c>
      <c r="F990" s="16" t="s">
        <v>28</v>
      </c>
      <c r="H990" s="16" t="s">
        <v>2318</v>
      </c>
      <c r="I990" s="21" t="s">
        <v>30</v>
      </c>
    </row>
    <row r="991" spans="1:9">
      <c r="A991" s="16" t="s">
        <v>4361</v>
      </c>
      <c r="B991" s="33">
        <v>100000</v>
      </c>
      <c r="C991" s="33">
        <f t="shared" si="238"/>
        <v>1750.0000000000002</v>
      </c>
      <c r="D991" s="27">
        <v>45224</v>
      </c>
      <c r="E991" s="16" t="s">
        <v>4329</v>
      </c>
      <c r="F991" s="16" t="s">
        <v>28</v>
      </c>
      <c r="H991" s="16" t="s">
        <v>13</v>
      </c>
      <c r="I991" s="21" t="s">
        <v>30</v>
      </c>
    </row>
    <row r="992" spans="1:9">
      <c r="A992" s="16" t="s">
        <v>2117</v>
      </c>
      <c r="B992" s="20">
        <v>20000</v>
      </c>
      <c r="C992" s="33">
        <f t="shared" ref="C992:C996" si="239">0.0125*B992</f>
        <v>250</v>
      </c>
      <c r="D992" s="27">
        <v>45224</v>
      </c>
      <c r="E992" s="16" t="s">
        <v>11</v>
      </c>
      <c r="F992" s="16" t="s">
        <v>12</v>
      </c>
    </row>
    <row r="993" spans="1:9">
      <c r="A993" s="16" t="s">
        <v>2770</v>
      </c>
      <c r="B993" s="20">
        <v>31500</v>
      </c>
      <c r="C993" s="33">
        <f t="shared" si="239"/>
        <v>393.75</v>
      </c>
      <c r="D993" s="27">
        <v>45224</v>
      </c>
      <c r="E993" s="16" t="s">
        <v>11</v>
      </c>
      <c r="F993" s="16" t="s">
        <v>12</v>
      </c>
    </row>
    <row r="994" spans="1:9">
      <c r="A994" s="16" t="s">
        <v>81</v>
      </c>
      <c r="B994" s="20">
        <v>50000</v>
      </c>
      <c r="C994" s="33">
        <f t="shared" si="239"/>
        <v>625</v>
      </c>
      <c r="D994" s="27">
        <v>45224</v>
      </c>
      <c r="E994" s="16" t="s">
        <v>11</v>
      </c>
      <c r="F994" s="16" t="s">
        <v>12</v>
      </c>
    </row>
    <row r="995" spans="1:9">
      <c r="A995" s="16" t="s">
        <v>4362</v>
      </c>
      <c r="B995" s="20">
        <v>55000</v>
      </c>
      <c r="C995" s="33">
        <f t="shared" si="239"/>
        <v>687.5</v>
      </c>
      <c r="D995" s="27">
        <v>45224</v>
      </c>
      <c r="E995" s="16" t="s">
        <v>11</v>
      </c>
      <c r="F995" s="16" t="s">
        <v>12</v>
      </c>
    </row>
    <row r="996" spans="1:9">
      <c r="A996" s="16" t="s">
        <v>4363</v>
      </c>
      <c r="B996" s="20">
        <v>125000</v>
      </c>
      <c r="C996" s="33">
        <f t="shared" si="239"/>
        <v>1562.5</v>
      </c>
      <c r="D996" s="27">
        <v>45224</v>
      </c>
      <c r="E996" s="16" t="s">
        <v>11</v>
      </c>
      <c r="F996" s="16" t="s">
        <v>12</v>
      </c>
    </row>
    <row r="997" spans="1:9">
      <c r="A997" s="16" t="s">
        <v>4364</v>
      </c>
      <c r="B997" s="33">
        <v>35000</v>
      </c>
      <c r="C997" s="33">
        <f>0.0175*B997</f>
        <v>612.50000000000011</v>
      </c>
      <c r="D997" s="27">
        <v>45225</v>
      </c>
      <c r="E997" s="16" t="s">
        <v>4152</v>
      </c>
      <c r="F997" s="16" t="s">
        <v>28</v>
      </c>
      <c r="H997" s="16" t="s">
        <v>2265</v>
      </c>
      <c r="I997" s="21" t="s">
        <v>30</v>
      </c>
    </row>
    <row r="998" spans="1:9">
      <c r="A998" s="16" t="s">
        <v>3767</v>
      </c>
      <c r="B998" s="33">
        <v>10000</v>
      </c>
      <c r="C998" s="33">
        <f>0.0125*B998</f>
        <v>125</v>
      </c>
      <c r="D998" s="27">
        <v>45225</v>
      </c>
      <c r="E998" s="16" t="s">
        <v>11</v>
      </c>
      <c r="F998" s="16" t="s">
        <v>12</v>
      </c>
    </row>
    <row r="999" spans="1:9">
      <c r="A999" s="16" t="s">
        <v>4365</v>
      </c>
      <c r="B999" s="33">
        <v>40000</v>
      </c>
      <c r="C999" s="33">
        <f t="shared" ref="C999:C1000" si="240">0.0175*B999</f>
        <v>700.00000000000011</v>
      </c>
      <c r="D999" s="27">
        <v>45226</v>
      </c>
      <c r="E999" s="16" t="s">
        <v>4152</v>
      </c>
      <c r="F999" s="16" t="s">
        <v>28</v>
      </c>
      <c r="H999" s="16" t="s">
        <v>2126</v>
      </c>
      <c r="I999" s="21" t="s">
        <v>30</v>
      </c>
    </row>
    <row r="1000" spans="1:9">
      <c r="A1000" s="16" t="s">
        <v>4353</v>
      </c>
      <c r="B1000" s="33">
        <v>50000</v>
      </c>
      <c r="C1000" s="33">
        <f t="shared" si="240"/>
        <v>875.00000000000011</v>
      </c>
      <c r="D1000" s="27">
        <v>45226</v>
      </c>
      <c r="E1000" s="16" t="s">
        <v>4329</v>
      </c>
      <c r="F1000" s="16" t="s">
        <v>4366</v>
      </c>
      <c r="H1000" s="16" t="s">
        <v>13</v>
      </c>
      <c r="I1000" s="21" t="s">
        <v>30</v>
      </c>
    </row>
    <row r="1001" spans="1:9">
      <c r="A1001" s="16" t="s">
        <v>845</v>
      </c>
      <c r="B1001" s="20">
        <v>115000</v>
      </c>
      <c r="C1001" s="20">
        <f>0.0125*B1001</f>
        <v>1437.5</v>
      </c>
      <c r="D1001" s="27">
        <v>45226</v>
      </c>
      <c r="E1001" s="16" t="s">
        <v>165</v>
      </c>
      <c r="F1001" s="16" t="s">
        <v>12</v>
      </c>
    </row>
    <row r="1002" spans="1:9">
      <c r="A1002" s="16" t="s">
        <v>4367</v>
      </c>
      <c r="B1002" s="20">
        <v>15000</v>
      </c>
      <c r="C1002" s="20">
        <f t="shared" ref="C1002:C1003" si="241">0.0175*B1002</f>
        <v>262.5</v>
      </c>
      <c r="D1002" s="27">
        <v>45226</v>
      </c>
      <c r="E1002" s="16" t="s">
        <v>4152</v>
      </c>
      <c r="F1002" s="16" t="s">
        <v>28</v>
      </c>
      <c r="H1002" s="16" t="s">
        <v>2116</v>
      </c>
      <c r="I1002" s="21" t="s">
        <v>30</v>
      </c>
    </row>
    <row r="1003" spans="1:9">
      <c r="A1003" s="16" t="s">
        <v>4368</v>
      </c>
      <c r="B1003" s="20">
        <v>75000</v>
      </c>
      <c r="C1003" s="20">
        <f t="shared" si="241"/>
        <v>1312.5000000000002</v>
      </c>
      <c r="D1003" s="27">
        <v>45226</v>
      </c>
      <c r="E1003" s="16" t="s">
        <v>24</v>
      </c>
      <c r="F1003" s="16" t="s">
        <v>28</v>
      </c>
      <c r="H1003" s="16" t="s">
        <v>2318</v>
      </c>
      <c r="I1003" s="21" t="s">
        <v>30</v>
      </c>
    </row>
    <row r="1004" spans="1:9">
      <c r="A1004" s="16" t="s">
        <v>465</v>
      </c>
      <c r="B1004" s="20">
        <v>57000</v>
      </c>
      <c r="C1004" s="20">
        <f>0.0125*B1004</f>
        <v>712.5</v>
      </c>
      <c r="D1004" s="27">
        <v>45229</v>
      </c>
      <c r="E1004" s="16" t="s">
        <v>4369</v>
      </c>
      <c r="F1004" s="16" t="s">
        <v>12</v>
      </c>
      <c r="H1004" s="16" t="s">
        <v>3924</v>
      </c>
    </row>
    <row r="1005" spans="1:9">
      <c r="A1005" s="16" t="s">
        <v>4370</v>
      </c>
      <c r="B1005" s="20">
        <v>400000</v>
      </c>
      <c r="C1005" s="20">
        <f t="shared" ref="C1005:C1008" si="242">0.0175*B1005</f>
        <v>7000.0000000000009</v>
      </c>
      <c r="D1005" s="27">
        <v>45229</v>
      </c>
      <c r="E1005" s="16" t="s">
        <v>24</v>
      </c>
      <c r="F1005" s="16" t="s">
        <v>28</v>
      </c>
      <c r="H1005" s="16" t="s">
        <v>2318</v>
      </c>
      <c r="I1005" s="21" t="s">
        <v>30</v>
      </c>
    </row>
    <row r="1006" spans="1:9">
      <c r="A1006" s="16" t="s">
        <v>4371</v>
      </c>
      <c r="B1006" s="20">
        <v>35000</v>
      </c>
      <c r="C1006" s="20">
        <f t="shared" si="242"/>
        <v>612.50000000000011</v>
      </c>
      <c r="D1006" s="27">
        <v>45229</v>
      </c>
      <c r="E1006" s="16" t="s">
        <v>4152</v>
      </c>
      <c r="F1006" s="16" t="s">
        <v>28</v>
      </c>
      <c r="H1006" s="16" t="s">
        <v>2143</v>
      </c>
      <c r="I1006" s="21" t="s">
        <v>30</v>
      </c>
    </row>
    <row r="1007" spans="1:9">
      <c r="A1007" s="16" t="s">
        <v>4372</v>
      </c>
      <c r="B1007" s="20">
        <v>150000</v>
      </c>
      <c r="C1007" s="20">
        <f t="shared" si="242"/>
        <v>2625.0000000000005</v>
      </c>
      <c r="D1007" s="27">
        <v>45229</v>
      </c>
      <c r="E1007" s="16" t="s">
        <v>24</v>
      </c>
      <c r="F1007" s="16" t="s">
        <v>28</v>
      </c>
      <c r="H1007" s="16" t="s">
        <v>2318</v>
      </c>
      <c r="I1007" s="21" t="s">
        <v>30</v>
      </c>
    </row>
    <row r="1008" spans="1:9">
      <c r="A1008" s="16" t="s">
        <v>4373</v>
      </c>
      <c r="B1008" s="20">
        <v>90000</v>
      </c>
      <c r="C1008" s="20">
        <f t="shared" si="242"/>
        <v>1575.0000000000002</v>
      </c>
      <c r="D1008" s="27">
        <v>45229</v>
      </c>
      <c r="E1008" s="16" t="s">
        <v>24</v>
      </c>
      <c r="F1008" s="16" t="s">
        <v>28</v>
      </c>
      <c r="H1008" s="16" t="s">
        <v>2318</v>
      </c>
      <c r="I1008" s="21" t="s">
        <v>30</v>
      </c>
    </row>
    <row r="1009" spans="1:9">
      <c r="A1009" s="16" t="s">
        <v>4374</v>
      </c>
      <c r="B1009" s="20">
        <v>300000</v>
      </c>
      <c r="C1009" s="20">
        <f>0.0125*B1009</f>
        <v>3750</v>
      </c>
      <c r="D1009" s="27">
        <v>45229</v>
      </c>
      <c r="E1009" s="16" t="s">
        <v>73</v>
      </c>
      <c r="F1009" s="16" t="s">
        <v>12</v>
      </c>
    </row>
    <row r="1010" spans="1:9">
      <c r="A1010" s="16" t="s">
        <v>4375</v>
      </c>
      <c r="B1010" s="20">
        <v>200000</v>
      </c>
      <c r="C1010" s="20">
        <f t="shared" ref="C1010:C1011" si="243">0.0175*B1010</f>
        <v>3500.0000000000005</v>
      </c>
      <c r="D1010" s="27">
        <v>45230</v>
      </c>
      <c r="E1010" s="16" t="s">
        <v>4152</v>
      </c>
      <c r="F1010" s="16" t="s">
        <v>28</v>
      </c>
      <c r="H1010" s="16" t="s">
        <v>2265</v>
      </c>
      <c r="I1010" s="21" t="s">
        <v>30</v>
      </c>
    </row>
    <row r="1011" spans="1:9">
      <c r="A1011" s="16" t="s">
        <v>4376</v>
      </c>
      <c r="B1011" s="20">
        <v>100000</v>
      </c>
      <c r="C1011" s="20">
        <f t="shared" si="243"/>
        <v>1750.0000000000002</v>
      </c>
      <c r="D1011" s="27">
        <v>45230</v>
      </c>
      <c r="E1011" s="16" t="s">
        <v>69</v>
      </c>
      <c r="F1011" s="16" t="s">
        <v>28</v>
      </c>
      <c r="H1011" s="16" t="s">
        <v>13</v>
      </c>
      <c r="I1011" s="21" t="s">
        <v>30</v>
      </c>
    </row>
    <row r="1012" spans="1:9">
      <c r="A1012" s="16" t="s">
        <v>3977</v>
      </c>
      <c r="B1012" s="20">
        <v>40000</v>
      </c>
      <c r="C1012" s="20">
        <f t="shared" ref="C1012:C1014" si="244">0.0125*B1012</f>
        <v>500</v>
      </c>
      <c r="D1012" s="27">
        <v>45230</v>
      </c>
      <c r="E1012" s="16" t="s">
        <v>11</v>
      </c>
      <c r="F1012" s="16" t="s">
        <v>12</v>
      </c>
    </row>
    <row r="1013" spans="1:9">
      <c r="A1013" s="16" t="s">
        <v>2299</v>
      </c>
      <c r="B1013" s="33">
        <v>75000</v>
      </c>
      <c r="C1013" s="33">
        <f t="shared" si="244"/>
        <v>937.5</v>
      </c>
      <c r="D1013" s="27">
        <v>45230</v>
      </c>
      <c r="E1013" s="16" t="s">
        <v>11</v>
      </c>
      <c r="F1013" s="16" t="s">
        <v>12</v>
      </c>
    </row>
    <row r="1014" spans="1:9">
      <c r="A1014" s="16" t="s">
        <v>2492</v>
      </c>
      <c r="B1014" s="33">
        <v>550000</v>
      </c>
      <c r="C1014" s="33">
        <f t="shared" si="244"/>
        <v>6875</v>
      </c>
      <c r="D1014" s="27">
        <v>45230</v>
      </c>
      <c r="E1014" s="16" t="s">
        <v>11</v>
      </c>
      <c r="F1014" s="16" t="s">
        <v>12</v>
      </c>
    </row>
    <row r="1015" spans="1:9">
      <c r="A1015" s="16" t="s">
        <v>4377</v>
      </c>
      <c r="B1015" s="33">
        <v>100000</v>
      </c>
      <c r="C1015" s="33">
        <f t="shared" ref="C1015:C1016" si="245">0.0175*B1015</f>
        <v>1750.0000000000002</v>
      </c>
      <c r="D1015" s="27">
        <v>45230</v>
      </c>
      <c r="E1015" s="16" t="s">
        <v>4378</v>
      </c>
      <c r="F1015" s="16" t="s">
        <v>28</v>
      </c>
      <c r="H1015" s="16" t="s">
        <v>2126</v>
      </c>
      <c r="I1015" s="21" t="s">
        <v>30</v>
      </c>
    </row>
    <row r="1016" spans="1:9">
      <c r="A1016" s="16" t="s">
        <v>4379</v>
      </c>
      <c r="B1016" s="33">
        <v>80000</v>
      </c>
      <c r="C1016" s="33">
        <f t="shared" si="245"/>
        <v>1400.0000000000002</v>
      </c>
      <c r="D1016" s="27">
        <v>45230</v>
      </c>
      <c r="E1016" s="16" t="s">
        <v>4380</v>
      </c>
      <c r="F1016" s="16" t="s">
        <v>28</v>
      </c>
      <c r="I1016" s="21" t="s">
        <v>30</v>
      </c>
    </row>
    <row r="1017" spans="1:9">
      <c r="A1017" s="16" t="s">
        <v>4114</v>
      </c>
      <c r="B1017" s="33">
        <v>97500</v>
      </c>
      <c r="C1017" s="33">
        <f>0.0125*B1017</f>
        <v>1218.75</v>
      </c>
      <c r="D1017" s="27">
        <v>45230</v>
      </c>
      <c r="E1017" s="16" t="s">
        <v>11</v>
      </c>
      <c r="F1017" s="16" t="s">
        <v>12</v>
      </c>
    </row>
    <row r="1018" spans="1:9">
      <c r="A1018" s="16" t="s">
        <v>4381</v>
      </c>
      <c r="B1018" s="33">
        <v>15000</v>
      </c>
      <c r="C1018" s="33">
        <f>0.0175*B1018</f>
        <v>262.5</v>
      </c>
      <c r="D1018" s="27">
        <v>45230</v>
      </c>
      <c r="E1018" s="16" t="s">
        <v>11</v>
      </c>
      <c r="F1018" s="16" t="s">
        <v>28</v>
      </c>
    </row>
    <row r="1019" spans="1:9">
      <c r="A1019" s="16" t="s">
        <v>4382</v>
      </c>
      <c r="B1019" s="33">
        <v>295000</v>
      </c>
      <c r="C1019" s="33">
        <f>0.0125*B1019</f>
        <v>3687.5</v>
      </c>
      <c r="D1019" s="27">
        <v>45230</v>
      </c>
      <c r="E1019" s="16" t="s">
        <v>24</v>
      </c>
      <c r="F1019" s="16" t="s">
        <v>12</v>
      </c>
    </row>
    <row r="1020" spans="1:9">
      <c r="A1020" s="11">
        <v>45231</v>
      </c>
      <c r="B1020" s="9">
        <f t="shared" ref="B1020:C1020" si="246">SUM(B1021:B1119)</f>
        <v>14953000</v>
      </c>
      <c r="C1020" s="9">
        <f t="shared" si="246"/>
        <v>231740</v>
      </c>
      <c r="D1020" s="59"/>
      <c r="E1020" s="59"/>
      <c r="F1020" s="59"/>
      <c r="G1020" s="59"/>
    </row>
    <row r="1021" spans="1:9">
      <c r="A1021" s="16" t="s">
        <v>4383</v>
      </c>
      <c r="B1021" s="33">
        <v>275000</v>
      </c>
      <c r="C1021" s="33">
        <f>0.0175*B1021</f>
        <v>4812.5000000000009</v>
      </c>
      <c r="D1021" s="27">
        <v>45231</v>
      </c>
      <c r="E1021" s="16" t="s">
        <v>4023</v>
      </c>
      <c r="F1021" s="16" t="s">
        <v>28</v>
      </c>
      <c r="I1021" s="21" t="s">
        <v>30</v>
      </c>
    </row>
    <row r="1022" spans="1:9">
      <c r="A1022" s="16" t="s">
        <v>838</v>
      </c>
      <c r="B1022" s="33">
        <v>385000</v>
      </c>
      <c r="C1022" s="33">
        <f>0.0125*B1022</f>
        <v>4812.5</v>
      </c>
      <c r="D1022" s="27">
        <v>45231</v>
      </c>
      <c r="E1022" s="16" t="s">
        <v>11</v>
      </c>
      <c r="F1022" s="16" t="s">
        <v>12</v>
      </c>
    </row>
    <row r="1023" spans="1:9">
      <c r="A1023" s="16" t="s">
        <v>4384</v>
      </c>
      <c r="B1023" s="33">
        <v>250000</v>
      </c>
      <c r="C1023" s="63">
        <f t="shared" ref="C1023:C1024" si="247">0.0175*B1023</f>
        <v>4375</v>
      </c>
      <c r="D1023" s="27">
        <v>45232</v>
      </c>
      <c r="E1023" s="16" t="s">
        <v>3563</v>
      </c>
      <c r="F1023" s="16" t="s">
        <v>28</v>
      </c>
      <c r="H1023" s="21" t="s">
        <v>4385</v>
      </c>
      <c r="I1023" s="21" t="s">
        <v>30</v>
      </c>
    </row>
    <row r="1024" spans="1:9">
      <c r="A1024" s="16" t="s">
        <v>4386</v>
      </c>
      <c r="B1024" s="33">
        <v>150000</v>
      </c>
      <c r="C1024" s="33">
        <f t="shared" si="247"/>
        <v>2625.0000000000005</v>
      </c>
      <c r="D1024" s="27">
        <v>45232</v>
      </c>
      <c r="E1024" s="16" t="s">
        <v>11</v>
      </c>
      <c r="F1024" s="16" t="s">
        <v>12</v>
      </c>
    </row>
    <row r="1025" spans="1:15">
      <c r="A1025" s="16" t="s">
        <v>2863</v>
      </c>
      <c r="B1025" s="20">
        <v>200000</v>
      </c>
      <c r="C1025" s="20">
        <f>0.0125*B1025</f>
        <v>2500</v>
      </c>
      <c r="D1025" s="27">
        <v>45232</v>
      </c>
      <c r="E1025" s="16" t="s">
        <v>11</v>
      </c>
      <c r="F1025" s="16" t="s">
        <v>12</v>
      </c>
    </row>
    <row r="1026" spans="1:15">
      <c r="A1026" s="16" t="s">
        <v>4387</v>
      </c>
      <c r="B1026" s="20">
        <v>200000</v>
      </c>
      <c r="C1026" s="20">
        <f t="shared" ref="C1026:C1031" si="248">0.0175*B1026</f>
        <v>3500.0000000000005</v>
      </c>
      <c r="D1026" s="27">
        <v>45232</v>
      </c>
      <c r="E1026" s="16" t="s">
        <v>11</v>
      </c>
      <c r="F1026" s="16" t="s">
        <v>28</v>
      </c>
      <c r="I1026" s="21" t="s">
        <v>30</v>
      </c>
    </row>
    <row r="1027" spans="1:15">
      <c r="A1027" s="16" t="s">
        <v>4388</v>
      </c>
      <c r="B1027" s="20">
        <v>250000</v>
      </c>
      <c r="C1027" s="20">
        <f t="shared" si="248"/>
        <v>4375</v>
      </c>
      <c r="D1027" s="27">
        <v>45233</v>
      </c>
      <c r="E1027" s="16" t="s">
        <v>24</v>
      </c>
      <c r="F1027" s="16" t="s">
        <v>28</v>
      </c>
      <c r="H1027" s="16" t="s">
        <v>2110</v>
      </c>
      <c r="I1027" s="21" t="s">
        <v>30</v>
      </c>
    </row>
    <row r="1028" spans="1:15">
      <c r="A1028" s="16" t="s">
        <v>4389</v>
      </c>
      <c r="B1028" s="20">
        <v>60000</v>
      </c>
      <c r="C1028" s="20">
        <f t="shared" si="248"/>
        <v>1050</v>
      </c>
      <c r="D1028" s="27">
        <v>45233</v>
      </c>
      <c r="E1028" s="16" t="s">
        <v>4023</v>
      </c>
      <c r="F1028" s="16" t="s">
        <v>28</v>
      </c>
      <c r="I1028" s="21" t="s">
        <v>30</v>
      </c>
    </row>
    <row r="1029" spans="1:15">
      <c r="A1029" s="16" t="s">
        <v>4390</v>
      </c>
      <c r="B1029" s="20">
        <v>200000</v>
      </c>
      <c r="C1029" s="20">
        <f t="shared" si="248"/>
        <v>3500.0000000000005</v>
      </c>
      <c r="D1029" s="27">
        <v>45233</v>
      </c>
      <c r="E1029" s="16" t="s">
        <v>3745</v>
      </c>
      <c r="F1029" s="16" t="s">
        <v>28</v>
      </c>
      <c r="I1029" s="21" t="s">
        <v>30</v>
      </c>
    </row>
    <row r="1030" spans="1:15">
      <c r="A1030" s="16" t="s">
        <v>4391</v>
      </c>
      <c r="B1030" s="20">
        <v>20000</v>
      </c>
      <c r="C1030" s="20">
        <f t="shared" si="248"/>
        <v>350.00000000000006</v>
      </c>
      <c r="D1030" s="27">
        <v>45233</v>
      </c>
      <c r="E1030" s="16" t="s">
        <v>4152</v>
      </c>
      <c r="F1030" s="16" t="s">
        <v>28</v>
      </c>
      <c r="H1030" s="16" t="s">
        <v>2179</v>
      </c>
      <c r="I1030" s="21" t="s">
        <v>30</v>
      </c>
    </row>
    <row r="1031" spans="1:15">
      <c r="A1031" s="16" t="s">
        <v>4392</v>
      </c>
      <c r="B1031" s="20">
        <v>200000</v>
      </c>
      <c r="C1031" s="20">
        <f t="shared" si="248"/>
        <v>3500.0000000000005</v>
      </c>
      <c r="D1031" s="27">
        <v>45233</v>
      </c>
      <c r="E1031" s="16" t="s">
        <v>4023</v>
      </c>
      <c r="F1031" s="16" t="s">
        <v>4393</v>
      </c>
      <c r="H1031" s="16" t="s">
        <v>4394</v>
      </c>
      <c r="I1031" s="21" t="s">
        <v>30</v>
      </c>
      <c r="N1031" s="20"/>
      <c r="O1031" s="20"/>
    </row>
    <row r="1032" spans="1:15">
      <c r="A1032" s="16" t="s">
        <v>2670</v>
      </c>
      <c r="B1032" s="20">
        <v>400000</v>
      </c>
      <c r="C1032" s="20">
        <f t="shared" ref="C1032:C1033" si="249">0.0125*B1032</f>
        <v>5000</v>
      </c>
      <c r="D1032" s="27">
        <v>45236</v>
      </c>
      <c r="E1032" s="16" t="s">
        <v>2130</v>
      </c>
      <c r="F1032" s="16" t="s">
        <v>12</v>
      </c>
      <c r="N1032" s="20"/>
      <c r="O1032" s="20"/>
    </row>
    <row r="1033" spans="1:15">
      <c r="A1033" s="16" t="s">
        <v>1010</v>
      </c>
      <c r="B1033" s="20">
        <v>430000</v>
      </c>
      <c r="C1033" s="20">
        <f t="shared" si="249"/>
        <v>5375</v>
      </c>
      <c r="D1033" s="27">
        <v>45236</v>
      </c>
      <c r="E1033" s="16" t="s">
        <v>11</v>
      </c>
      <c r="F1033" s="16" t="s">
        <v>12</v>
      </c>
      <c r="N1033" s="20"/>
      <c r="O1033" s="20"/>
    </row>
    <row r="1034" spans="1:15">
      <c r="A1034" s="16" t="s">
        <v>4173</v>
      </c>
      <c r="B1034" s="20">
        <v>55000</v>
      </c>
      <c r="C1034" s="20">
        <f>0.0175*B1034</f>
        <v>962.50000000000011</v>
      </c>
      <c r="D1034" s="27">
        <v>45236</v>
      </c>
      <c r="E1034" s="16" t="s">
        <v>135</v>
      </c>
      <c r="F1034" s="16" t="s">
        <v>4395</v>
      </c>
      <c r="H1034" s="16" t="s">
        <v>22</v>
      </c>
      <c r="I1034" s="21" t="s">
        <v>30</v>
      </c>
      <c r="N1034" s="20"/>
      <c r="O1034" s="20"/>
    </row>
    <row r="1035" spans="1:15">
      <c r="A1035" s="16" t="s">
        <v>4396</v>
      </c>
      <c r="B1035" s="20">
        <v>100000</v>
      </c>
      <c r="C1035" s="20">
        <f t="shared" ref="C1035:C1036" si="250">0.0125*B1035</f>
        <v>1250</v>
      </c>
      <c r="D1035" s="27">
        <v>45236</v>
      </c>
      <c r="E1035" s="16" t="s">
        <v>73</v>
      </c>
      <c r="F1035" s="16" t="s">
        <v>12</v>
      </c>
      <c r="N1035" s="20"/>
      <c r="O1035" s="20"/>
    </row>
    <row r="1036" spans="1:15">
      <c r="A1036" s="16" t="s">
        <v>4397</v>
      </c>
      <c r="B1036" s="20">
        <v>60000</v>
      </c>
      <c r="C1036" s="20">
        <f t="shared" si="250"/>
        <v>750</v>
      </c>
      <c r="D1036" s="27">
        <v>45236</v>
      </c>
      <c r="E1036" s="16" t="s">
        <v>73</v>
      </c>
      <c r="F1036" s="16" t="s">
        <v>12</v>
      </c>
      <c r="N1036" s="20"/>
      <c r="O1036" s="20"/>
    </row>
    <row r="1037" spans="1:15">
      <c r="A1037" s="16" t="s">
        <v>4398</v>
      </c>
      <c r="B1037" s="20">
        <v>125000</v>
      </c>
      <c r="C1037" s="20">
        <f t="shared" ref="C1037:C1038" si="251">0.0175*B1037</f>
        <v>2187.5</v>
      </c>
      <c r="D1037" s="27">
        <v>45236</v>
      </c>
      <c r="E1037" s="16" t="s">
        <v>11</v>
      </c>
      <c r="F1037" s="16" t="s">
        <v>28</v>
      </c>
      <c r="I1037" s="21" t="s">
        <v>30</v>
      </c>
    </row>
    <row r="1038" spans="1:15">
      <c r="A1038" s="16" t="s">
        <v>4399</v>
      </c>
      <c r="B1038" s="20">
        <v>150000</v>
      </c>
      <c r="C1038" s="20">
        <f t="shared" si="251"/>
        <v>2625.0000000000005</v>
      </c>
      <c r="D1038" s="27">
        <v>45237</v>
      </c>
      <c r="E1038" s="16" t="s">
        <v>11</v>
      </c>
      <c r="F1038" s="16" t="s">
        <v>28</v>
      </c>
      <c r="I1038" s="21" t="s">
        <v>30</v>
      </c>
    </row>
    <row r="1039" spans="1:15">
      <c r="A1039" s="16" t="s">
        <v>4400</v>
      </c>
      <c r="B1039" s="20">
        <v>50000</v>
      </c>
      <c r="C1039" s="20">
        <f t="shared" ref="C1039:C1040" si="252">0.0125*B1039</f>
        <v>625</v>
      </c>
      <c r="D1039" s="27">
        <v>45237</v>
      </c>
      <c r="E1039" s="16" t="s">
        <v>75</v>
      </c>
      <c r="F1039" s="16" t="s">
        <v>12</v>
      </c>
    </row>
    <row r="1040" spans="1:15">
      <c r="A1040" s="16" t="s">
        <v>259</v>
      </c>
      <c r="B1040" s="20">
        <v>250000</v>
      </c>
      <c r="C1040" s="20">
        <f t="shared" si="252"/>
        <v>3125</v>
      </c>
      <c r="D1040" s="27">
        <v>45237</v>
      </c>
      <c r="E1040" s="16" t="s">
        <v>11</v>
      </c>
      <c r="F1040" s="16" t="s">
        <v>12</v>
      </c>
    </row>
    <row r="1041" spans="1:9">
      <c r="A1041" s="16" t="s">
        <v>4401</v>
      </c>
      <c r="B1041" s="20">
        <v>150000</v>
      </c>
      <c r="C1041" s="20">
        <f t="shared" ref="C1041:C1044" si="253">0.0175*B1041</f>
        <v>2625.0000000000005</v>
      </c>
      <c r="D1041" s="27">
        <v>45237</v>
      </c>
      <c r="E1041" s="16" t="s">
        <v>345</v>
      </c>
      <c r="F1041" s="16" t="s">
        <v>28</v>
      </c>
      <c r="H1041" s="16" t="s">
        <v>13</v>
      </c>
      <c r="I1041" s="21" t="s">
        <v>30</v>
      </c>
    </row>
    <row r="1042" spans="1:9">
      <c r="A1042" s="16" t="s">
        <v>4402</v>
      </c>
      <c r="B1042" s="20">
        <v>200000</v>
      </c>
      <c r="C1042" s="20">
        <f t="shared" si="253"/>
        <v>3500.0000000000005</v>
      </c>
      <c r="D1042" s="27">
        <v>45237</v>
      </c>
      <c r="E1042" s="16" t="s">
        <v>24</v>
      </c>
      <c r="F1042" s="16" t="s">
        <v>28</v>
      </c>
      <c r="H1042" s="16" t="s">
        <v>2318</v>
      </c>
      <c r="I1042" s="21" t="s">
        <v>30</v>
      </c>
    </row>
    <row r="1043" spans="1:9">
      <c r="A1043" s="16" t="s">
        <v>4403</v>
      </c>
      <c r="B1043" s="20">
        <v>70000</v>
      </c>
      <c r="C1043" s="20">
        <f t="shared" si="253"/>
        <v>1225.0000000000002</v>
      </c>
      <c r="D1043" s="27">
        <v>45238</v>
      </c>
      <c r="E1043" s="16" t="s">
        <v>4152</v>
      </c>
      <c r="F1043" s="16" t="s">
        <v>28</v>
      </c>
      <c r="H1043" s="16" t="s">
        <v>2143</v>
      </c>
      <c r="I1043" s="21" t="s">
        <v>30</v>
      </c>
    </row>
    <row r="1044" spans="1:9">
      <c r="A1044" s="16" t="s">
        <v>4404</v>
      </c>
      <c r="B1044" s="20">
        <v>150000</v>
      </c>
      <c r="C1044" s="20">
        <f t="shared" si="253"/>
        <v>2625.0000000000005</v>
      </c>
      <c r="D1044" s="27">
        <v>45238</v>
      </c>
      <c r="E1044" s="16" t="s">
        <v>461</v>
      </c>
      <c r="F1044" s="16" t="s">
        <v>28</v>
      </c>
      <c r="I1044" s="21" t="s">
        <v>30</v>
      </c>
    </row>
    <row r="1045" spans="1:9">
      <c r="A1045" s="16" t="s">
        <v>2146</v>
      </c>
      <c r="B1045" s="20">
        <v>170000</v>
      </c>
      <c r="C1045" s="20">
        <f>0.0125*B1045</f>
        <v>2125</v>
      </c>
      <c r="D1045" s="27">
        <v>45238</v>
      </c>
      <c r="E1045" s="16" t="s">
        <v>4023</v>
      </c>
      <c r="F1045" s="16" t="s">
        <v>12</v>
      </c>
    </row>
    <row r="1046" spans="1:9">
      <c r="A1046" s="16" t="s">
        <v>4405</v>
      </c>
      <c r="B1046" s="20">
        <v>35000</v>
      </c>
      <c r="C1046" s="20">
        <f t="shared" ref="C1046:C1050" si="254">0.0175*B1046</f>
        <v>612.50000000000011</v>
      </c>
      <c r="D1046" s="27">
        <v>45239</v>
      </c>
      <c r="E1046" s="16" t="s">
        <v>4152</v>
      </c>
      <c r="F1046" s="16" t="s">
        <v>28</v>
      </c>
      <c r="H1046" s="16" t="s">
        <v>2143</v>
      </c>
      <c r="I1046" s="21" t="s">
        <v>30</v>
      </c>
    </row>
    <row r="1047" spans="1:9">
      <c r="A1047" s="16" t="s">
        <v>4406</v>
      </c>
      <c r="B1047" s="20">
        <v>200000</v>
      </c>
      <c r="C1047" s="20">
        <f t="shared" si="254"/>
        <v>3500.0000000000005</v>
      </c>
      <c r="D1047" s="27">
        <v>45239</v>
      </c>
      <c r="E1047" s="16" t="s">
        <v>11</v>
      </c>
      <c r="F1047" s="16" t="s">
        <v>28</v>
      </c>
      <c r="I1047" s="21" t="s">
        <v>30</v>
      </c>
    </row>
    <row r="1048" spans="1:9">
      <c r="A1048" s="16" t="s">
        <v>4407</v>
      </c>
      <c r="B1048" s="20">
        <v>100000</v>
      </c>
      <c r="C1048" s="20">
        <f t="shared" si="254"/>
        <v>1750.0000000000002</v>
      </c>
      <c r="D1048" s="27">
        <v>45239</v>
      </c>
      <c r="E1048" s="16" t="s">
        <v>4152</v>
      </c>
      <c r="F1048" s="16" t="s">
        <v>28</v>
      </c>
      <c r="H1048" s="16" t="s">
        <v>2253</v>
      </c>
      <c r="I1048" s="21" t="s">
        <v>30</v>
      </c>
    </row>
    <row r="1049" spans="1:9">
      <c r="A1049" s="16" t="s">
        <v>4142</v>
      </c>
      <c r="B1049" s="20">
        <v>750000</v>
      </c>
      <c r="C1049" s="20">
        <f t="shared" si="254"/>
        <v>13125.000000000002</v>
      </c>
      <c r="D1049" s="27">
        <v>45239</v>
      </c>
      <c r="E1049" s="16" t="s">
        <v>11</v>
      </c>
      <c r="F1049" s="16" t="s">
        <v>28</v>
      </c>
      <c r="I1049" s="21" t="s">
        <v>30</v>
      </c>
    </row>
    <row r="1050" spans="1:9">
      <c r="A1050" s="16" t="s">
        <v>2121</v>
      </c>
      <c r="B1050" s="20">
        <v>500000</v>
      </c>
      <c r="C1050" s="20">
        <f t="shared" si="254"/>
        <v>8750</v>
      </c>
      <c r="D1050" s="27">
        <v>45239</v>
      </c>
      <c r="E1050" s="16" t="s">
        <v>4023</v>
      </c>
      <c r="F1050" s="16" t="s">
        <v>28</v>
      </c>
      <c r="I1050" s="21" t="s">
        <v>30</v>
      </c>
    </row>
    <row r="1051" spans="1:9">
      <c r="A1051" s="16" t="s">
        <v>4408</v>
      </c>
      <c r="B1051" s="20">
        <v>32000</v>
      </c>
      <c r="C1051" s="20">
        <f>0.0125*B1051</f>
        <v>400</v>
      </c>
      <c r="D1051" s="27">
        <v>45243</v>
      </c>
      <c r="E1051" s="16" t="s">
        <v>73</v>
      </c>
      <c r="F1051" s="16" t="s">
        <v>12</v>
      </c>
    </row>
    <row r="1052" spans="1:9">
      <c r="A1052" s="16" t="s">
        <v>4409</v>
      </c>
      <c r="B1052" s="20">
        <v>70000</v>
      </c>
      <c r="C1052" s="20">
        <f t="shared" ref="C1052:C1053" si="255">0.0175*B1052</f>
        <v>1225.0000000000002</v>
      </c>
      <c r="D1052" s="27">
        <v>45243</v>
      </c>
      <c r="E1052" s="16" t="s">
        <v>24</v>
      </c>
      <c r="F1052" s="16" t="s">
        <v>28</v>
      </c>
      <c r="H1052" s="16" t="s">
        <v>2318</v>
      </c>
      <c r="I1052" s="21" t="s">
        <v>30</v>
      </c>
    </row>
    <row r="1053" spans="1:9">
      <c r="A1053" s="16" t="s">
        <v>4410</v>
      </c>
      <c r="B1053" s="20">
        <v>187500</v>
      </c>
      <c r="C1053" s="20">
        <f t="shared" si="255"/>
        <v>3281.2500000000005</v>
      </c>
      <c r="D1053" s="27">
        <v>45243</v>
      </c>
      <c r="E1053" s="16" t="s">
        <v>4023</v>
      </c>
      <c r="F1053" s="16" t="s">
        <v>28</v>
      </c>
      <c r="I1053" s="21" t="s">
        <v>30</v>
      </c>
    </row>
    <row r="1054" spans="1:9">
      <c r="A1054" s="16" t="s">
        <v>4411</v>
      </c>
      <c r="B1054" s="20">
        <v>175000</v>
      </c>
      <c r="C1054" s="20">
        <f>0.0125*B1054</f>
        <v>2187.5</v>
      </c>
      <c r="D1054" s="27">
        <v>45243</v>
      </c>
      <c r="E1054" s="16" t="s">
        <v>73</v>
      </c>
      <c r="F1054" s="16" t="s">
        <v>12</v>
      </c>
    </row>
    <row r="1055" spans="1:9">
      <c r="A1055" s="16" t="s">
        <v>4412</v>
      </c>
      <c r="B1055" s="20">
        <v>225000</v>
      </c>
      <c r="C1055" s="20">
        <f>0.0175*B1055</f>
        <v>3937.5000000000005</v>
      </c>
      <c r="D1055" s="27">
        <v>45243</v>
      </c>
      <c r="E1055" s="16" t="s">
        <v>24</v>
      </c>
      <c r="F1055" s="16" t="s">
        <v>28</v>
      </c>
      <c r="H1055" s="16" t="s">
        <v>2318</v>
      </c>
      <c r="I1055" s="21" t="s">
        <v>30</v>
      </c>
    </row>
    <row r="1056" spans="1:9">
      <c r="A1056" s="16" t="s">
        <v>4413</v>
      </c>
      <c r="B1056" s="20">
        <v>10000</v>
      </c>
      <c r="C1056" s="20">
        <f>0.0125*B1056</f>
        <v>125</v>
      </c>
      <c r="D1056" s="27">
        <v>45243</v>
      </c>
      <c r="E1056" s="16" t="s">
        <v>4414</v>
      </c>
      <c r="F1056" s="16" t="s">
        <v>12</v>
      </c>
      <c r="H1056" s="16" t="s">
        <v>2143</v>
      </c>
    </row>
    <row r="1057" spans="1:15">
      <c r="A1057" s="16" t="s">
        <v>4415</v>
      </c>
      <c r="B1057" s="20">
        <v>170000</v>
      </c>
      <c r="C1057" s="20">
        <f t="shared" ref="C1057:C1063" si="256">0.0175*B1057</f>
        <v>2975.0000000000005</v>
      </c>
      <c r="D1057" s="27">
        <v>45244</v>
      </c>
      <c r="E1057" s="16" t="s">
        <v>75</v>
      </c>
      <c r="F1057" s="16" t="s">
        <v>28</v>
      </c>
      <c r="I1057" s="21" t="s">
        <v>30</v>
      </c>
    </row>
    <row r="1058" spans="1:15">
      <c r="A1058" s="16" t="s">
        <v>4416</v>
      </c>
      <c r="B1058" s="20">
        <v>110000</v>
      </c>
      <c r="C1058" s="20">
        <f t="shared" si="256"/>
        <v>1925.0000000000002</v>
      </c>
      <c r="D1058" s="27">
        <v>45244</v>
      </c>
      <c r="E1058" s="16" t="s">
        <v>3702</v>
      </c>
      <c r="F1058" s="16" t="s">
        <v>28</v>
      </c>
      <c r="I1058" s="21" t="s">
        <v>30</v>
      </c>
    </row>
    <row r="1059" spans="1:15">
      <c r="A1059" s="16" t="s">
        <v>4417</v>
      </c>
      <c r="B1059" s="20">
        <v>90000</v>
      </c>
      <c r="C1059" s="20">
        <f t="shared" si="256"/>
        <v>1575.0000000000002</v>
      </c>
      <c r="D1059" s="27">
        <v>45245</v>
      </c>
      <c r="E1059" s="16" t="s">
        <v>4152</v>
      </c>
      <c r="F1059" s="16" t="s">
        <v>28</v>
      </c>
      <c r="H1059" s="16" t="s">
        <v>2135</v>
      </c>
      <c r="I1059" s="21" t="s">
        <v>30</v>
      </c>
    </row>
    <row r="1060" spans="1:15">
      <c r="A1060" s="16" t="s">
        <v>4418</v>
      </c>
      <c r="B1060" s="20">
        <v>125000</v>
      </c>
      <c r="C1060" s="20">
        <f t="shared" si="256"/>
        <v>2187.5</v>
      </c>
      <c r="D1060" s="27">
        <v>45245</v>
      </c>
      <c r="E1060" s="16" t="s">
        <v>11</v>
      </c>
      <c r="F1060" s="16" t="s">
        <v>28</v>
      </c>
      <c r="I1060" s="21" t="s">
        <v>30</v>
      </c>
    </row>
    <row r="1061" spans="1:15">
      <c r="A1061" s="16" t="s">
        <v>4419</v>
      </c>
      <c r="B1061" s="20">
        <v>20000</v>
      </c>
      <c r="C1061" s="20">
        <f t="shared" si="256"/>
        <v>350.00000000000006</v>
      </c>
      <c r="D1061" s="27">
        <v>45245</v>
      </c>
      <c r="E1061" s="16" t="s">
        <v>4240</v>
      </c>
      <c r="F1061" s="16" t="s">
        <v>28</v>
      </c>
      <c r="I1061" s="21" t="s">
        <v>30</v>
      </c>
    </row>
    <row r="1062" spans="1:15">
      <c r="A1062" s="16" t="s">
        <v>4420</v>
      </c>
      <c r="B1062" s="20">
        <v>100000</v>
      </c>
      <c r="C1062" s="20">
        <f t="shared" si="256"/>
        <v>1750.0000000000002</v>
      </c>
      <c r="D1062" s="27">
        <v>45246</v>
      </c>
      <c r="E1062" s="16" t="s">
        <v>73</v>
      </c>
      <c r="F1062" s="16" t="s">
        <v>28</v>
      </c>
      <c r="O1062" s="33"/>
    </row>
    <row r="1063" spans="1:15">
      <c r="A1063" s="16" t="s">
        <v>4421</v>
      </c>
      <c r="B1063" s="20">
        <v>300000</v>
      </c>
      <c r="C1063" s="20">
        <f t="shared" si="256"/>
        <v>5250.0000000000009</v>
      </c>
      <c r="D1063" s="27">
        <v>45246</v>
      </c>
      <c r="E1063" s="16" t="s">
        <v>11</v>
      </c>
      <c r="F1063" s="16" t="s">
        <v>28</v>
      </c>
    </row>
    <row r="1064" spans="1:15">
      <c r="A1064" s="16" t="s">
        <v>4306</v>
      </c>
      <c r="B1064" s="20">
        <v>35000</v>
      </c>
      <c r="C1064" s="20">
        <f t="shared" ref="C1064:C1066" si="257">0.0125*B1064</f>
        <v>437.5</v>
      </c>
      <c r="D1064" s="27">
        <v>45246</v>
      </c>
      <c r="E1064" s="16" t="s">
        <v>11</v>
      </c>
      <c r="F1064" s="16" t="s">
        <v>12</v>
      </c>
    </row>
    <row r="1065" spans="1:15">
      <c r="A1065" s="16" t="s">
        <v>3296</v>
      </c>
      <c r="B1065" s="20">
        <v>20000</v>
      </c>
      <c r="C1065" s="20">
        <f t="shared" si="257"/>
        <v>250</v>
      </c>
      <c r="D1065" s="27">
        <v>45246</v>
      </c>
      <c r="E1065" s="16" t="s">
        <v>11</v>
      </c>
      <c r="F1065" s="16" t="s">
        <v>12</v>
      </c>
    </row>
    <row r="1066" spans="1:15">
      <c r="A1066" s="16" t="s">
        <v>4422</v>
      </c>
      <c r="B1066" s="20">
        <v>10000</v>
      </c>
      <c r="C1066" s="20">
        <f t="shared" si="257"/>
        <v>125</v>
      </c>
      <c r="D1066" s="27">
        <v>45246</v>
      </c>
      <c r="E1066" s="16" t="s">
        <v>11</v>
      </c>
      <c r="F1066" s="16" t="s">
        <v>12</v>
      </c>
    </row>
    <row r="1067" spans="1:15">
      <c r="A1067" s="16" t="s">
        <v>4423</v>
      </c>
      <c r="B1067" s="20">
        <v>100000</v>
      </c>
      <c r="C1067" s="20">
        <f t="shared" ref="C1067:C1071" si="258">0.0175*B1067</f>
        <v>1750.0000000000002</v>
      </c>
      <c r="D1067" s="27">
        <v>45246</v>
      </c>
      <c r="E1067" s="16" t="s">
        <v>4240</v>
      </c>
      <c r="F1067" s="16" t="s">
        <v>28</v>
      </c>
      <c r="H1067" s="16" t="s">
        <v>13</v>
      </c>
      <c r="I1067" s="21" t="s">
        <v>30</v>
      </c>
    </row>
    <row r="1068" spans="1:15">
      <c r="A1068" s="16" t="s">
        <v>4424</v>
      </c>
      <c r="B1068" s="20">
        <v>75000</v>
      </c>
      <c r="C1068" s="20">
        <f t="shared" si="258"/>
        <v>1312.5000000000002</v>
      </c>
      <c r="D1068" s="27">
        <v>45247</v>
      </c>
      <c r="E1068" s="16" t="s">
        <v>11</v>
      </c>
      <c r="F1068" s="16" t="s">
        <v>28</v>
      </c>
      <c r="I1068" s="21" t="s">
        <v>30</v>
      </c>
    </row>
    <row r="1069" spans="1:15">
      <c r="A1069" s="16" t="s">
        <v>4425</v>
      </c>
      <c r="B1069" s="20">
        <v>100000</v>
      </c>
      <c r="C1069" s="20">
        <f t="shared" si="258"/>
        <v>1750.0000000000002</v>
      </c>
      <c r="D1069" s="27">
        <v>45247</v>
      </c>
      <c r="E1069" s="16" t="s">
        <v>4240</v>
      </c>
      <c r="F1069" s="16" t="s">
        <v>28</v>
      </c>
      <c r="H1069" s="16" t="s">
        <v>13</v>
      </c>
      <c r="I1069" s="21" t="s">
        <v>30</v>
      </c>
    </row>
    <row r="1070" spans="1:15">
      <c r="A1070" s="16" t="s">
        <v>3465</v>
      </c>
      <c r="B1070" s="20">
        <v>15000</v>
      </c>
      <c r="C1070" s="20">
        <f t="shared" si="258"/>
        <v>262.5</v>
      </c>
      <c r="D1070" s="27">
        <v>45247</v>
      </c>
      <c r="E1070" s="16" t="s">
        <v>4152</v>
      </c>
      <c r="F1070" s="16" t="s">
        <v>28</v>
      </c>
      <c r="H1070" s="16" t="s">
        <v>2143</v>
      </c>
      <c r="I1070" s="21" t="s">
        <v>30</v>
      </c>
    </row>
    <row r="1071" spans="1:15">
      <c r="A1071" s="16" t="s">
        <v>4426</v>
      </c>
      <c r="B1071" s="20">
        <v>100000</v>
      </c>
      <c r="C1071" s="20">
        <f t="shared" si="258"/>
        <v>1750.0000000000002</v>
      </c>
      <c r="D1071" s="27">
        <v>45250</v>
      </c>
      <c r="E1071" s="16" t="s">
        <v>73</v>
      </c>
      <c r="F1071" s="16" t="s">
        <v>28</v>
      </c>
    </row>
    <row r="1072" spans="1:15">
      <c r="A1072" s="16" t="s">
        <v>2266</v>
      </c>
      <c r="B1072" s="20">
        <v>535000</v>
      </c>
      <c r="C1072" s="20">
        <f t="shared" ref="C1072:C1073" si="259">0.0125*B1072</f>
        <v>6687.5</v>
      </c>
      <c r="D1072" s="27">
        <v>45250</v>
      </c>
      <c r="E1072" s="16" t="s">
        <v>11</v>
      </c>
      <c r="F1072" s="16" t="s">
        <v>12</v>
      </c>
    </row>
    <row r="1073" spans="1:9">
      <c r="A1073" s="16" t="s">
        <v>1239</v>
      </c>
      <c r="B1073" s="20">
        <v>650000</v>
      </c>
      <c r="C1073" s="20">
        <f t="shared" si="259"/>
        <v>8125</v>
      </c>
      <c r="D1073" s="27">
        <v>45250</v>
      </c>
      <c r="E1073" s="16" t="s">
        <v>11</v>
      </c>
      <c r="F1073" s="16" t="s">
        <v>12</v>
      </c>
    </row>
    <row r="1074" spans="1:9">
      <c r="A1074" s="16" t="s">
        <v>4427</v>
      </c>
      <c r="B1074" s="20">
        <v>50000</v>
      </c>
      <c r="C1074" s="20">
        <f t="shared" ref="C1074:C1078" si="260">0.0175*B1074</f>
        <v>875.00000000000011</v>
      </c>
      <c r="D1074" s="27">
        <v>45251</v>
      </c>
      <c r="E1074" s="16" t="s">
        <v>69</v>
      </c>
      <c r="F1074" s="16" t="s">
        <v>28</v>
      </c>
      <c r="H1074" s="16" t="s">
        <v>13</v>
      </c>
      <c r="I1074" s="21" t="s">
        <v>30</v>
      </c>
    </row>
    <row r="1075" spans="1:9">
      <c r="A1075" s="16" t="s">
        <v>4288</v>
      </c>
      <c r="B1075" s="20">
        <v>10000</v>
      </c>
      <c r="C1075" s="20">
        <f t="shared" si="260"/>
        <v>175.00000000000003</v>
      </c>
      <c r="D1075" s="27">
        <v>45251</v>
      </c>
      <c r="E1075" s="16" t="s">
        <v>4152</v>
      </c>
      <c r="F1075" s="16" t="s">
        <v>28</v>
      </c>
      <c r="H1075" s="16" t="s">
        <v>2116</v>
      </c>
    </row>
    <row r="1076" spans="1:9">
      <c r="A1076" s="16" t="s">
        <v>4428</v>
      </c>
      <c r="B1076" s="20">
        <v>25000</v>
      </c>
      <c r="C1076" s="20">
        <f t="shared" si="260"/>
        <v>437.50000000000006</v>
      </c>
      <c r="D1076" s="27">
        <v>45251</v>
      </c>
      <c r="E1076" s="16" t="s">
        <v>4152</v>
      </c>
      <c r="F1076" s="16" t="s">
        <v>28</v>
      </c>
      <c r="H1076" s="16" t="s">
        <v>2116</v>
      </c>
      <c r="I1076" s="21" t="s">
        <v>30</v>
      </c>
    </row>
    <row r="1077" spans="1:9">
      <c r="A1077" s="16" t="s">
        <v>4429</v>
      </c>
      <c r="B1077" s="20">
        <v>50000</v>
      </c>
      <c r="C1077" s="20">
        <f t="shared" si="260"/>
        <v>875.00000000000011</v>
      </c>
      <c r="D1077" s="27">
        <v>45251</v>
      </c>
      <c r="E1077" s="16" t="s">
        <v>4240</v>
      </c>
      <c r="F1077" s="16" t="s">
        <v>28</v>
      </c>
      <c r="H1077" s="16" t="s">
        <v>13</v>
      </c>
      <c r="I1077" s="21" t="s">
        <v>30</v>
      </c>
    </row>
    <row r="1078" spans="1:9">
      <c r="A1078" s="16" t="s">
        <v>4430</v>
      </c>
      <c r="B1078" s="20">
        <v>100000</v>
      </c>
      <c r="C1078" s="20">
        <f t="shared" si="260"/>
        <v>1750.0000000000002</v>
      </c>
      <c r="D1078" s="27">
        <v>45251</v>
      </c>
      <c r="E1078" s="16" t="s">
        <v>69</v>
      </c>
      <c r="F1078" s="16" t="s">
        <v>28</v>
      </c>
      <c r="H1078" s="16" t="s">
        <v>13</v>
      </c>
      <c r="I1078" s="21" t="s">
        <v>30</v>
      </c>
    </row>
    <row r="1079" spans="1:9">
      <c r="A1079" s="16" t="s">
        <v>486</v>
      </c>
      <c r="B1079" s="20">
        <v>435000</v>
      </c>
      <c r="C1079" s="20">
        <f>0.0125*B1079</f>
        <v>5437.5</v>
      </c>
      <c r="D1079" s="27">
        <v>45251</v>
      </c>
      <c r="E1079" s="16" t="s">
        <v>73</v>
      </c>
      <c r="F1079" s="16" t="s">
        <v>12</v>
      </c>
    </row>
    <row r="1080" spans="1:9">
      <c r="A1080" s="16" t="s">
        <v>4431</v>
      </c>
      <c r="B1080" s="20">
        <v>130000</v>
      </c>
      <c r="C1080" s="20">
        <f>0.0175*B1080</f>
        <v>2275</v>
      </c>
      <c r="D1080" s="27">
        <v>45252</v>
      </c>
      <c r="E1080" s="16" t="s">
        <v>69</v>
      </c>
      <c r="F1080" s="16" t="s">
        <v>28</v>
      </c>
      <c r="H1080" s="16" t="s">
        <v>13</v>
      </c>
      <c r="I1080" s="21" t="s">
        <v>30</v>
      </c>
    </row>
    <row r="1081" spans="1:9">
      <c r="A1081" s="16" t="s">
        <v>4432</v>
      </c>
      <c r="B1081" s="20">
        <v>25000</v>
      </c>
      <c r="C1081" s="20">
        <f t="shared" ref="C1081:C1083" si="261">0.0125*B1081</f>
        <v>312.5</v>
      </c>
      <c r="D1081" s="27">
        <v>45252</v>
      </c>
      <c r="E1081" s="16" t="s">
        <v>11</v>
      </c>
      <c r="F1081" s="16" t="s">
        <v>12</v>
      </c>
    </row>
    <row r="1082" spans="1:9">
      <c r="A1082" s="16" t="s">
        <v>4433</v>
      </c>
      <c r="B1082" s="20">
        <v>90000</v>
      </c>
      <c r="C1082" s="20">
        <f t="shared" si="261"/>
        <v>1125</v>
      </c>
      <c r="D1082" s="27">
        <v>45252</v>
      </c>
      <c r="E1082" s="16" t="s">
        <v>11</v>
      </c>
      <c r="F1082" s="16" t="s">
        <v>12</v>
      </c>
    </row>
    <row r="1083" spans="1:9">
      <c r="A1083" s="16" t="s">
        <v>3834</v>
      </c>
      <c r="B1083" s="20">
        <v>45000</v>
      </c>
      <c r="C1083" s="20">
        <f t="shared" si="261"/>
        <v>562.5</v>
      </c>
      <c r="D1083" s="27">
        <v>45252</v>
      </c>
      <c r="E1083" s="16" t="s">
        <v>11</v>
      </c>
      <c r="F1083" s="16" t="s">
        <v>12</v>
      </c>
    </row>
    <row r="1084" spans="1:9">
      <c r="A1084" s="16" t="s">
        <v>4434</v>
      </c>
      <c r="B1084" s="20">
        <v>2500</v>
      </c>
      <c r="C1084" s="20">
        <f t="shared" ref="C1084:C1085" si="262">0.0175*B1084</f>
        <v>43.750000000000007</v>
      </c>
      <c r="D1084" s="27">
        <v>45252</v>
      </c>
      <c r="E1084" s="16" t="s">
        <v>4152</v>
      </c>
      <c r="F1084" s="16" t="s">
        <v>28</v>
      </c>
      <c r="H1084" s="16" t="s">
        <v>2116</v>
      </c>
    </row>
    <row r="1085" spans="1:9">
      <c r="A1085" s="16" t="s">
        <v>4434</v>
      </c>
      <c r="B1085" s="20">
        <v>5500</v>
      </c>
      <c r="C1085" s="20">
        <f t="shared" si="262"/>
        <v>96.250000000000014</v>
      </c>
      <c r="D1085" s="27">
        <v>45252</v>
      </c>
      <c r="E1085" s="16" t="s">
        <v>4152</v>
      </c>
      <c r="F1085" s="16" t="s">
        <v>28</v>
      </c>
      <c r="H1085" s="16" t="s">
        <v>2116</v>
      </c>
    </row>
    <row r="1086" spans="1:9">
      <c r="A1086" s="16" t="s">
        <v>3836</v>
      </c>
      <c r="B1086" s="20">
        <v>50000</v>
      </c>
      <c r="C1086" s="20">
        <f t="shared" ref="C1086:C1088" si="263">0.0125*B1086</f>
        <v>625</v>
      </c>
      <c r="D1086" s="27">
        <v>45252</v>
      </c>
      <c r="E1086" s="16" t="s">
        <v>11</v>
      </c>
      <c r="F1086" s="16" t="s">
        <v>12</v>
      </c>
    </row>
    <row r="1087" spans="1:9">
      <c r="A1087" s="16" t="s">
        <v>655</v>
      </c>
      <c r="B1087" s="20">
        <v>12500</v>
      </c>
      <c r="C1087" s="20">
        <f t="shared" si="263"/>
        <v>156.25</v>
      </c>
      <c r="D1087" s="27">
        <v>45252</v>
      </c>
      <c r="E1087" s="16" t="s">
        <v>11</v>
      </c>
      <c r="F1087" s="16" t="s">
        <v>12</v>
      </c>
    </row>
    <row r="1088" spans="1:9">
      <c r="A1088" s="16" t="s">
        <v>3896</v>
      </c>
      <c r="B1088" s="20">
        <v>32500</v>
      </c>
      <c r="C1088" s="20">
        <f t="shared" si="263"/>
        <v>406.25</v>
      </c>
      <c r="D1088" s="27">
        <v>45252</v>
      </c>
      <c r="E1088" s="16" t="s">
        <v>11</v>
      </c>
      <c r="F1088" s="16" t="s">
        <v>12</v>
      </c>
    </row>
    <row r="1089" spans="1:9">
      <c r="A1089" s="16" t="s">
        <v>4435</v>
      </c>
      <c r="B1089" s="20">
        <v>150000</v>
      </c>
      <c r="C1089" s="20">
        <f t="shared" ref="C1089:C1094" si="264">0.0175*B1089</f>
        <v>2625.0000000000005</v>
      </c>
      <c r="D1089" s="27">
        <v>45252</v>
      </c>
      <c r="E1089" s="16" t="s">
        <v>24</v>
      </c>
      <c r="F1089" s="16" t="s">
        <v>28</v>
      </c>
      <c r="H1089" s="16" t="s">
        <v>2318</v>
      </c>
      <c r="I1089" s="21" t="s">
        <v>30</v>
      </c>
    </row>
    <row r="1090" spans="1:9">
      <c r="A1090" s="16" t="s">
        <v>4436</v>
      </c>
      <c r="B1090" s="20">
        <v>100000</v>
      </c>
      <c r="C1090" s="20">
        <f t="shared" si="264"/>
        <v>1750.0000000000002</v>
      </c>
      <c r="D1090" s="27">
        <v>45252</v>
      </c>
      <c r="E1090" s="16" t="s">
        <v>4152</v>
      </c>
      <c r="F1090" s="16" t="s">
        <v>28</v>
      </c>
      <c r="H1090" s="16" t="s">
        <v>2126</v>
      </c>
      <c r="I1090" s="21" t="s">
        <v>30</v>
      </c>
    </row>
    <row r="1091" spans="1:9">
      <c r="A1091" s="16" t="s">
        <v>4437</v>
      </c>
      <c r="B1091" s="20">
        <v>125000</v>
      </c>
      <c r="C1091" s="20">
        <f t="shared" si="264"/>
        <v>2187.5</v>
      </c>
      <c r="D1091" s="27">
        <v>45252</v>
      </c>
      <c r="E1091" s="16" t="s">
        <v>11</v>
      </c>
      <c r="F1091" s="16" t="s">
        <v>28</v>
      </c>
      <c r="I1091" s="21" t="s">
        <v>30</v>
      </c>
    </row>
    <row r="1092" spans="1:9">
      <c r="A1092" s="16" t="s">
        <v>4438</v>
      </c>
      <c r="B1092" s="20">
        <v>220000</v>
      </c>
      <c r="C1092" s="20">
        <f t="shared" si="264"/>
        <v>3850.0000000000005</v>
      </c>
      <c r="D1092" s="27">
        <v>45252</v>
      </c>
      <c r="E1092" s="16" t="s">
        <v>24</v>
      </c>
      <c r="F1092" s="16" t="s">
        <v>28</v>
      </c>
      <c r="H1092" s="16" t="s">
        <v>2318</v>
      </c>
      <c r="I1092" s="21" t="s">
        <v>30</v>
      </c>
    </row>
    <row r="1093" spans="1:9">
      <c r="A1093" s="16" t="s">
        <v>4439</v>
      </c>
      <c r="B1093" s="20">
        <v>85000</v>
      </c>
      <c r="C1093" s="20">
        <f t="shared" si="264"/>
        <v>1487.5000000000002</v>
      </c>
      <c r="D1093" s="27">
        <v>45254</v>
      </c>
      <c r="E1093" s="16" t="s">
        <v>4152</v>
      </c>
      <c r="F1093" s="16" t="s">
        <v>28</v>
      </c>
      <c r="H1093" s="16" t="s">
        <v>2126</v>
      </c>
      <c r="I1093" s="21" t="s">
        <v>30</v>
      </c>
    </row>
    <row r="1094" spans="1:9">
      <c r="A1094" s="16" t="s">
        <v>4440</v>
      </c>
      <c r="B1094" s="20">
        <v>20000</v>
      </c>
      <c r="C1094" s="20">
        <f t="shared" si="264"/>
        <v>350.00000000000006</v>
      </c>
      <c r="D1094" s="27">
        <v>45257</v>
      </c>
      <c r="E1094" s="16" t="s">
        <v>4240</v>
      </c>
      <c r="F1094" s="16" t="s">
        <v>28</v>
      </c>
      <c r="H1094" s="16" t="s">
        <v>13</v>
      </c>
      <c r="I1094" s="21" t="s">
        <v>30</v>
      </c>
    </row>
    <row r="1095" spans="1:9">
      <c r="A1095" s="16" t="s">
        <v>465</v>
      </c>
      <c r="B1095" s="20">
        <v>175000</v>
      </c>
      <c r="C1095" s="20">
        <f t="shared" ref="C1095:C1096" si="265">0.0125*B1095</f>
        <v>2187.5</v>
      </c>
      <c r="D1095" s="27">
        <v>45257</v>
      </c>
      <c r="E1095" s="16" t="s">
        <v>2635</v>
      </c>
      <c r="F1095" s="16" t="s">
        <v>12</v>
      </c>
      <c r="H1095" s="16" t="s">
        <v>3924</v>
      </c>
    </row>
    <row r="1096" spans="1:9">
      <c r="A1096" s="16" t="s">
        <v>1404</v>
      </c>
      <c r="B1096" s="20">
        <v>150000</v>
      </c>
      <c r="C1096" s="20">
        <f t="shared" si="265"/>
        <v>1875</v>
      </c>
      <c r="D1096" s="27">
        <v>45257</v>
      </c>
      <c r="E1096" s="16" t="s">
        <v>4023</v>
      </c>
      <c r="F1096" s="16" t="s">
        <v>12</v>
      </c>
    </row>
    <row r="1097" spans="1:9">
      <c r="A1097" s="16" t="s">
        <v>4441</v>
      </c>
      <c r="B1097" s="20">
        <v>50000</v>
      </c>
      <c r="C1097" s="20">
        <f t="shared" ref="C1097:C1098" si="266">0.0175*B1097</f>
        <v>875.00000000000011</v>
      </c>
      <c r="D1097" s="27">
        <v>45257</v>
      </c>
      <c r="E1097" s="16" t="s">
        <v>11</v>
      </c>
      <c r="F1097" s="16" t="s">
        <v>28</v>
      </c>
      <c r="I1097" s="21" t="s">
        <v>30</v>
      </c>
    </row>
    <row r="1098" spans="1:9">
      <c r="A1098" s="16" t="s">
        <v>4442</v>
      </c>
      <c r="B1098" s="20">
        <v>95000</v>
      </c>
      <c r="C1098" s="20">
        <f t="shared" si="266"/>
        <v>1662.5000000000002</v>
      </c>
      <c r="D1098" s="27">
        <v>45257</v>
      </c>
      <c r="E1098" s="16" t="s">
        <v>4152</v>
      </c>
      <c r="F1098" s="16" t="s">
        <v>28</v>
      </c>
      <c r="H1098" s="16" t="s">
        <v>2126</v>
      </c>
      <c r="I1098" s="21" t="s">
        <v>30</v>
      </c>
    </row>
    <row r="1099" spans="1:9">
      <c r="A1099" s="16" t="s">
        <v>1260</v>
      </c>
      <c r="B1099" s="20">
        <v>350000</v>
      </c>
      <c r="C1099" s="20">
        <f>0.0125*B1099</f>
        <v>4375</v>
      </c>
      <c r="D1099" s="27">
        <v>45258</v>
      </c>
      <c r="E1099" s="16" t="s">
        <v>4023</v>
      </c>
      <c r="F1099" s="16" t="s">
        <v>12</v>
      </c>
    </row>
    <row r="1100" spans="1:9">
      <c r="A1100" s="16" t="s">
        <v>4443</v>
      </c>
      <c r="B1100" s="20">
        <v>100000</v>
      </c>
      <c r="C1100" s="20">
        <f>0.0175*B1100</f>
        <v>1750.0000000000002</v>
      </c>
      <c r="D1100" s="27">
        <v>45258</v>
      </c>
      <c r="E1100" s="16" t="s">
        <v>4152</v>
      </c>
      <c r="F1100" s="16" t="s">
        <v>28</v>
      </c>
      <c r="H1100" s="16" t="s">
        <v>2179</v>
      </c>
      <c r="I1100" s="21" t="s">
        <v>30</v>
      </c>
    </row>
    <row r="1101" spans="1:9">
      <c r="A1101" s="16" t="s">
        <v>2844</v>
      </c>
      <c r="B1101" s="20">
        <v>150000</v>
      </c>
      <c r="C1101" s="20">
        <f>0.0125*B1101</f>
        <v>1875</v>
      </c>
      <c r="D1101" s="27">
        <v>45258</v>
      </c>
      <c r="E1101" s="16" t="s">
        <v>75</v>
      </c>
      <c r="F1101" s="16" t="s">
        <v>12</v>
      </c>
    </row>
    <row r="1102" spans="1:9">
      <c r="A1102" s="16" t="s">
        <v>4444</v>
      </c>
      <c r="B1102" s="20">
        <v>5000</v>
      </c>
      <c r="C1102" s="20">
        <f t="shared" ref="C1102:C1106" si="267">0.0175*B1102</f>
        <v>87.500000000000014</v>
      </c>
      <c r="D1102" s="27">
        <v>45258</v>
      </c>
      <c r="E1102" s="16" t="s">
        <v>4152</v>
      </c>
      <c r="F1102" s="16" t="s">
        <v>28</v>
      </c>
      <c r="H1102" s="16" t="s">
        <v>2116</v>
      </c>
      <c r="I1102" s="21" t="s">
        <v>30</v>
      </c>
    </row>
    <row r="1103" spans="1:9">
      <c r="A1103" s="16" t="s">
        <v>4445</v>
      </c>
      <c r="B1103" s="20">
        <v>90000</v>
      </c>
      <c r="C1103" s="20">
        <f t="shared" si="267"/>
        <v>1575.0000000000002</v>
      </c>
      <c r="D1103" s="27">
        <v>45258</v>
      </c>
      <c r="E1103" s="16" t="s">
        <v>75</v>
      </c>
      <c r="F1103" s="16" t="s">
        <v>28</v>
      </c>
      <c r="I1103" s="21" t="s">
        <v>30</v>
      </c>
    </row>
    <row r="1104" spans="1:9">
      <c r="A1104" s="16" t="s">
        <v>2392</v>
      </c>
      <c r="B1104" s="20">
        <v>350000</v>
      </c>
      <c r="C1104" s="20">
        <f t="shared" si="267"/>
        <v>6125.0000000000009</v>
      </c>
      <c r="D1104" s="27">
        <v>45258</v>
      </c>
      <c r="E1104" s="16" t="s">
        <v>4240</v>
      </c>
      <c r="F1104" s="16" t="s">
        <v>28</v>
      </c>
      <c r="H1104" s="16" t="s">
        <v>13</v>
      </c>
      <c r="I1104" s="21" t="s">
        <v>30</v>
      </c>
    </row>
    <row r="1105" spans="1:9">
      <c r="A1105" s="16" t="s">
        <v>4446</v>
      </c>
      <c r="B1105" s="20">
        <v>150000</v>
      </c>
      <c r="C1105" s="20">
        <f t="shared" si="267"/>
        <v>2625.0000000000005</v>
      </c>
      <c r="D1105" s="27">
        <v>45259</v>
      </c>
      <c r="E1105" s="16" t="s">
        <v>92</v>
      </c>
      <c r="F1105" s="16" t="s">
        <v>28</v>
      </c>
    </row>
    <row r="1106" spans="1:9">
      <c r="A1106" s="16" t="s">
        <v>4388</v>
      </c>
      <c r="B1106" s="20">
        <v>300000</v>
      </c>
      <c r="C1106" s="20">
        <f t="shared" si="267"/>
        <v>5250.0000000000009</v>
      </c>
      <c r="D1106" s="27">
        <v>45259</v>
      </c>
      <c r="E1106" s="16" t="s">
        <v>4324</v>
      </c>
      <c r="F1106" s="16" t="s">
        <v>28</v>
      </c>
      <c r="H1106" s="16" t="s">
        <v>2318</v>
      </c>
      <c r="I1106" s="21" t="s">
        <v>30</v>
      </c>
    </row>
    <row r="1107" spans="1:9">
      <c r="A1107" s="16" t="s">
        <v>4447</v>
      </c>
      <c r="B1107" s="20">
        <v>340000</v>
      </c>
      <c r="C1107" s="20">
        <f>0.0125*B1107</f>
        <v>4250</v>
      </c>
      <c r="D1107" s="27">
        <v>45259</v>
      </c>
      <c r="E1107" s="16" t="s">
        <v>69</v>
      </c>
      <c r="F1107" s="16" t="s">
        <v>12</v>
      </c>
      <c r="H1107" s="16" t="s">
        <v>4448</v>
      </c>
    </row>
    <row r="1108" spans="1:9">
      <c r="A1108" s="16" t="s">
        <v>4449</v>
      </c>
      <c r="B1108" s="20">
        <v>155000</v>
      </c>
      <c r="C1108" s="20">
        <f>0.0175*B1108</f>
        <v>2712.5000000000005</v>
      </c>
      <c r="D1108" s="27">
        <v>45259</v>
      </c>
      <c r="E1108" s="16" t="s">
        <v>11</v>
      </c>
      <c r="F1108" s="16" t="s">
        <v>28</v>
      </c>
    </row>
    <row r="1109" spans="1:9">
      <c r="A1109" s="16" t="s">
        <v>4450</v>
      </c>
      <c r="B1109" s="20">
        <v>173000</v>
      </c>
      <c r="C1109" s="20">
        <f>0.0125*B1109</f>
        <v>2162.5</v>
      </c>
      <c r="D1109" s="27">
        <v>45259</v>
      </c>
      <c r="E1109" s="16" t="s">
        <v>11</v>
      </c>
      <c r="F1109" s="16" t="s">
        <v>12</v>
      </c>
    </row>
    <row r="1110" spans="1:9">
      <c r="A1110" s="16" t="s">
        <v>4451</v>
      </c>
      <c r="B1110" s="20">
        <v>100000</v>
      </c>
      <c r="C1110" s="20">
        <f t="shared" ref="C1110:C1111" si="268">0.0175*B1110</f>
        <v>1750.0000000000002</v>
      </c>
      <c r="D1110" s="27">
        <v>45259</v>
      </c>
      <c r="E1110" s="16" t="s">
        <v>4324</v>
      </c>
      <c r="F1110" s="16" t="s">
        <v>28</v>
      </c>
      <c r="H1110" s="16" t="s">
        <v>2318</v>
      </c>
      <c r="I1110" s="21" t="s">
        <v>30</v>
      </c>
    </row>
    <row r="1111" spans="1:9">
      <c r="A1111" s="16" t="s">
        <v>4452</v>
      </c>
      <c r="B1111" s="20">
        <v>100000</v>
      </c>
      <c r="C1111" s="20">
        <f t="shared" si="268"/>
        <v>1750.0000000000002</v>
      </c>
      <c r="D1111" s="27">
        <v>45260</v>
      </c>
      <c r="E1111" s="16" t="s">
        <v>4023</v>
      </c>
      <c r="F1111" s="16" t="s">
        <v>28</v>
      </c>
      <c r="I1111" s="21" t="s">
        <v>30</v>
      </c>
    </row>
    <row r="1112" spans="1:9">
      <c r="A1112" s="16" t="s">
        <v>3196</v>
      </c>
      <c r="B1112" s="20">
        <v>250000</v>
      </c>
      <c r="C1112" s="20">
        <f>0.0125*B1112</f>
        <v>3125</v>
      </c>
      <c r="D1112" s="27">
        <v>45260</v>
      </c>
      <c r="E1112" s="16" t="s">
        <v>11</v>
      </c>
      <c r="F1112" s="16" t="s">
        <v>12</v>
      </c>
    </row>
    <row r="1113" spans="1:9">
      <c r="A1113" s="16" t="s">
        <v>4453</v>
      </c>
      <c r="B1113" s="20">
        <v>200000</v>
      </c>
      <c r="C1113" s="20">
        <f t="shared" ref="C1113:C1114" si="269">0.0175*B1113</f>
        <v>3500.0000000000005</v>
      </c>
      <c r="D1113" s="27">
        <v>45260</v>
      </c>
      <c r="E1113" s="16" t="s">
        <v>135</v>
      </c>
      <c r="F1113" s="16" t="s">
        <v>28</v>
      </c>
      <c r="H1113" s="16" t="s">
        <v>13</v>
      </c>
      <c r="I1113" s="21" t="s">
        <v>30</v>
      </c>
    </row>
    <row r="1114" spans="1:9">
      <c r="A1114" s="16" t="s">
        <v>4454</v>
      </c>
      <c r="B1114" s="20">
        <v>150000</v>
      </c>
      <c r="C1114" s="20">
        <f t="shared" si="269"/>
        <v>2625.0000000000005</v>
      </c>
      <c r="D1114" s="27">
        <v>45260</v>
      </c>
      <c r="E1114" s="16" t="s">
        <v>11</v>
      </c>
      <c r="F1114" s="16" t="s">
        <v>28</v>
      </c>
      <c r="I1114" s="21" t="s">
        <v>30</v>
      </c>
    </row>
    <row r="1115" spans="1:9">
      <c r="A1115" s="16" t="s">
        <v>2886</v>
      </c>
      <c r="B1115" s="20">
        <v>17500</v>
      </c>
      <c r="C1115" s="20">
        <f t="shared" ref="C1115:C1117" si="270">0.0125*B1115</f>
        <v>218.75</v>
      </c>
      <c r="D1115" s="27">
        <v>45260</v>
      </c>
      <c r="E1115" s="16" t="s">
        <v>11</v>
      </c>
      <c r="F1115" s="16" t="s">
        <v>12</v>
      </c>
    </row>
    <row r="1116" spans="1:9">
      <c r="A1116" s="16" t="s">
        <v>4455</v>
      </c>
      <c r="B1116" s="20">
        <v>105000</v>
      </c>
      <c r="C1116" s="20">
        <f t="shared" si="270"/>
        <v>1312.5</v>
      </c>
      <c r="D1116" s="27">
        <v>45260</v>
      </c>
      <c r="E1116" s="16" t="s">
        <v>11</v>
      </c>
      <c r="F1116" s="16" t="s">
        <v>12</v>
      </c>
    </row>
    <row r="1117" spans="1:9">
      <c r="A1117" s="16" t="s">
        <v>2300</v>
      </c>
      <c r="B1117" s="20">
        <v>75000</v>
      </c>
      <c r="C1117" s="20">
        <f t="shared" si="270"/>
        <v>937.5</v>
      </c>
      <c r="D1117" s="27">
        <v>45260</v>
      </c>
      <c r="E1117" s="16" t="s">
        <v>69</v>
      </c>
      <c r="F1117" s="16" t="s">
        <v>12</v>
      </c>
    </row>
    <row r="1118" spans="1:9">
      <c r="A1118" s="16" t="s">
        <v>4456</v>
      </c>
      <c r="B1118" s="20">
        <v>150000</v>
      </c>
      <c r="C1118" s="20">
        <f t="shared" ref="C1118:C1119" si="271">0.0175*B1118</f>
        <v>2625.0000000000005</v>
      </c>
      <c r="D1118" s="27">
        <v>45260</v>
      </c>
      <c r="E1118" s="16" t="s">
        <v>4324</v>
      </c>
      <c r="F1118" s="16" t="s">
        <v>28</v>
      </c>
      <c r="H1118" s="16" t="s">
        <v>2318</v>
      </c>
      <c r="I1118" s="21" t="s">
        <v>30</v>
      </c>
    </row>
    <row r="1119" spans="1:9">
      <c r="A1119" s="16" t="s">
        <v>4457</v>
      </c>
      <c r="B1119" s="20">
        <v>20000</v>
      </c>
      <c r="C1119" s="20">
        <f t="shared" si="271"/>
        <v>350.00000000000006</v>
      </c>
      <c r="D1119" s="27">
        <v>45233</v>
      </c>
      <c r="E1119" s="16" t="s">
        <v>11</v>
      </c>
      <c r="F1119" s="16" t="s">
        <v>28</v>
      </c>
    </row>
    <row r="1120" spans="1:9">
      <c r="A1120" s="11">
        <v>45261</v>
      </c>
      <c r="B1120" s="9">
        <f>SUM(B1121:B2221)</f>
        <v>25264500</v>
      </c>
      <c r="C1120" s="9">
        <f>SUM(C1121:C2265)</f>
        <v>385321.25</v>
      </c>
      <c r="D1120" s="59"/>
      <c r="E1120" s="59"/>
      <c r="F1120" s="59"/>
      <c r="G1120" s="59"/>
    </row>
    <row r="1121" spans="1:17">
      <c r="A1121" s="16" t="s">
        <v>4458</v>
      </c>
      <c r="B1121" s="20">
        <v>500000</v>
      </c>
      <c r="C1121" s="20">
        <f>0.0175*B1121</f>
        <v>8750</v>
      </c>
      <c r="D1121" s="27">
        <v>45261</v>
      </c>
      <c r="E1121" s="16" t="s">
        <v>11</v>
      </c>
      <c r="F1121" s="16" t="s">
        <v>28</v>
      </c>
      <c r="I1121" s="21" t="s">
        <v>30</v>
      </c>
    </row>
    <row r="1122" spans="1:17">
      <c r="A1122" s="16" t="s">
        <v>474</v>
      </c>
      <c r="B1122" s="20">
        <v>75000</v>
      </c>
      <c r="C1122" s="20">
        <f>0.0125*B1122</f>
        <v>937.5</v>
      </c>
      <c r="D1122" s="27">
        <v>45261</v>
      </c>
      <c r="E1122" s="16" t="s">
        <v>11</v>
      </c>
      <c r="F1122" s="16" t="s">
        <v>12</v>
      </c>
    </row>
    <row r="1123" spans="1:17">
      <c r="A1123" s="16" t="s">
        <v>4459</v>
      </c>
      <c r="B1123" s="20">
        <v>130000</v>
      </c>
      <c r="C1123" s="20">
        <f>0.0175*B1123</f>
        <v>2275</v>
      </c>
      <c r="D1123" s="27">
        <v>45261</v>
      </c>
      <c r="E1123" s="16" t="s">
        <v>11</v>
      </c>
      <c r="F1123" s="16" t="s">
        <v>28</v>
      </c>
      <c r="I1123" s="21" t="s">
        <v>30</v>
      </c>
      <c r="P1123" s="20"/>
      <c r="Q1123" s="20"/>
    </row>
    <row r="1124" spans="1:17">
      <c r="A1124" s="16" t="s">
        <v>4460</v>
      </c>
      <c r="B1124" s="20">
        <v>90000</v>
      </c>
      <c r="C1124" s="20">
        <f t="shared" ref="C1124:C1125" si="272">0.0125*B1124</f>
        <v>1125</v>
      </c>
      <c r="D1124" s="27">
        <v>45261</v>
      </c>
      <c r="E1124" s="16" t="s">
        <v>11</v>
      </c>
      <c r="F1124" s="16" t="s">
        <v>12</v>
      </c>
      <c r="P1124" s="20"/>
      <c r="Q1124" s="20"/>
    </row>
    <row r="1125" spans="1:17">
      <c r="A1125" s="16" t="s">
        <v>4461</v>
      </c>
      <c r="B1125" s="20">
        <v>90000</v>
      </c>
      <c r="C1125" s="20">
        <f t="shared" si="272"/>
        <v>1125</v>
      </c>
      <c r="D1125" s="27">
        <v>45261</v>
      </c>
      <c r="E1125" s="16" t="s">
        <v>11</v>
      </c>
      <c r="F1125" s="16" t="s">
        <v>12</v>
      </c>
      <c r="P1125" s="20"/>
      <c r="Q1125" s="20"/>
    </row>
    <row r="1126" spans="1:17">
      <c r="A1126" s="16" t="s">
        <v>4462</v>
      </c>
      <c r="B1126" s="20">
        <v>37000</v>
      </c>
      <c r="C1126" s="20">
        <f t="shared" ref="C1126:C1134" si="273">0.0175*B1126</f>
        <v>647.50000000000011</v>
      </c>
      <c r="D1126" s="27">
        <v>45261</v>
      </c>
      <c r="E1126" s="16" t="s">
        <v>11</v>
      </c>
      <c r="F1126" s="16" t="s">
        <v>28</v>
      </c>
      <c r="I1126" s="21" t="s">
        <v>30</v>
      </c>
      <c r="P1126" s="20"/>
      <c r="Q1126" s="20"/>
    </row>
    <row r="1127" spans="1:17">
      <c r="A1127" s="16" t="s">
        <v>4462</v>
      </c>
      <c r="B1127" s="20">
        <v>27000</v>
      </c>
      <c r="C1127" s="20">
        <f t="shared" si="273"/>
        <v>472.50000000000006</v>
      </c>
      <c r="D1127" s="27">
        <v>45261</v>
      </c>
      <c r="E1127" s="16" t="s">
        <v>11</v>
      </c>
      <c r="F1127" s="16" t="s">
        <v>28</v>
      </c>
      <c r="I1127" s="21" t="s">
        <v>30</v>
      </c>
      <c r="P1127" s="20"/>
      <c r="Q1127" s="20"/>
    </row>
    <row r="1128" spans="1:17">
      <c r="A1128" s="16" t="s">
        <v>4463</v>
      </c>
      <c r="B1128" s="20">
        <v>300000</v>
      </c>
      <c r="C1128" s="20">
        <f t="shared" si="273"/>
        <v>5250.0000000000009</v>
      </c>
      <c r="D1128" s="27">
        <v>45261</v>
      </c>
      <c r="E1128" s="16" t="s">
        <v>4240</v>
      </c>
      <c r="F1128" s="16" t="s">
        <v>28</v>
      </c>
      <c r="H1128" s="16" t="s">
        <v>13</v>
      </c>
      <c r="I1128" s="21" t="s">
        <v>30</v>
      </c>
    </row>
    <row r="1129" spans="1:17">
      <c r="A1129" s="16" t="s">
        <v>4464</v>
      </c>
      <c r="B1129" s="20">
        <v>30000</v>
      </c>
      <c r="C1129" s="20">
        <f t="shared" si="273"/>
        <v>525</v>
      </c>
      <c r="D1129" s="27">
        <v>45261</v>
      </c>
      <c r="E1129" s="16" t="s">
        <v>11</v>
      </c>
      <c r="F1129" s="16" t="s">
        <v>28</v>
      </c>
      <c r="I1129" s="21" t="s">
        <v>30</v>
      </c>
    </row>
    <row r="1130" spans="1:17">
      <c r="A1130" s="16" t="s">
        <v>4465</v>
      </c>
      <c r="B1130" s="20">
        <v>26000</v>
      </c>
      <c r="C1130" s="20">
        <f t="shared" si="273"/>
        <v>455.00000000000006</v>
      </c>
      <c r="D1130" s="27">
        <v>45264</v>
      </c>
      <c r="E1130" s="16" t="s">
        <v>11</v>
      </c>
      <c r="F1130" s="16" t="s">
        <v>28</v>
      </c>
    </row>
    <row r="1131" spans="1:17">
      <c r="A1131" s="16" t="s">
        <v>4466</v>
      </c>
      <c r="B1131" s="20">
        <v>80000</v>
      </c>
      <c r="C1131" s="20">
        <f t="shared" si="273"/>
        <v>1400.0000000000002</v>
      </c>
      <c r="D1131" s="27">
        <v>45264</v>
      </c>
      <c r="E1131" s="16" t="s">
        <v>11</v>
      </c>
      <c r="F1131" s="16" t="s">
        <v>28</v>
      </c>
      <c r="I1131" s="21" t="s">
        <v>30</v>
      </c>
    </row>
    <row r="1132" spans="1:17">
      <c r="A1132" s="16" t="s">
        <v>4467</v>
      </c>
      <c r="B1132" s="20">
        <v>110000</v>
      </c>
      <c r="C1132" s="20">
        <f t="shared" si="273"/>
        <v>1925.0000000000002</v>
      </c>
      <c r="D1132" s="27">
        <v>45264</v>
      </c>
      <c r="E1132" s="16" t="s">
        <v>4468</v>
      </c>
      <c r="F1132" s="16" t="s">
        <v>28</v>
      </c>
      <c r="H1132" s="16" t="s">
        <v>2265</v>
      </c>
      <c r="I1132" s="21" t="s">
        <v>30</v>
      </c>
    </row>
    <row r="1133" spans="1:17">
      <c r="A1133" s="16" t="s">
        <v>4469</v>
      </c>
      <c r="B1133" s="20">
        <v>275000</v>
      </c>
      <c r="C1133" s="20">
        <f t="shared" si="273"/>
        <v>4812.5000000000009</v>
      </c>
      <c r="D1133" s="27">
        <v>45264</v>
      </c>
      <c r="E1133" s="16" t="s">
        <v>11</v>
      </c>
      <c r="F1133" s="16" t="s">
        <v>28</v>
      </c>
      <c r="I1133" s="21" t="s">
        <v>30</v>
      </c>
    </row>
    <row r="1134" spans="1:17">
      <c r="A1134" s="16" t="s">
        <v>4470</v>
      </c>
      <c r="B1134" s="20">
        <v>1000000</v>
      </c>
      <c r="C1134" s="20">
        <f t="shared" si="273"/>
        <v>17500</v>
      </c>
      <c r="D1134" s="27">
        <v>45264</v>
      </c>
      <c r="E1134" s="16" t="s">
        <v>11</v>
      </c>
      <c r="F1134" s="16" t="s">
        <v>28</v>
      </c>
      <c r="I1134" s="21" t="s">
        <v>30</v>
      </c>
    </row>
    <row r="1135" spans="1:17">
      <c r="A1135" s="16" t="s">
        <v>2311</v>
      </c>
      <c r="B1135" s="20">
        <v>350000</v>
      </c>
      <c r="C1135" s="20">
        <f>0.0125*B1135</f>
        <v>4375</v>
      </c>
      <c r="D1135" s="27">
        <v>45265</v>
      </c>
      <c r="E1135" s="16" t="s">
        <v>11</v>
      </c>
      <c r="F1135" s="16" t="s">
        <v>12</v>
      </c>
    </row>
    <row r="1136" spans="1:17">
      <c r="A1136" s="16" t="s">
        <v>4471</v>
      </c>
      <c r="B1136" s="20">
        <v>500000</v>
      </c>
      <c r="C1136" s="20">
        <f t="shared" ref="C1136:C1138" si="274">0.0175*B1136</f>
        <v>8750</v>
      </c>
      <c r="D1136" s="27">
        <v>45265</v>
      </c>
      <c r="E1136" s="16" t="s">
        <v>4468</v>
      </c>
      <c r="F1136" s="16" t="s">
        <v>28</v>
      </c>
      <c r="H1136" s="16" t="s">
        <v>2409</v>
      </c>
      <c r="I1136" s="21" t="s">
        <v>30</v>
      </c>
    </row>
    <row r="1137" spans="1:9">
      <c r="A1137" s="16" t="s">
        <v>4472</v>
      </c>
      <c r="B1137" s="20">
        <v>125000</v>
      </c>
      <c r="C1137" s="20">
        <f t="shared" si="274"/>
        <v>2187.5</v>
      </c>
      <c r="D1137" s="27">
        <v>45265</v>
      </c>
      <c r="E1137" s="16" t="s">
        <v>4023</v>
      </c>
      <c r="F1137" s="16" t="s">
        <v>28</v>
      </c>
    </row>
    <row r="1138" spans="1:9">
      <c r="A1138" s="16" t="s">
        <v>4473</v>
      </c>
      <c r="B1138" s="20">
        <v>225000</v>
      </c>
      <c r="C1138" s="20">
        <f t="shared" si="274"/>
        <v>3937.5000000000005</v>
      </c>
      <c r="D1138" s="27">
        <v>45265</v>
      </c>
      <c r="E1138" s="16" t="s">
        <v>902</v>
      </c>
      <c r="F1138" s="16" t="s">
        <v>28</v>
      </c>
      <c r="I1138" s="21" t="s">
        <v>30</v>
      </c>
    </row>
    <row r="1139" spans="1:9">
      <c r="A1139" s="16" t="s">
        <v>150</v>
      </c>
      <c r="B1139" s="20">
        <v>10000</v>
      </c>
      <c r="C1139" s="20">
        <f>0.0125*B1139</f>
        <v>125</v>
      </c>
      <c r="D1139" s="27">
        <v>45265</v>
      </c>
      <c r="E1139" s="16" t="s">
        <v>11</v>
      </c>
      <c r="F1139" s="16" t="s">
        <v>12</v>
      </c>
    </row>
    <row r="1140" spans="1:9">
      <c r="A1140" s="16" t="s">
        <v>4474</v>
      </c>
      <c r="B1140" s="20">
        <v>25000</v>
      </c>
      <c r="C1140" s="20">
        <f t="shared" ref="C1140:C1145" si="275">0.0175*B1140</f>
        <v>437.50000000000006</v>
      </c>
      <c r="D1140" s="27">
        <v>45265</v>
      </c>
      <c r="E1140" s="16" t="s">
        <v>4468</v>
      </c>
      <c r="F1140" s="16" t="s">
        <v>28</v>
      </c>
      <c r="H1140" s="16" t="s">
        <v>2143</v>
      </c>
      <c r="I1140" s="21" t="s">
        <v>30</v>
      </c>
    </row>
    <row r="1141" spans="1:9">
      <c r="A1141" s="16" t="s">
        <v>4475</v>
      </c>
      <c r="B1141" s="20">
        <v>10000</v>
      </c>
      <c r="C1141" s="20">
        <f t="shared" si="275"/>
        <v>175.00000000000003</v>
      </c>
      <c r="D1141" s="27">
        <v>45266</v>
      </c>
      <c r="E1141" s="16" t="s">
        <v>4468</v>
      </c>
      <c r="F1141" s="16" t="s">
        <v>28</v>
      </c>
      <c r="H1141" s="16" t="s">
        <v>2116</v>
      </c>
      <c r="I1141" s="21" t="s">
        <v>30</v>
      </c>
    </row>
    <row r="1142" spans="1:9">
      <c r="A1142" s="16" t="s">
        <v>4476</v>
      </c>
      <c r="B1142" s="20">
        <v>150000</v>
      </c>
      <c r="C1142" s="20">
        <f t="shared" si="275"/>
        <v>2625.0000000000005</v>
      </c>
      <c r="D1142" s="27">
        <v>45266</v>
      </c>
      <c r="E1142" s="16" t="s">
        <v>11</v>
      </c>
      <c r="F1142" s="16" t="s">
        <v>28</v>
      </c>
      <c r="I1142" s="21" t="s">
        <v>30</v>
      </c>
    </row>
    <row r="1143" spans="1:9">
      <c r="A1143" s="16" t="s">
        <v>4477</v>
      </c>
      <c r="B1143" s="20">
        <v>80000</v>
      </c>
      <c r="C1143" s="20">
        <f t="shared" si="275"/>
        <v>1400.0000000000002</v>
      </c>
      <c r="D1143" s="27">
        <v>45266</v>
      </c>
      <c r="E1143" s="16" t="s">
        <v>4468</v>
      </c>
      <c r="F1143" s="16" t="s">
        <v>28</v>
      </c>
      <c r="H1143" s="16" t="s">
        <v>2265</v>
      </c>
      <c r="I1143" s="21" t="s">
        <v>30</v>
      </c>
    </row>
    <row r="1144" spans="1:9">
      <c r="A1144" s="16" t="s">
        <v>4478</v>
      </c>
      <c r="B1144" s="20">
        <v>750000</v>
      </c>
      <c r="C1144" s="20">
        <f t="shared" si="275"/>
        <v>13125.000000000002</v>
      </c>
      <c r="D1144" s="27">
        <v>45266</v>
      </c>
      <c r="E1144" s="16" t="s">
        <v>4240</v>
      </c>
      <c r="F1144" s="16" t="s">
        <v>28</v>
      </c>
      <c r="H1144" s="16" t="s">
        <v>13</v>
      </c>
      <c r="I1144" s="21" t="s">
        <v>30</v>
      </c>
    </row>
    <row r="1145" spans="1:9">
      <c r="A1145" s="16" t="s">
        <v>4479</v>
      </c>
      <c r="B1145" s="20">
        <v>300000</v>
      </c>
      <c r="C1145" s="20">
        <f t="shared" si="275"/>
        <v>5250.0000000000009</v>
      </c>
      <c r="D1145" s="27">
        <v>45267</v>
      </c>
      <c r="E1145" s="16" t="s">
        <v>4324</v>
      </c>
      <c r="F1145" s="16" t="s">
        <v>28</v>
      </c>
      <c r="H1145" s="16" t="s">
        <v>2318</v>
      </c>
      <c r="I1145" s="21" t="s">
        <v>30</v>
      </c>
    </row>
    <row r="1146" spans="1:9">
      <c r="A1146" s="16" t="s">
        <v>4480</v>
      </c>
      <c r="B1146" s="20">
        <v>280000</v>
      </c>
      <c r="C1146" s="20">
        <f t="shared" ref="C1146:C1152" si="276">0.0125*B1146</f>
        <v>3500</v>
      </c>
      <c r="D1146" s="27">
        <v>45267</v>
      </c>
      <c r="E1146" s="16" t="s">
        <v>4481</v>
      </c>
      <c r="F1146" s="16" t="s">
        <v>12</v>
      </c>
      <c r="H1146" s="16" t="s">
        <v>4482</v>
      </c>
    </row>
    <row r="1147" spans="1:9">
      <c r="A1147" s="16" t="s">
        <v>4483</v>
      </c>
      <c r="B1147" s="20">
        <v>26500</v>
      </c>
      <c r="C1147" s="20">
        <f t="shared" si="276"/>
        <v>331.25</v>
      </c>
      <c r="D1147" s="27">
        <v>45267</v>
      </c>
      <c r="E1147" s="16" t="s">
        <v>4468</v>
      </c>
      <c r="F1147" s="16" t="s">
        <v>12</v>
      </c>
      <c r="H1147" s="16" t="s">
        <v>2143</v>
      </c>
    </row>
    <row r="1148" spans="1:9">
      <c r="A1148" s="16" t="s">
        <v>2606</v>
      </c>
      <c r="B1148" s="20">
        <v>20000</v>
      </c>
      <c r="C1148" s="20">
        <f t="shared" si="276"/>
        <v>250</v>
      </c>
      <c r="D1148" s="27">
        <v>45267</v>
      </c>
      <c r="E1148" s="16" t="s">
        <v>73</v>
      </c>
      <c r="F1148" s="16" t="s">
        <v>12</v>
      </c>
    </row>
    <row r="1149" spans="1:9">
      <c r="A1149" s="16" t="s">
        <v>4484</v>
      </c>
      <c r="B1149" s="20">
        <v>72500</v>
      </c>
      <c r="C1149" s="20">
        <f t="shared" si="276"/>
        <v>906.25</v>
      </c>
      <c r="D1149" s="27">
        <v>45267</v>
      </c>
      <c r="E1149" s="16" t="s">
        <v>11</v>
      </c>
      <c r="F1149" s="16" t="s">
        <v>12</v>
      </c>
    </row>
    <row r="1150" spans="1:9">
      <c r="A1150" s="16" t="s">
        <v>4485</v>
      </c>
      <c r="B1150" s="20">
        <v>30000</v>
      </c>
      <c r="C1150" s="20">
        <f t="shared" si="276"/>
        <v>375</v>
      </c>
      <c r="D1150" s="27">
        <v>45267</v>
      </c>
      <c r="E1150" s="16" t="s">
        <v>11</v>
      </c>
      <c r="F1150" s="16" t="s">
        <v>12</v>
      </c>
    </row>
    <row r="1151" spans="1:9">
      <c r="A1151" s="16" t="s">
        <v>391</v>
      </c>
      <c r="B1151" s="20">
        <v>180000</v>
      </c>
      <c r="C1151" s="20">
        <f t="shared" si="276"/>
        <v>2250</v>
      </c>
      <c r="D1151" s="27">
        <v>45267</v>
      </c>
      <c r="E1151" s="16" t="s">
        <v>11</v>
      </c>
      <c r="F1151" s="16" t="s">
        <v>12</v>
      </c>
    </row>
    <row r="1152" spans="1:9">
      <c r="A1152" s="16" t="s">
        <v>2951</v>
      </c>
      <c r="B1152" s="20">
        <v>850000</v>
      </c>
      <c r="C1152" s="20">
        <f t="shared" si="276"/>
        <v>10625</v>
      </c>
      <c r="D1152" s="27">
        <v>45267</v>
      </c>
      <c r="E1152" s="16" t="s">
        <v>4023</v>
      </c>
      <c r="F1152" s="16" t="s">
        <v>12</v>
      </c>
    </row>
    <row r="1153" spans="1:9">
      <c r="A1153" s="16" t="s">
        <v>4486</v>
      </c>
      <c r="B1153" s="20">
        <v>50000</v>
      </c>
      <c r="C1153" s="20">
        <f t="shared" ref="C1153:C1156" si="277">0.0175*B1153</f>
        <v>875.00000000000011</v>
      </c>
      <c r="D1153" s="27">
        <v>45268</v>
      </c>
      <c r="E1153" s="16" t="s">
        <v>4468</v>
      </c>
      <c r="F1153" s="16" t="s">
        <v>28</v>
      </c>
      <c r="H1153" s="16" t="s">
        <v>2116</v>
      </c>
    </row>
    <row r="1154" spans="1:9">
      <c r="A1154" s="16" t="s">
        <v>4487</v>
      </c>
      <c r="B1154" s="20">
        <v>200000</v>
      </c>
      <c r="C1154" s="20">
        <f t="shared" si="277"/>
        <v>3500.0000000000005</v>
      </c>
      <c r="D1154" s="27">
        <v>45268</v>
      </c>
      <c r="E1154" s="16" t="s">
        <v>345</v>
      </c>
      <c r="F1154" s="16" t="s">
        <v>28</v>
      </c>
      <c r="H1154" s="16" t="s">
        <v>13</v>
      </c>
      <c r="I1154" s="21" t="s">
        <v>30</v>
      </c>
    </row>
    <row r="1155" spans="1:9">
      <c r="A1155" s="16" t="s">
        <v>4488</v>
      </c>
      <c r="B1155" s="20">
        <v>200000</v>
      </c>
      <c r="C1155" s="20">
        <f t="shared" si="277"/>
        <v>3500.0000000000005</v>
      </c>
      <c r="D1155" s="27">
        <v>45268</v>
      </c>
      <c r="E1155" s="16" t="s">
        <v>4023</v>
      </c>
      <c r="F1155" s="16" t="s">
        <v>28</v>
      </c>
      <c r="I1155" s="21" t="s">
        <v>30</v>
      </c>
    </row>
    <row r="1156" spans="1:9">
      <c r="A1156" s="16" t="s">
        <v>2473</v>
      </c>
      <c r="B1156" s="20">
        <v>150000</v>
      </c>
      <c r="C1156" s="20">
        <f t="shared" si="277"/>
        <v>2625.0000000000005</v>
      </c>
      <c r="D1156" s="27">
        <v>45268</v>
      </c>
      <c r="E1156" s="16" t="s">
        <v>4324</v>
      </c>
      <c r="F1156" s="16" t="s">
        <v>28</v>
      </c>
      <c r="H1156" s="16" t="s">
        <v>2318</v>
      </c>
      <c r="I1156" s="21" t="s">
        <v>30</v>
      </c>
    </row>
    <row r="1157" spans="1:9">
      <c r="A1157" s="16" t="s">
        <v>4489</v>
      </c>
      <c r="B1157" s="20">
        <v>120000</v>
      </c>
      <c r="C1157" s="20">
        <f t="shared" ref="C1157:C1158" si="278">0.0125*B1157</f>
        <v>1500</v>
      </c>
      <c r="D1157" s="27">
        <v>45268</v>
      </c>
      <c r="E1157" s="16" t="s">
        <v>11</v>
      </c>
      <c r="F1157" s="16" t="s">
        <v>12</v>
      </c>
    </row>
    <row r="1158" spans="1:9">
      <c r="A1158" s="16" t="s">
        <v>4490</v>
      </c>
      <c r="B1158" s="20">
        <v>565000</v>
      </c>
      <c r="C1158" s="20">
        <f t="shared" si="278"/>
        <v>7062.5</v>
      </c>
      <c r="D1158" s="27">
        <v>45268</v>
      </c>
      <c r="E1158" s="16" t="s">
        <v>11</v>
      </c>
      <c r="F1158" s="16" t="s">
        <v>12</v>
      </c>
    </row>
    <row r="1159" spans="1:9">
      <c r="A1159" s="16" t="s">
        <v>4491</v>
      </c>
      <c r="B1159" s="20">
        <v>187500</v>
      </c>
      <c r="C1159" s="20">
        <f>0.0175*B1159</f>
        <v>3281.2500000000005</v>
      </c>
      <c r="D1159" s="27">
        <v>45268</v>
      </c>
      <c r="E1159" s="16" t="s">
        <v>4023</v>
      </c>
      <c r="F1159" s="16" t="s">
        <v>28</v>
      </c>
      <c r="I1159" s="21" t="s">
        <v>30</v>
      </c>
    </row>
    <row r="1160" spans="1:9">
      <c r="A1160" s="16" t="s">
        <v>3066</v>
      </c>
      <c r="B1160" s="20">
        <v>400000</v>
      </c>
      <c r="C1160" s="20">
        <f t="shared" ref="C1160:C1163" si="279">0.0125*B1160</f>
        <v>5000</v>
      </c>
      <c r="D1160" s="27">
        <v>45268</v>
      </c>
      <c r="E1160" s="16" t="s">
        <v>11</v>
      </c>
      <c r="F1160" s="16" t="s">
        <v>12</v>
      </c>
    </row>
    <row r="1161" spans="1:9">
      <c r="A1161" s="16" t="s">
        <v>4492</v>
      </c>
      <c r="B1161" s="20">
        <v>350000</v>
      </c>
      <c r="C1161" s="20">
        <f t="shared" si="279"/>
        <v>4375</v>
      </c>
      <c r="D1161" s="27">
        <v>45271</v>
      </c>
      <c r="E1161" s="16" t="s">
        <v>4023</v>
      </c>
      <c r="F1161" s="16" t="s">
        <v>12</v>
      </c>
    </row>
    <row r="1162" spans="1:9">
      <c r="A1162" s="16" t="s">
        <v>4493</v>
      </c>
      <c r="B1162" s="20">
        <v>550000</v>
      </c>
      <c r="C1162" s="20">
        <f t="shared" si="279"/>
        <v>6875</v>
      </c>
      <c r="D1162" s="27">
        <v>45271</v>
      </c>
      <c r="E1162" s="16" t="s">
        <v>4023</v>
      </c>
      <c r="F1162" s="16" t="s">
        <v>12</v>
      </c>
    </row>
    <row r="1163" spans="1:9">
      <c r="A1163" s="16" t="s">
        <v>46</v>
      </c>
      <c r="B1163" s="20">
        <v>100000</v>
      </c>
      <c r="C1163" s="20">
        <f t="shared" si="279"/>
        <v>1250</v>
      </c>
      <c r="D1163" s="27">
        <v>45271</v>
      </c>
      <c r="E1163" s="16" t="s">
        <v>11</v>
      </c>
      <c r="F1163" s="16" t="s">
        <v>12</v>
      </c>
    </row>
    <row r="1164" spans="1:9">
      <c r="A1164" s="16" t="s">
        <v>4494</v>
      </c>
      <c r="B1164" s="20">
        <v>75000</v>
      </c>
      <c r="C1164" s="20">
        <f t="shared" ref="C1164:C1165" si="280">0.0175*B1164</f>
        <v>1312.5000000000002</v>
      </c>
      <c r="D1164" s="27">
        <v>45271</v>
      </c>
      <c r="E1164" s="16" t="s">
        <v>4324</v>
      </c>
      <c r="F1164" s="16" t="s">
        <v>28</v>
      </c>
      <c r="H1164" s="16" t="s">
        <v>2318</v>
      </c>
      <c r="I1164" s="21" t="s">
        <v>30</v>
      </c>
    </row>
    <row r="1165" spans="1:9">
      <c r="A1165" s="16" t="s">
        <v>4495</v>
      </c>
      <c r="B1165" s="20">
        <v>50000</v>
      </c>
      <c r="C1165" s="20">
        <f t="shared" si="280"/>
        <v>875.00000000000011</v>
      </c>
      <c r="D1165" s="27">
        <v>45271</v>
      </c>
      <c r="E1165" s="16" t="s">
        <v>11</v>
      </c>
      <c r="F1165" s="16" t="s">
        <v>28</v>
      </c>
      <c r="I1165" s="21" t="s">
        <v>30</v>
      </c>
    </row>
    <row r="1166" spans="1:9">
      <c r="A1166" s="16" t="s">
        <v>4496</v>
      </c>
      <c r="B1166" s="20">
        <v>15000</v>
      </c>
      <c r="C1166" s="20">
        <f>0.0125*B1166</f>
        <v>187.5</v>
      </c>
      <c r="D1166" s="27">
        <v>45271</v>
      </c>
      <c r="E1166" s="16" t="s">
        <v>4468</v>
      </c>
      <c r="F1166" s="16" t="s">
        <v>12</v>
      </c>
      <c r="H1166" s="16" t="s">
        <v>2116</v>
      </c>
    </row>
    <row r="1167" spans="1:9">
      <c r="A1167" s="16" t="s">
        <v>4497</v>
      </c>
      <c r="B1167" s="20">
        <v>70000</v>
      </c>
      <c r="C1167" s="20">
        <f t="shared" ref="C1167:C1172" si="281">0.0175*B1167</f>
        <v>1225.0000000000002</v>
      </c>
      <c r="D1167" s="27">
        <v>45271</v>
      </c>
      <c r="E1167" s="16" t="s">
        <v>4324</v>
      </c>
      <c r="F1167" s="16" t="s">
        <v>28</v>
      </c>
      <c r="H1167" s="16" t="s">
        <v>2318</v>
      </c>
      <c r="I1167" s="21" t="s">
        <v>30</v>
      </c>
    </row>
    <row r="1168" spans="1:9">
      <c r="A1168" s="16" t="s">
        <v>4498</v>
      </c>
      <c r="B1168" s="20">
        <v>40000</v>
      </c>
      <c r="C1168" s="20">
        <f t="shared" si="281"/>
        <v>700.00000000000011</v>
      </c>
      <c r="D1168" s="27">
        <v>45272</v>
      </c>
      <c r="E1168" s="16" t="s">
        <v>2399</v>
      </c>
      <c r="F1168" s="16" t="s">
        <v>28</v>
      </c>
      <c r="I1168" s="21" t="s">
        <v>30</v>
      </c>
    </row>
    <row r="1169" spans="1:9">
      <c r="A1169" s="16" t="s">
        <v>4499</v>
      </c>
      <c r="B1169" s="20">
        <v>300000</v>
      </c>
      <c r="C1169" s="20">
        <f t="shared" si="281"/>
        <v>5250.0000000000009</v>
      </c>
      <c r="D1169" s="27">
        <v>45272</v>
      </c>
      <c r="E1169" s="16" t="s">
        <v>11</v>
      </c>
      <c r="F1169" s="16" t="s">
        <v>28</v>
      </c>
      <c r="I1169" s="21" t="s">
        <v>30</v>
      </c>
    </row>
    <row r="1170" spans="1:9">
      <c r="A1170" s="16" t="s">
        <v>4500</v>
      </c>
      <c r="B1170" s="20">
        <v>225000</v>
      </c>
      <c r="C1170" s="20">
        <f t="shared" si="281"/>
        <v>3937.5000000000005</v>
      </c>
      <c r="D1170" s="27">
        <v>45272</v>
      </c>
      <c r="E1170" s="16" t="s">
        <v>69</v>
      </c>
      <c r="F1170" s="16" t="s">
        <v>28</v>
      </c>
      <c r="H1170" s="16" t="s">
        <v>13</v>
      </c>
      <c r="I1170" s="21" t="s">
        <v>30</v>
      </c>
    </row>
    <row r="1171" spans="1:9">
      <c r="A1171" s="16" t="s">
        <v>4501</v>
      </c>
      <c r="B1171" s="20">
        <v>120000</v>
      </c>
      <c r="C1171" s="20">
        <f t="shared" si="281"/>
        <v>2100</v>
      </c>
      <c r="D1171" s="27">
        <v>45272</v>
      </c>
      <c r="E1171" s="16" t="s">
        <v>69</v>
      </c>
      <c r="F1171" s="16" t="s">
        <v>28</v>
      </c>
      <c r="H1171" s="16" t="s">
        <v>13</v>
      </c>
      <c r="I1171" s="21" t="s">
        <v>30</v>
      </c>
    </row>
    <row r="1172" spans="1:9">
      <c r="A1172" s="16" t="s">
        <v>4502</v>
      </c>
      <c r="B1172" s="20">
        <v>150000</v>
      </c>
      <c r="C1172" s="20">
        <f t="shared" si="281"/>
        <v>2625.0000000000005</v>
      </c>
      <c r="D1172" s="27">
        <v>45272</v>
      </c>
      <c r="E1172" s="16" t="s">
        <v>3559</v>
      </c>
      <c r="F1172" s="16" t="s">
        <v>28</v>
      </c>
      <c r="I1172" s="21" t="s">
        <v>30</v>
      </c>
    </row>
    <row r="1173" spans="1:9">
      <c r="A1173" s="16" t="s">
        <v>4503</v>
      </c>
      <c r="B1173" s="20">
        <v>80000</v>
      </c>
      <c r="C1173" s="20">
        <f>0.0125*B1173</f>
        <v>1000</v>
      </c>
      <c r="D1173" s="27">
        <v>45272</v>
      </c>
      <c r="E1173" s="16" t="s">
        <v>75</v>
      </c>
      <c r="F1173" s="16" t="s">
        <v>12</v>
      </c>
    </row>
    <row r="1174" spans="1:9">
      <c r="A1174" s="16" t="s">
        <v>4504</v>
      </c>
      <c r="B1174" s="20">
        <v>100000</v>
      </c>
      <c r="C1174" s="20">
        <f t="shared" ref="C1174:C1175" si="282">0.0175*B1174</f>
        <v>1750.0000000000002</v>
      </c>
      <c r="D1174" s="27">
        <v>45273</v>
      </c>
      <c r="E1174" s="16" t="s">
        <v>4468</v>
      </c>
      <c r="F1174" s="16" t="s">
        <v>28</v>
      </c>
      <c r="H1174" s="16" t="s">
        <v>2126</v>
      </c>
      <c r="I1174" s="21" t="s">
        <v>30</v>
      </c>
    </row>
    <row r="1175" spans="1:9">
      <c r="A1175" s="16" t="s">
        <v>4505</v>
      </c>
      <c r="B1175" s="20">
        <v>300000</v>
      </c>
      <c r="C1175" s="20">
        <f t="shared" si="282"/>
        <v>5250.0000000000009</v>
      </c>
      <c r="D1175" s="27">
        <v>45273</v>
      </c>
      <c r="E1175" s="16" t="s">
        <v>4023</v>
      </c>
      <c r="F1175" s="16" t="s">
        <v>28</v>
      </c>
      <c r="I1175" s="21" t="s">
        <v>30</v>
      </c>
    </row>
    <row r="1176" spans="1:9">
      <c r="A1176" s="16" t="s">
        <v>4506</v>
      </c>
      <c r="B1176" s="20">
        <v>55000</v>
      </c>
      <c r="C1176" s="20">
        <f>0.0125*B1176</f>
        <v>687.5</v>
      </c>
      <c r="D1176" s="27">
        <v>45273</v>
      </c>
      <c r="E1176" s="16" t="s">
        <v>69</v>
      </c>
      <c r="F1176" s="16" t="s">
        <v>12</v>
      </c>
      <c r="H1176" s="16" t="s">
        <v>22</v>
      </c>
    </row>
    <row r="1177" spans="1:9">
      <c r="A1177" s="16" t="s">
        <v>4507</v>
      </c>
      <c r="B1177" s="20">
        <v>20000</v>
      </c>
      <c r="C1177" s="20">
        <f t="shared" ref="C1177:C1179" si="283">0.0175*B1177</f>
        <v>350.00000000000006</v>
      </c>
      <c r="D1177" s="27">
        <v>45273</v>
      </c>
      <c r="E1177" s="16" t="s">
        <v>4324</v>
      </c>
      <c r="F1177" s="16" t="s">
        <v>28</v>
      </c>
      <c r="H1177" s="16" t="s">
        <v>2318</v>
      </c>
      <c r="I1177" s="21" t="s">
        <v>30</v>
      </c>
    </row>
    <row r="1178" spans="1:9">
      <c r="A1178" s="16" t="s">
        <v>4508</v>
      </c>
      <c r="B1178" s="20">
        <v>50000</v>
      </c>
      <c r="C1178" s="20">
        <f t="shared" si="283"/>
        <v>875.00000000000011</v>
      </c>
      <c r="D1178" s="27">
        <v>45273</v>
      </c>
      <c r="E1178" s="16" t="s">
        <v>4324</v>
      </c>
      <c r="F1178" s="16" t="s">
        <v>28</v>
      </c>
      <c r="H1178" s="16" t="s">
        <v>2318</v>
      </c>
      <c r="I1178" s="21" t="s">
        <v>30</v>
      </c>
    </row>
    <row r="1179" spans="1:9">
      <c r="A1179" s="16" t="s">
        <v>4509</v>
      </c>
      <c r="B1179" s="20">
        <v>10000</v>
      </c>
      <c r="C1179" s="20">
        <f t="shared" si="283"/>
        <v>175.00000000000003</v>
      </c>
      <c r="D1179" s="27">
        <v>45274</v>
      </c>
      <c r="E1179" s="16" t="s">
        <v>4468</v>
      </c>
      <c r="F1179" s="16" t="s">
        <v>28</v>
      </c>
      <c r="H1179" s="16" t="s">
        <v>2116</v>
      </c>
    </row>
    <row r="1180" spans="1:9">
      <c r="A1180" s="16" t="s">
        <v>701</v>
      </c>
      <c r="B1180" s="20">
        <v>22000</v>
      </c>
      <c r="C1180" s="20">
        <f t="shared" ref="C1180:C1184" si="284">0.0125*B1180</f>
        <v>275</v>
      </c>
      <c r="D1180" s="27">
        <v>45274</v>
      </c>
      <c r="E1180" s="16" t="s">
        <v>4023</v>
      </c>
      <c r="F1180" s="16" t="s">
        <v>12</v>
      </c>
    </row>
    <row r="1181" spans="1:9">
      <c r="A1181" s="16" t="s">
        <v>4510</v>
      </c>
      <c r="B1181" s="20">
        <v>200000</v>
      </c>
      <c r="C1181" s="20">
        <f t="shared" si="284"/>
        <v>2500</v>
      </c>
      <c r="D1181" s="27">
        <v>45274</v>
      </c>
      <c r="E1181" s="16" t="s">
        <v>11</v>
      </c>
      <c r="F1181" s="16" t="s">
        <v>12</v>
      </c>
    </row>
    <row r="1182" spans="1:9">
      <c r="A1182" s="16" t="s">
        <v>3461</v>
      </c>
      <c r="B1182" s="20">
        <v>720000</v>
      </c>
      <c r="C1182" s="20">
        <f t="shared" si="284"/>
        <v>9000</v>
      </c>
      <c r="D1182" s="27">
        <v>45274</v>
      </c>
      <c r="E1182" s="16" t="s">
        <v>11</v>
      </c>
      <c r="F1182" s="16" t="s">
        <v>12</v>
      </c>
    </row>
    <row r="1183" spans="1:9">
      <c r="A1183" s="16" t="s">
        <v>4511</v>
      </c>
      <c r="B1183" s="20">
        <v>25000</v>
      </c>
      <c r="C1183" s="20">
        <f t="shared" si="284"/>
        <v>312.5</v>
      </c>
      <c r="D1183" s="27">
        <v>45274</v>
      </c>
      <c r="E1183" s="16" t="s">
        <v>11</v>
      </c>
      <c r="F1183" s="16" t="s">
        <v>12</v>
      </c>
    </row>
    <row r="1184" spans="1:9">
      <c r="A1184" s="16" t="s">
        <v>4512</v>
      </c>
      <c r="B1184" s="20">
        <v>142500</v>
      </c>
      <c r="C1184" s="20">
        <f t="shared" si="284"/>
        <v>1781.25</v>
      </c>
      <c r="D1184" s="27">
        <v>45274</v>
      </c>
      <c r="E1184" s="16" t="s">
        <v>11</v>
      </c>
      <c r="F1184" s="16" t="s">
        <v>12</v>
      </c>
    </row>
    <row r="1185" spans="1:9">
      <c r="A1185" s="16" t="s">
        <v>4513</v>
      </c>
      <c r="B1185" s="20">
        <v>10000</v>
      </c>
      <c r="C1185" s="20">
        <f>0.0175*B1185</f>
        <v>175.00000000000003</v>
      </c>
      <c r="D1185" s="27">
        <v>45274</v>
      </c>
      <c r="E1185" s="16" t="s">
        <v>11</v>
      </c>
      <c r="F1185" s="16" t="s">
        <v>28</v>
      </c>
    </row>
    <row r="1186" spans="1:9">
      <c r="A1186" s="16" t="s">
        <v>4514</v>
      </c>
      <c r="B1186" s="20">
        <v>90000</v>
      </c>
      <c r="C1186" s="20">
        <f>0.0125*B1186</f>
        <v>1125</v>
      </c>
      <c r="D1186" s="27">
        <v>45274</v>
      </c>
      <c r="E1186" s="16" t="s">
        <v>11</v>
      </c>
      <c r="F1186" s="16" t="s">
        <v>12</v>
      </c>
    </row>
    <row r="1187" spans="1:9">
      <c r="A1187" s="16" t="s">
        <v>4515</v>
      </c>
      <c r="B1187" s="20">
        <v>45000</v>
      </c>
      <c r="C1187" s="20">
        <f t="shared" ref="C1187:C1192" si="285">0.0175*B1187</f>
        <v>787.50000000000011</v>
      </c>
      <c r="D1187" s="27">
        <v>45274</v>
      </c>
      <c r="E1187" s="16" t="s">
        <v>4468</v>
      </c>
      <c r="F1187" s="16" t="s">
        <v>28</v>
      </c>
      <c r="H1187" s="16" t="s">
        <v>2143</v>
      </c>
      <c r="I1187" s="21" t="s">
        <v>30</v>
      </c>
    </row>
    <row r="1188" spans="1:9">
      <c r="A1188" s="16" t="s">
        <v>4516</v>
      </c>
      <c r="B1188" s="20">
        <v>125000</v>
      </c>
      <c r="C1188" s="20">
        <f t="shared" si="285"/>
        <v>2187.5</v>
      </c>
      <c r="D1188" s="27">
        <v>45274</v>
      </c>
      <c r="E1188" s="16" t="s">
        <v>345</v>
      </c>
      <c r="F1188" s="16" t="s">
        <v>28</v>
      </c>
      <c r="I1188" s="21" t="s">
        <v>30</v>
      </c>
    </row>
    <row r="1189" spans="1:9">
      <c r="A1189" s="16" t="s">
        <v>2262</v>
      </c>
      <c r="B1189" s="20">
        <v>200000</v>
      </c>
      <c r="C1189" s="20">
        <f t="shared" si="285"/>
        <v>3500.0000000000005</v>
      </c>
      <c r="D1189" s="27">
        <v>45275</v>
      </c>
      <c r="E1189" s="16" t="s">
        <v>11</v>
      </c>
      <c r="F1189" s="16" t="s">
        <v>28</v>
      </c>
      <c r="I1189" s="21" t="s">
        <v>30</v>
      </c>
    </row>
    <row r="1190" spans="1:9">
      <c r="A1190" s="16" t="s">
        <v>4517</v>
      </c>
      <c r="B1190" s="20">
        <v>250000</v>
      </c>
      <c r="C1190" s="20">
        <f t="shared" si="285"/>
        <v>4375</v>
      </c>
      <c r="D1190" s="27">
        <v>45275</v>
      </c>
      <c r="E1190" s="16" t="s">
        <v>11</v>
      </c>
      <c r="F1190" s="16" t="s">
        <v>28</v>
      </c>
      <c r="I1190" s="21" t="s">
        <v>30</v>
      </c>
    </row>
    <row r="1191" spans="1:9">
      <c r="A1191" s="16" t="s">
        <v>4518</v>
      </c>
      <c r="B1191" s="20">
        <v>7000</v>
      </c>
      <c r="C1191" s="20">
        <f t="shared" si="285"/>
        <v>122.50000000000001</v>
      </c>
      <c r="D1191" s="27">
        <v>45275</v>
      </c>
      <c r="E1191" s="16" t="s">
        <v>4468</v>
      </c>
      <c r="F1191" s="16" t="s">
        <v>28</v>
      </c>
      <c r="H1191" s="16" t="s">
        <v>2116</v>
      </c>
    </row>
    <row r="1192" spans="1:9">
      <c r="A1192" s="16" t="s">
        <v>4519</v>
      </c>
      <c r="B1192" s="20">
        <v>150000</v>
      </c>
      <c r="C1192" s="20">
        <f t="shared" si="285"/>
        <v>2625.0000000000005</v>
      </c>
      <c r="D1192" s="27">
        <v>45275</v>
      </c>
      <c r="E1192" s="16" t="s">
        <v>4468</v>
      </c>
      <c r="F1192" s="16" t="s">
        <v>28</v>
      </c>
      <c r="H1192" s="16" t="s">
        <v>2126</v>
      </c>
      <c r="I1192" s="21" t="s">
        <v>30</v>
      </c>
    </row>
    <row r="1193" spans="1:9">
      <c r="A1193" s="16" t="s">
        <v>4520</v>
      </c>
      <c r="B1193" s="20">
        <v>810000</v>
      </c>
      <c r="C1193" s="20">
        <f>0.0125*B1193</f>
        <v>10125</v>
      </c>
      <c r="D1193" s="27">
        <v>45275</v>
      </c>
      <c r="E1193" s="16" t="s">
        <v>11</v>
      </c>
      <c r="F1193" s="16" t="s">
        <v>12</v>
      </c>
    </row>
    <row r="1194" spans="1:9">
      <c r="A1194" s="16" t="s">
        <v>4521</v>
      </c>
      <c r="B1194" s="20">
        <v>375000</v>
      </c>
      <c r="C1194" s="20">
        <f t="shared" ref="C1194:C1199" si="286">0.0175*B1194</f>
        <v>6562.5000000000009</v>
      </c>
      <c r="D1194" s="27">
        <v>45278</v>
      </c>
      <c r="E1194" s="16" t="s">
        <v>75</v>
      </c>
      <c r="F1194" s="16" t="s">
        <v>28</v>
      </c>
      <c r="I1194" s="21" t="s">
        <v>30</v>
      </c>
    </row>
    <row r="1195" spans="1:9">
      <c r="A1195" s="16" t="s">
        <v>4522</v>
      </c>
      <c r="B1195" s="20">
        <v>100000</v>
      </c>
      <c r="C1195" s="20">
        <f t="shared" si="286"/>
        <v>1750.0000000000002</v>
      </c>
      <c r="D1195" s="27">
        <v>45278</v>
      </c>
      <c r="E1195" s="16" t="s">
        <v>11</v>
      </c>
      <c r="F1195" s="16" t="s">
        <v>2438</v>
      </c>
      <c r="I1195" s="21" t="s">
        <v>30</v>
      </c>
    </row>
    <row r="1196" spans="1:9">
      <c r="A1196" s="16" t="s">
        <v>4523</v>
      </c>
      <c r="B1196" s="20">
        <v>50000</v>
      </c>
      <c r="C1196" s="20">
        <f t="shared" si="286"/>
        <v>875.00000000000011</v>
      </c>
      <c r="D1196" s="27">
        <v>45278</v>
      </c>
      <c r="E1196" s="16" t="s">
        <v>4468</v>
      </c>
      <c r="F1196" s="16" t="s">
        <v>28</v>
      </c>
      <c r="H1196" s="16" t="s">
        <v>2135</v>
      </c>
      <c r="I1196" s="21" t="s">
        <v>30</v>
      </c>
    </row>
    <row r="1197" spans="1:9">
      <c r="A1197" s="16" t="s">
        <v>2850</v>
      </c>
      <c r="B1197" s="20">
        <v>150000</v>
      </c>
      <c r="C1197" s="20">
        <f t="shared" si="286"/>
        <v>2625.0000000000005</v>
      </c>
      <c r="D1197" s="27">
        <v>45278</v>
      </c>
      <c r="E1197" s="16" t="s">
        <v>2120</v>
      </c>
      <c r="F1197" s="16" t="s">
        <v>28</v>
      </c>
      <c r="I1197" s="21" t="s">
        <v>30</v>
      </c>
    </row>
    <row r="1198" spans="1:9">
      <c r="A1198" s="16" t="s">
        <v>4524</v>
      </c>
      <c r="B1198" s="20">
        <v>100000</v>
      </c>
      <c r="C1198" s="20">
        <f t="shared" si="286"/>
        <v>1750.0000000000002</v>
      </c>
      <c r="D1198" s="27">
        <v>45279</v>
      </c>
      <c r="E1198" s="16" t="s">
        <v>69</v>
      </c>
      <c r="F1198" s="16" t="s">
        <v>28</v>
      </c>
      <c r="H1198" s="16" t="s">
        <v>22</v>
      </c>
    </row>
    <row r="1199" spans="1:9">
      <c r="A1199" s="16" t="s">
        <v>4525</v>
      </c>
      <c r="B1199" s="20">
        <v>300000</v>
      </c>
      <c r="C1199" s="20">
        <f t="shared" si="286"/>
        <v>5250.0000000000009</v>
      </c>
      <c r="D1199" s="27">
        <v>45279</v>
      </c>
      <c r="E1199" s="16" t="s">
        <v>11</v>
      </c>
      <c r="F1199" s="16" t="s">
        <v>28</v>
      </c>
    </row>
    <row r="1200" spans="1:9">
      <c r="A1200" s="16" t="s">
        <v>3532</v>
      </c>
      <c r="B1200" s="20">
        <v>50000</v>
      </c>
      <c r="C1200" s="20">
        <f t="shared" ref="C1200:C1201" si="287">0.0125*B1200</f>
        <v>625</v>
      </c>
      <c r="D1200" s="27">
        <v>45279</v>
      </c>
      <c r="E1200" s="16" t="s">
        <v>73</v>
      </c>
      <c r="F1200" s="16" t="s">
        <v>12</v>
      </c>
    </row>
    <row r="1201" spans="1:9">
      <c r="A1201" s="16" t="s">
        <v>4526</v>
      </c>
      <c r="B1201" s="20">
        <v>55000</v>
      </c>
      <c r="C1201" s="20">
        <f t="shared" si="287"/>
        <v>687.5</v>
      </c>
      <c r="D1201" s="27">
        <v>45279</v>
      </c>
      <c r="E1201" s="16" t="s">
        <v>197</v>
      </c>
      <c r="F1201" s="16" t="s">
        <v>12</v>
      </c>
    </row>
    <row r="1202" spans="1:9">
      <c r="A1202" s="16" t="s">
        <v>4420</v>
      </c>
      <c r="B1202" s="20">
        <v>100000</v>
      </c>
      <c r="C1202" s="20">
        <f t="shared" ref="C1202:C1204" si="288">0.0175*B1202</f>
        <v>1750.0000000000002</v>
      </c>
      <c r="D1202" s="27">
        <v>45279</v>
      </c>
      <c r="E1202" s="16" t="s">
        <v>73</v>
      </c>
      <c r="F1202" s="16" t="s">
        <v>28</v>
      </c>
    </row>
    <row r="1203" spans="1:9">
      <c r="A1203" s="16" t="s">
        <v>4527</v>
      </c>
      <c r="B1203" s="20">
        <v>3500</v>
      </c>
      <c r="C1203" s="20">
        <f t="shared" si="288"/>
        <v>61.250000000000007</v>
      </c>
      <c r="D1203" s="27">
        <v>45279</v>
      </c>
      <c r="E1203" s="16" t="s">
        <v>4468</v>
      </c>
      <c r="F1203" s="16" t="s">
        <v>28</v>
      </c>
      <c r="H1203" s="16" t="s">
        <v>2116</v>
      </c>
    </row>
    <row r="1204" spans="1:9">
      <c r="A1204" s="16" t="s">
        <v>2450</v>
      </c>
      <c r="B1204" s="20">
        <v>60000</v>
      </c>
      <c r="C1204" s="20">
        <f t="shared" si="288"/>
        <v>1050</v>
      </c>
      <c r="D1204" s="27">
        <v>45279</v>
      </c>
      <c r="E1204" s="16" t="s">
        <v>11</v>
      </c>
      <c r="F1204" s="16" t="s">
        <v>28</v>
      </c>
      <c r="I1204" s="21" t="s">
        <v>30</v>
      </c>
    </row>
    <row r="1205" spans="1:9">
      <c r="A1205" s="16" t="s">
        <v>239</v>
      </c>
      <c r="B1205" s="20">
        <v>635000</v>
      </c>
      <c r="C1205" s="20">
        <f>0.0125*B1205</f>
        <v>7937.5</v>
      </c>
      <c r="D1205" s="27">
        <v>45279</v>
      </c>
      <c r="E1205" s="16" t="s">
        <v>73</v>
      </c>
      <c r="F1205" s="16" t="s">
        <v>12</v>
      </c>
    </row>
    <row r="1206" spans="1:9">
      <c r="A1206" s="16" t="s">
        <v>4528</v>
      </c>
      <c r="B1206" s="20">
        <v>115000</v>
      </c>
      <c r="C1206" s="20">
        <f>0.0175*B1206</f>
        <v>2012.5000000000002</v>
      </c>
      <c r="D1206" s="27">
        <v>45279</v>
      </c>
      <c r="E1206" s="16" t="s">
        <v>4023</v>
      </c>
      <c r="F1206" s="16" t="s">
        <v>28</v>
      </c>
      <c r="I1206" s="21" t="s">
        <v>30</v>
      </c>
    </row>
    <row r="1207" spans="1:9">
      <c r="A1207" s="16" t="s">
        <v>4529</v>
      </c>
      <c r="B1207" s="20">
        <v>70000</v>
      </c>
      <c r="C1207" s="20">
        <f t="shared" ref="C1207:C1208" si="289">0.0125*B1207</f>
        <v>875</v>
      </c>
      <c r="D1207" s="27">
        <v>45280</v>
      </c>
      <c r="E1207" s="16" t="s">
        <v>11</v>
      </c>
      <c r="F1207" s="16" t="s">
        <v>12</v>
      </c>
    </row>
    <row r="1208" spans="1:9">
      <c r="A1208" s="16" t="s">
        <v>4530</v>
      </c>
      <c r="B1208" s="20">
        <v>170000</v>
      </c>
      <c r="C1208" s="20">
        <f t="shared" si="289"/>
        <v>2125</v>
      </c>
      <c r="D1208" s="27">
        <v>45280</v>
      </c>
      <c r="E1208" s="16" t="s">
        <v>11</v>
      </c>
      <c r="F1208" s="16" t="s">
        <v>12</v>
      </c>
    </row>
    <row r="1209" spans="1:9">
      <c r="A1209" s="16" t="s">
        <v>4531</v>
      </c>
      <c r="B1209" s="20">
        <v>20000</v>
      </c>
      <c r="C1209" s="20">
        <f t="shared" ref="C1209:C1212" si="290">0.0175*B1209</f>
        <v>350.00000000000006</v>
      </c>
      <c r="D1209" s="27">
        <v>45280</v>
      </c>
      <c r="E1209" s="16" t="s">
        <v>4468</v>
      </c>
      <c r="F1209" s="16" t="s">
        <v>28</v>
      </c>
      <c r="H1209" s="16" t="s">
        <v>2116</v>
      </c>
    </row>
    <row r="1210" spans="1:9">
      <c r="A1210" s="16" t="s">
        <v>4532</v>
      </c>
      <c r="B1210" s="20">
        <v>175000</v>
      </c>
      <c r="C1210" s="20">
        <f t="shared" si="290"/>
        <v>3062.5000000000005</v>
      </c>
      <c r="D1210" s="27">
        <v>45281</v>
      </c>
      <c r="E1210" s="16" t="s">
        <v>4023</v>
      </c>
      <c r="F1210" s="16" t="s">
        <v>28</v>
      </c>
      <c r="I1210" s="21" t="s">
        <v>30</v>
      </c>
    </row>
    <row r="1211" spans="1:9">
      <c r="A1211" s="16" t="s">
        <v>4533</v>
      </c>
      <c r="B1211" s="20">
        <v>150000</v>
      </c>
      <c r="C1211" s="20">
        <f t="shared" si="290"/>
        <v>2625.0000000000005</v>
      </c>
      <c r="D1211" s="27">
        <v>45281</v>
      </c>
      <c r="E1211" s="16" t="s">
        <v>4108</v>
      </c>
      <c r="F1211" s="16" t="s">
        <v>28</v>
      </c>
      <c r="H1211" s="16" t="s">
        <v>2318</v>
      </c>
      <c r="I1211" s="21" t="s">
        <v>30</v>
      </c>
    </row>
    <row r="1212" spans="1:9">
      <c r="A1212" s="16" t="s">
        <v>4534</v>
      </c>
      <c r="B1212" s="20">
        <v>150000</v>
      </c>
      <c r="C1212" s="20">
        <f t="shared" si="290"/>
        <v>2625.0000000000005</v>
      </c>
      <c r="D1212" s="27">
        <v>45281</v>
      </c>
      <c r="E1212" s="16" t="s">
        <v>11</v>
      </c>
      <c r="F1212" s="16" t="s">
        <v>28</v>
      </c>
      <c r="I1212" s="21" t="s">
        <v>30</v>
      </c>
    </row>
    <row r="1213" spans="1:9">
      <c r="A1213" s="16" t="s">
        <v>2657</v>
      </c>
      <c r="B1213" s="20">
        <v>160000</v>
      </c>
      <c r="C1213" s="20">
        <f>0.0125*B1213</f>
        <v>2000</v>
      </c>
      <c r="D1213" s="27">
        <v>45281</v>
      </c>
      <c r="E1213" s="16" t="s">
        <v>11</v>
      </c>
      <c r="F1213" s="16" t="s">
        <v>12</v>
      </c>
    </row>
    <row r="1214" spans="1:9">
      <c r="A1214" s="16" t="s">
        <v>4535</v>
      </c>
      <c r="B1214" s="20">
        <v>250000</v>
      </c>
      <c r="C1214" s="20">
        <f>0.0175*B1214</f>
        <v>4375</v>
      </c>
      <c r="D1214" s="27">
        <v>45281</v>
      </c>
      <c r="E1214" s="16" t="s">
        <v>11</v>
      </c>
      <c r="F1214" s="16" t="s">
        <v>28</v>
      </c>
      <c r="I1214" s="21" t="s">
        <v>30</v>
      </c>
    </row>
    <row r="1215" spans="1:9">
      <c r="A1215" s="16" t="s">
        <v>3083</v>
      </c>
      <c r="B1215" s="20">
        <v>300000</v>
      </c>
      <c r="C1215" s="20">
        <f>0.0125*B1215</f>
        <v>3750</v>
      </c>
      <c r="D1215" s="27">
        <v>45281</v>
      </c>
      <c r="E1215" s="16" t="s">
        <v>11</v>
      </c>
      <c r="F1215" s="16" t="s">
        <v>12</v>
      </c>
    </row>
    <row r="1216" spans="1:9">
      <c r="A1216" s="16" t="s">
        <v>4536</v>
      </c>
      <c r="B1216" s="20">
        <v>75000</v>
      </c>
      <c r="C1216" s="20">
        <f>0.0175*B1216</f>
        <v>1312.5000000000002</v>
      </c>
      <c r="D1216" s="27">
        <v>45281</v>
      </c>
      <c r="E1216" s="16" t="s">
        <v>4023</v>
      </c>
      <c r="F1216" s="16" t="s">
        <v>28</v>
      </c>
      <c r="I1216" s="21" t="s">
        <v>30</v>
      </c>
    </row>
    <row r="1217" spans="1:9">
      <c r="A1217" s="16" t="s">
        <v>134</v>
      </c>
      <c r="B1217" s="20">
        <v>165000</v>
      </c>
      <c r="C1217" s="20">
        <f>0.0125*B1217</f>
        <v>2062.5</v>
      </c>
      <c r="D1217" s="27">
        <v>45281</v>
      </c>
      <c r="E1217" s="16" t="s">
        <v>345</v>
      </c>
      <c r="F1217" s="16" t="s">
        <v>12</v>
      </c>
      <c r="H1217" s="16" t="s">
        <v>22</v>
      </c>
    </row>
    <row r="1218" spans="1:9">
      <c r="A1218" s="16" t="s">
        <v>4537</v>
      </c>
      <c r="B1218" s="20">
        <v>75000</v>
      </c>
      <c r="C1218" s="20">
        <f>0.0175*B1218</f>
        <v>1312.5000000000002</v>
      </c>
      <c r="D1218" s="27">
        <v>45281</v>
      </c>
      <c r="E1218" s="16" t="s">
        <v>92</v>
      </c>
      <c r="F1218" s="16" t="s">
        <v>28</v>
      </c>
      <c r="I1218" s="21" t="s">
        <v>30</v>
      </c>
    </row>
    <row r="1219" spans="1:9">
      <c r="A1219" s="16" t="s">
        <v>4117</v>
      </c>
      <c r="B1219" s="20">
        <v>25000</v>
      </c>
      <c r="C1219" s="20">
        <f>0.0125*B1219</f>
        <v>312.5</v>
      </c>
      <c r="D1219" s="27">
        <v>45281</v>
      </c>
      <c r="E1219" s="16" t="s">
        <v>11</v>
      </c>
      <c r="F1219" s="16" t="s">
        <v>12</v>
      </c>
    </row>
    <row r="1220" spans="1:9">
      <c r="A1220" s="16" t="s">
        <v>4538</v>
      </c>
      <c r="B1220" s="20">
        <v>15000</v>
      </c>
      <c r="C1220" s="20">
        <f>0.0175*B1220</f>
        <v>262.5</v>
      </c>
      <c r="D1220" s="27">
        <v>45281</v>
      </c>
      <c r="E1220" s="16" t="s">
        <v>11</v>
      </c>
      <c r="F1220" s="16" t="s">
        <v>28</v>
      </c>
    </row>
    <row r="1221" spans="1:9">
      <c r="A1221" s="16" t="s">
        <v>2470</v>
      </c>
      <c r="B1221" s="20">
        <v>25000</v>
      </c>
      <c r="C1221" s="20">
        <f t="shared" ref="C1221:C1229" si="291">0.0125*B1221</f>
        <v>312.5</v>
      </c>
      <c r="D1221" s="27">
        <v>45281</v>
      </c>
      <c r="E1221" s="16" t="s">
        <v>11</v>
      </c>
      <c r="F1221" s="16" t="s">
        <v>12</v>
      </c>
    </row>
    <row r="1222" spans="1:9">
      <c r="A1222" s="16" t="s">
        <v>4539</v>
      </c>
      <c r="B1222" s="20">
        <v>15000</v>
      </c>
      <c r="C1222" s="20">
        <f t="shared" si="291"/>
        <v>187.5</v>
      </c>
      <c r="D1222" s="27">
        <v>45281</v>
      </c>
      <c r="E1222" s="16" t="s">
        <v>11</v>
      </c>
      <c r="F1222" s="16" t="s">
        <v>12</v>
      </c>
    </row>
    <row r="1223" spans="1:9">
      <c r="A1223" s="16" t="s">
        <v>481</v>
      </c>
      <c r="B1223" s="20">
        <v>700000</v>
      </c>
      <c r="C1223" s="20">
        <f t="shared" si="291"/>
        <v>8750</v>
      </c>
      <c r="D1223" s="27">
        <v>45281</v>
      </c>
      <c r="E1223" s="16" t="s">
        <v>11</v>
      </c>
      <c r="F1223" s="16" t="s">
        <v>12</v>
      </c>
    </row>
    <row r="1224" spans="1:9">
      <c r="A1224" s="16" t="s">
        <v>3921</v>
      </c>
      <c r="B1224" s="20">
        <v>120000</v>
      </c>
      <c r="C1224" s="20">
        <f t="shared" si="291"/>
        <v>1500</v>
      </c>
      <c r="D1224" s="27">
        <v>45282</v>
      </c>
      <c r="E1224" s="16" t="s">
        <v>11</v>
      </c>
      <c r="F1224" s="16" t="s">
        <v>12</v>
      </c>
    </row>
    <row r="1225" spans="1:9">
      <c r="A1225" s="16" t="s">
        <v>4540</v>
      </c>
      <c r="B1225" s="20">
        <v>105000</v>
      </c>
      <c r="C1225" s="20">
        <f t="shared" si="291"/>
        <v>1312.5</v>
      </c>
      <c r="D1225" s="27">
        <v>45282</v>
      </c>
      <c r="E1225" s="16" t="s">
        <v>73</v>
      </c>
      <c r="F1225" s="16" t="s">
        <v>12</v>
      </c>
    </row>
    <row r="1226" spans="1:9">
      <c r="A1226" s="16" t="s">
        <v>4541</v>
      </c>
      <c r="B1226" s="20">
        <v>105000</v>
      </c>
      <c r="C1226" s="20">
        <f t="shared" si="291"/>
        <v>1312.5</v>
      </c>
      <c r="D1226" s="27">
        <v>45282</v>
      </c>
      <c r="E1226" s="16" t="s">
        <v>73</v>
      </c>
      <c r="F1226" s="16" t="s">
        <v>12</v>
      </c>
    </row>
    <row r="1227" spans="1:9">
      <c r="A1227" s="16" t="s">
        <v>4542</v>
      </c>
      <c r="B1227" s="20">
        <v>105000</v>
      </c>
      <c r="C1227" s="20">
        <f t="shared" si="291"/>
        <v>1312.5</v>
      </c>
      <c r="D1227" s="27">
        <v>45282</v>
      </c>
      <c r="E1227" s="16" t="s">
        <v>73</v>
      </c>
      <c r="F1227" s="16" t="s">
        <v>12</v>
      </c>
    </row>
    <row r="1228" spans="1:9">
      <c r="A1228" s="16" t="s">
        <v>4543</v>
      </c>
      <c r="B1228" s="20">
        <v>250000</v>
      </c>
      <c r="C1228" s="20">
        <f t="shared" si="291"/>
        <v>3125</v>
      </c>
      <c r="D1228" s="27">
        <v>45282</v>
      </c>
      <c r="E1228" s="16" t="s">
        <v>11</v>
      </c>
      <c r="F1228" s="16" t="s">
        <v>12</v>
      </c>
    </row>
    <row r="1229" spans="1:9">
      <c r="A1229" s="16" t="s">
        <v>718</v>
      </c>
      <c r="B1229" s="20">
        <v>600000</v>
      </c>
      <c r="C1229" s="20">
        <f t="shared" si="291"/>
        <v>7500</v>
      </c>
      <c r="D1229" s="27">
        <v>45282</v>
      </c>
      <c r="E1229" s="16" t="s">
        <v>73</v>
      </c>
      <c r="F1229" s="16" t="s">
        <v>12</v>
      </c>
    </row>
    <row r="1230" spans="1:9">
      <c r="A1230" s="16" t="s">
        <v>4544</v>
      </c>
      <c r="B1230" s="20">
        <v>250000</v>
      </c>
      <c r="C1230" s="20">
        <f t="shared" ref="C1230:C1234" si="292">0.0175*B1230</f>
        <v>4375</v>
      </c>
      <c r="D1230" s="27">
        <v>45282</v>
      </c>
      <c r="E1230" s="16" t="s">
        <v>4108</v>
      </c>
      <c r="F1230" s="16" t="s">
        <v>28</v>
      </c>
      <c r="H1230" s="16" t="s">
        <v>2318</v>
      </c>
      <c r="I1230" s="21" t="s">
        <v>30</v>
      </c>
    </row>
    <row r="1231" spans="1:9">
      <c r="A1231" s="16" t="s">
        <v>4545</v>
      </c>
      <c r="B1231" s="20">
        <v>250000</v>
      </c>
      <c r="C1231" s="20">
        <f t="shared" si="292"/>
        <v>4375</v>
      </c>
      <c r="D1231" s="27">
        <v>45282</v>
      </c>
      <c r="E1231" s="16" t="s">
        <v>69</v>
      </c>
      <c r="F1231" s="16" t="s">
        <v>28</v>
      </c>
      <c r="H1231" s="16" t="s">
        <v>13</v>
      </c>
      <c r="I1231" s="21" t="s">
        <v>30</v>
      </c>
    </row>
    <row r="1232" spans="1:9">
      <c r="A1232" s="16" t="s">
        <v>4546</v>
      </c>
      <c r="B1232" s="20">
        <v>200000</v>
      </c>
      <c r="C1232" s="20">
        <f t="shared" si="292"/>
        <v>3500.0000000000005</v>
      </c>
      <c r="D1232" s="27">
        <v>45282</v>
      </c>
      <c r="E1232" s="16" t="s">
        <v>69</v>
      </c>
      <c r="F1232" s="16" t="s">
        <v>28</v>
      </c>
      <c r="H1232" s="16" t="s">
        <v>13</v>
      </c>
      <c r="I1232" s="21" t="s">
        <v>30</v>
      </c>
    </row>
    <row r="1233" spans="1:9">
      <c r="A1233" s="16" t="s">
        <v>4547</v>
      </c>
      <c r="B1233" s="20">
        <v>150000</v>
      </c>
      <c r="C1233" s="20">
        <f t="shared" si="292"/>
        <v>2625.0000000000005</v>
      </c>
      <c r="D1233" s="27">
        <v>45282</v>
      </c>
      <c r="E1233" s="16" t="s">
        <v>345</v>
      </c>
      <c r="F1233" s="16" t="s">
        <v>28</v>
      </c>
      <c r="H1233" s="16" t="s">
        <v>13</v>
      </c>
      <c r="I1233" s="21" t="s">
        <v>30</v>
      </c>
    </row>
    <row r="1234" spans="1:9">
      <c r="A1234" s="16" t="s">
        <v>4548</v>
      </c>
      <c r="B1234" s="20">
        <v>500000</v>
      </c>
      <c r="C1234" s="20">
        <f t="shared" si="292"/>
        <v>8750</v>
      </c>
      <c r="D1234" s="27">
        <v>45282</v>
      </c>
      <c r="E1234" s="16" t="s">
        <v>4108</v>
      </c>
      <c r="F1234" s="16" t="s">
        <v>28</v>
      </c>
      <c r="H1234" s="16" t="s">
        <v>2318</v>
      </c>
      <c r="I1234" s="21" t="s">
        <v>30</v>
      </c>
    </row>
    <row r="1235" spans="1:9">
      <c r="A1235" s="16" t="s">
        <v>4549</v>
      </c>
      <c r="B1235" s="20">
        <v>450000</v>
      </c>
      <c r="C1235" s="20">
        <f t="shared" ref="C1235:C1236" si="293">0.0125*B1235</f>
        <v>5625</v>
      </c>
      <c r="D1235" s="27">
        <v>45286</v>
      </c>
      <c r="E1235" s="16" t="s">
        <v>75</v>
      </c>
      <c r="F1235" s="16" t="s">
        <v>12</v>
      </c>
    </row>
    <row r="1236" spans="1:9">
      <c r="A1236" s="16" t="s">
        <v>4411</v>
      </c>
      <c r="B1236" s="20">
        <v>55000</v>
      </c>
      <c r="C1236" s="20">
        <f t="shared" si="293"/>
        <v>687.5</v>
      </c>
      <c r="D1236" s="27">
        <v>45286</v>
      </c>
      <c r="E1236" s="16" t="s">
        <v>73</v>
      </c>
      <c r="F1236" s="16" t="s">
        <v>12</v>
      </c>
    </row>
    <row r="1237" spans="1:9">
      <c r="A1237" s="16" t="s">
        <v>4550</v>
      </c>
      <c r="B1237" s="20">
        <v>100000</v>
      </c>
      <c r="C1237" s="20">
        <f t="shared" ref="C1237:C1238" si="294">0.0175*B1237</f>
        <v>1750.0000000000002</v>
      </c>
      <c r="D1237" s="27">
        <v>45287</v>
      </c>
      <c r="E1237" s="16" t="s">
        <v>4240</v>
      </c>
      <c r="F1237" s="16" t="s">
        <v>28</v>
      </c>
      <c r="I1237" s="21" t="s">
        <v>30</v>
      </c>
    </row>
    <row r="1238" spans="1:9">
      <c r="A1238" s="16" t="s">
        <v>4551</v>
      </c>
      <c r="B1238" s="20">
        <v>500000</v>
      </c>
      <c r="C1238" s="20">
        <f t="shared" si="294"/>
        <v>8750</v>
      </c>
      <c r="D1238" s="27">
        <v>45287</v>
      </c>
      <c r="E1238" s="16" t="s">
        <v>4468</v>
      </c>
      <c r="F1238" s="16" t="s">
        <v>28</v>
      </c>
      <c r="H1238" s="16" t="s">
        <v>2135</v>
      </c>
      <c r="I1238" s="21" t="s">
        <v>30</v>
      </c>
    </row>
    <row r="1239" spans="1:9">
      <c r="A1239" s="16" t="s">
        <v>4552</v>
      </c>
      <c r="B1239" s="20">
        <v>10000</v>
      </c>
      <c r="C1239" s="20">
        <f t="shared" ref="C1239:C1240" si="295">0.0125*B1239</f>
        <v>125</v>
      </c>
      <c r="D1239" s="27">
        <v>45287</v>
      </c>
      <c r="E1239" s="16" t="s">
        <v>11</v>
      </c>
      <c r="F1239" s="16" t="s">
        <v>12</v>
      </c>
    </row>
    <row r="1240" spans="1:9">
      <c r="A1240" s="16" t="s">
        <v>4019</v>
      </c>
      <c r="B1240" s="20">
        <v>20000</v>
      </c>
      <c r="C1240" s="20">
        <f t="shared" si="295"/>
        <v>250</v>
      </c>
      <c r="D1240" s="27">
        <v>45287</v>
      </c>
      <c r="E1240" s="16" t="s">
        <v>11</v>
      </c>
      <c r="F1240" s="16" t="s">
        <v>12</v>
      </c>
    </row>
    <row r="1241" spans="1:9">
      <c r="A1241" s="16" t="s">
        <v>4553</v>
      </c>
      <c r="B1241" s="20">
        <v>30000</v>
      </c>
      <c r="C1241" s="20">
        <f>0.0175*B1241</f>
        <v>525</v>
      </c>
      <c r="D1241" s="27">
        <v>45287</v>
      </c>
      <c r="E1241" s="16" t="s">
        <v>4468</v>
      </c>
      <c r="F1241" s="16" t="s">
        <v>28</v>
      </c>
      <c r="H1241" s="16" t="s">
        <v>2116</v>
      </c>
      <c r="I1241" s="21" t="s">
        <v>30</v>
      </c>
    </row>
    <row r="1242" spans="1:9">
      <c r="A1242" s="16" t="s">
        <v>4554</v>
      </c>
      <c r="B1242" s="20">
        <v>600000</v>
      </c>
      <c r="C1242" s="20">
        <f>0.0125*B1242</f>
        <v>7500</v>
      </c>
      <c r="D1242" s="27">
        <v>45287</v>
      </c>
      <c r="E1242" s="16" t="s">
        <v>4468</v>
      </c>
      <c r="F1242" s="16" t="s">
        <v>12</v>
      </c>
      <c r="H1242" s="16" t="s">
        <v>2135</v>
      </c>
    </row>
    <row r="1243" spans="1:9">
      <c r="A1243" s="16" t="s">
        <v>4555</v>
      </c>
      <c r="B1243" s="20">
        <v>100000</v>
      </c>
      <c r="C1243" s="20">
        <f>0.0175*B1243</f>
        <v>1750.0000000000002</v>
      </c>
      <c r="D1243" s="27">
        <v>45287</v>
      </c>
      <c r="E1243" s="16" t="s">
        <v>4240</v>
      </c>
      <c r="F1243" s="16" t="s">
        <v>28</v>
      </c>
      <c r="H1243" s="16" t="s">
        <v>13</v>
      </c>
      <c r="I1243" s="21" t="s">
        <v>30</v>
      </c>
    </row>
    <row r="1244" spans="1:9">
      <c r="A1244" s="16" t="s">
        <v>4556</v>
      </c>
      <c r="B1244" s="20">
        <v>45000</v>
      </c>
      <c r="C1244" s="20">
        <f>0.0125*B1244</f>
        <v>562.5</v>
      </c>
      <c r="D1244" s="27">
        <v>45287</v>
      </c>
      <c r="E1244" s="16" t="s">
        <v>69</v>
      </c>
      <c r="F1244" s="16" t="s">
        <v>12</v>
      </c>
      <c r="H1244" s="16" t="s">
        <v>22</v>
      </c>
    </row>
    <row r="1245" spans="1:9">
      <c r="A1245" s="16" t="s">
        <v>4557</v>
      </c>
      <c r="B1245" s="20">
        <v>275000</v>
      </c>
      <c r="C1245" s="20">
        <f>0.0175*B1245</f>
        <v>4812.5000000000009</v>
      </c>
      <c r="D1245" s="27">
        <v>45288</v>
      </c>
      <c r="E1245" s="16" t="s">
        <v>24</v>
      </c>
      <c r="F1245" s="16" t="s">
        <v>28</v>
      </c>
      <c r="H1245" s="16" t="s">
        <v>2318</v>
      </c>
      <c r="I1245" s="21" t="s">
        <v>30</v>
      </c>
    </row>
    <row r="1246" spans="1:9">
      <c r="A1246" s="16" t="s">
        <v>4558</v>
      </c>
      <c r="B1246" s="20">
        <v>15000</v>
      </c>
      <c r="C1246" s="20">
        <f>0.0125*B1246</f>
        <v>187.5</v>
      </c>
      <c r="D1246" s="27">
        <v>45288</v>
      </c>
      <c r="E1246" s="16" t="s">
        <v>11</v>
      </c>
      <c r="F1246" s="16" t="s">
        <v>12</v>
      </c>
    </row>
    <row r="1247" spans="1:9">
      <c r="A1247" s="16" t="s">
        <v>4559</v>
      </c>
      <c r="B1247" s="20">
        <v>70000</v>
      </c>
      <c r="C1247" s="20">
        <f>0.0175*B1247</f>
        <v>1225.0000000000002</v>
      </c>
      <c r="D1247" s="27">
        <v>45288</v>
      </c>
      <c r="E1247" s="16" t="s">
        <v>4023</v>
      </c>
      <c r="F1247" s="16" t="s">
        <v>28</v>
      </c>
      <c r="I1247" s="21" t="s">
        <v>30</v>
      </c>
    </row>
    <row r="1248" spans="1:9">
      <c r="A1248" s="16" t="s">
        <v>4560</v>
      </c>
      <c r="B1248" s="20">
        <v>75000</v>
      </c>
      <c r="C1248" s="20">
        <f t="shared" ref="C1248:C1249" si="296">0.0125*B1248</f>
        <v>937.5</v>
      </c>
      <c r="D1248" s="27">
        <v>45288</v>
      </c>
      <c r="E1248" s="16" t="s">
        <v>69</v>
      </c>
      <c r="F1248" s="16" t="s">
        <v>12</v>
      </c>
      <c r="H1248" s="16" t="s">
        <v>22</v>
      </c>
    </row>
    <row r="1249" spans="1:9">
      <c r="A1249" s="16" t="s">
        <v>3240</v>
      </c>
      <c r="B1249" s="20">
        <v>63000</v>
      </c>
      <c r="C1249" s="20">
        <f t="shared" si="296"/>
        <v>787.5</v>
      </c>
      <c r="D1249" s="27">
        <v>45288</v>
      </c>
      <c r="E1249" s="16" t="s">
        <v>11</v>
      </c>
      <c r="F1249" s="16" t="s">
        <v>12</v>
      </c>
    </row>
    <row r="1250" spans="1:9">
      <c r="A1250" s="16" t="s">
        <v>4561</v>
      </c>
      <c r="B1250" s="20">
        <v>400000</v>
      </c>
      <c r="C1250" s="20">
        <f>0.0175*B1250</f>
        <v>7000.0000000000009</v>
      </c>
      <c r="D1250" s="27">
        <v>45288</v>
      </c>
      <c r="E1250" s="16" t="s">
        <v>11</v>
      </c>
      <c r="F1250" s="16" t="s">
        <v>28</v>
      </c>
    </row>
    <row r="1251" spans="1:9">
      <c r="A1251" s="16" t="s">
        <v>389</v>
      </c>
      <c r="B1251" s="20">
        <v>55000</v>
      </c>
      <c r="C1251" s="20">
        <f>0.0125*B1251</f>
        <v>687.5</v>
      </c>
      <c r="D1251" s="27">
        <v>45289</v>
      </c>
      <c r="E1251" s="16" t="s">
        <v>4468</v>
      </c>
      <c r="F1251" s="16" t="s">
        <v>12</v>
      </c>
      <c r="H1251" s="16" t="s">
        <v>2179</v>
      </c>
    </row>
    <row r="1252" spans="1:9">
      <c r="A1252" s="16" t="s">
        <v>4562</v>
      </c>
      <c r="B1252" s="20">
        <v>75000</v>
      </c>
      <c r="C1252" s="20">
        <f t="shared" ref="C1252:C1256" si="297">0.0175*B1252</f>
        <v>1312.5000000000002</v>
      </c>
      <c r="D1252" s="27">
        <v>45289</v>
      </c>
      <c r="E1252" s="16" t="s">
        <v>11</v>
      </c>
      <c r="F1252" s="16" t="s">
        <v>28</v>
      </c>
      <c r="I1252" s="21" t="s">
        <v>30</v>
      </c>
    </row>
    <row r="1253" spans="1:9">
      <c r="A1253" s="16" t="s">
        <v>308</v>
      </c>
      <c r="B1253" s="20">
        <v>500000</v>
      </c>
      <c r="C1253" s="20">
        <f t="shared" si="297"/>
        <v>8750</v>
      </c>
      <c r="D1253" s="27">
        <v>45289</v>
      </c>
      <c r="E1253" s="16" t="s">
        <v>4468</v>
      </c>
      <c r="F1253" s="16" t="s">
        <v>28</v>
      </c>
      <c r="H1253" s="16" t="s">
        <v>4563</v>
      </c>
      <c r="I1253" s="21" t="s">
        <v>30</v>
      </c>
    </row>
    <row r="1254" spans="1:9">
      <c r="A1254" s="16" t="s">
        <v>4564</v>
      </c>
      <c r="B1254" s="20">
        <v>300000</v>
      </c>
      <c r="C1254" s="20">
        <f t="shared" si="297"/>
        <v>5250.0000000000009</v>
      </c>
      <c r="D1254" s="27">
        <v>45289</v>
      </c>
      <c r="E1254" s="16" t="s">
        <v>24</v>
      </c>
      <c r="F1254" s="16" t="s">
        <v>28</v>
      </c>
      <c r="H1254" s="16" t="s">
        <v>2318</v>
      </c>
      <c r="I1254" s="21" t="s">
        <v>30</v>
      </c>
    </row>
    <row r="1255" spans="1:9">
      <c r="A1255" s="16" t="s">
        <v>4565</v>
      </c>
      <c r="B1255" s="20">
        <v>125000</v>
      </c>
      <c r="C1255" s="20">
        <f t="shared" si="297"/>
        <v>2187.5</v>
      </c>
      <c r="D1255" s="27">
        <v>45289</v>
      </c>
      <c r="E1255" s="16" t="s">
        <v>69</v>
      </c>
      <c r="F1255" s="16" t="s">
        <v>28</v>
      </c>
      <c r="H1255" s="16" t="s">
        <v>13</v>
      </c>
      <c r="I1255" s="21" t="s">
        <v>30</v>
      </c>
    </row>
    <row r="1256" spans="1:9">
      <c r="A1256" s="16" t="s">
        <v>4566</v>
      </c>
      <c r="B1256" s="20">
        <v>50000</v>
      </c>
      <c r="C1256" s="20">
        <f t="shared" si="297"/>
        <v>875.00000000000011</v>
      </c>
      <c r="D1256" s="27">
        <v>45266</v>
      </c>
      <c r="E1256" s="16" t="s">
        <v>4468</v>
      </c>
      <c r="F1256" s="16" t="s">
        <v>28</v>
      </c>
      <c r="H1256" s="16" t="s">
        <v>2143</v>
      </c>
      <c r="I1256" s="21" t="s">
        <v>30</v>
      </c>
    </row>
    <row r="1257" spans="1:9">
      <c r="B1257" s="20"/>
      <c r="C1257" s="20"/>
      <c r="D1257" s="27"/>
    </row>
    <row r="1258" spans="1:9">
      <c r="B1258" s="20"/>
      <c r="C1258" s="20"/>
      <c r="D1258" s="27"/>
    </row>
    <row r="1259" spans="1:9">
      <c r="B1259" s="20"/>
      <c r="C1259" s="20"/>
      <c r="D1259" s="27"/>
    </row>
    <row r="1260" spans="1:9">
      <c r="B1260" s="20"/>
      <c r="C1260" s="20"/>
      <c r="D1260" s="27"/>
    </row>
    <row r="1261" spans="1:9" ht="15.75" customHeight="1">
      <c r="A1261" s="64"/>
      <c r="B1261" s="20"/>
      <c r="C1261" s="20"/>
      <c r="D1261" s="27"/>
    </row>
    <row r="1262" spans="1:9">
      <c r="B1262" s="20"/>
      <c r="C1262" s="20"/>
      <c r="D1262" s="27"/>
    </row>
    <row r="1263" spans="1:9">
      <c r="B1263" s="20"/>
      <c r="C1263" s="20"/>
      <c r="D1263" s="27"/>
    </row>
    <row r="1264" spans="1:9">
      <c r="B1264" s="20"/>
      <c r="C1264" s="20"/>
      <c r="D1264" s="27"/>
    </row>
    <row r="1265" spans="2:4">
      <c r="B1265" s="20"/>
      <c r="C1265" s="20"/>
      <c r="D1265" s="27"/>
    </row>
    <row r="1266" spans="2:4">
      <c r="B1266" s="20"/>
      <c r="C1266" s="20"/>
      <c r="D1266" s="27"/>
    </row>
    <row r="1267" spans="2:4">
      <c r="D1267" s="27"/>
    </row>
    <row r="1268" spans="2:4">
      <c r="D1268" s="27"/>
    </row>
    <row r="1269" spans="2:4">
      <c r="D1269" s="27"/>
    </row>
    <row r="1270" spans="2:4">
      <c r="D1270" s="27"/>
    </row>
    <row r="1271" spans="2:4">
      <c r="D1271" s="27"/>
    </row>
    <row r="1272" spans="2:4">
      <c r="D1272" s="27"/>
    </row>
    <row r="1273" spans="2:4">
      <c r="D1273" s="27"/>
    </row>
    <row r="1274" spans="2:4">
      <c r="D1274" s="27"/>
    </row>
    <row r="1275" spans="2:4">
      <c r="D1275" s="27"/>
    </row>
    <row r="1276" spans="2:4">
      <c r="D1276" s="27"/>
    </row>
    <row r="1277" spans="2:4">
      <c r="D1277" s="27"/>
    </row>
    <row r="1278" spans="2:4">
      <c r="D1278" s="27"/>
    </row>
    <row r="1279" spans="2:4">
      <c r="D1279" s="27"/>
    </row>
    <row r="1280" spans="2:4">
      <c r="D1280" s="27"/>
    </row>
    <row r="1281" spans="4:4">
      <c r="D1281" s="27"/>
    </row>
    <row r="1282" spans="4:4">
      <c r="D1282" s="27"/>
    </row>
    <row r="1283" spans="4:4">
      <c r="D1283" s="27"/>
    </row>
    <row r="1284" spans="4:4">
      <c r="D1284" s="27"/>
    </row>
    <row r="1285" spans="4:4">
      <c r="D1285" s="27"/>
    </row>
    <row r="1286" spans="4:4">
      <c r="D1286" s="27"/>
    </row>
    <row r="1287" spans="4:4">
      <c r="D1287" s="27"/>
    </row>
    <row r="1288" spans="4:4">
      <c r="D1288" s="27"/>
    </row>
    <row r="1289" spans="4:4">
      <c r="D1289" s="27"/>
    </row>
    <row r="1290" spans="4:4">
      <c r="D1290" s="27"/>
    </row>
    <row r="1291" spans="4:4">
      <c r="D1291" s="27"/>
    </row>
    <row r="1292" spans="4:4">
      <c r="D1292" s="27"/>
    </row>
    <row r="1293" spans="4:4">
      <c r="D1293" s="27"/>
    </row>
    <row r="1294" spans="4:4">
      <c r="D1294" s="27"/>
    </row>
    <row r="1295" spans="4:4">
      <c r="D1295" s="27"/>
    </row>
    <row r="1296" spans="4:4">
      <c r="D1296" s="27"/>
    </row>
    <row r="1297" spans="4:4">
      <c r="D1297" s="27"/>
    </row>
    <row r="1298" spans="4:4">
      <c r="D1298" s="27"/>
    </row>
    <row r="1299" spans="4:4">
      <c r="D1299" s="27"/>
    </row>
    <row r="1300" spans="4:4">
      <c r="D1300" s="27"/>
    </row>
    <row r="1301" spans="4:4">
      <c r="D1301" s="27"/>
    </row>
    <row r="1302" spans="4:4">
      <c r="D1302" s="27"/>
    </row>
    <row r="1303" spans="4:4">
      <c r="D1303" s="27"/>
    </row>
    <row r="1304" spans="4:4">
      <c r="D1304" s="27"/>
    </row>
    <row r="1305" spans="4:4">
      <c r="D1305" s="27"/>
    </row>
    <row r="1306" spans="4:4">
      <c r="D1306" s="27"/>
    </row>
    <row r="1307" spans="4:4">
      <c r="D1307" s="27"/>
    </row>
    <row r="1308" spans="4:4">
      <c r="D1308" s="27"/>
    </row>
    <row r="1309" spans="4:4">
      <c r="D1309" s="27"/>
    </row>
    <row r="1310" spans="4:4">
      <c r="D1310" s="27"/>
    </row>
    <row r="1311" spans="4:4">
      <c r="D1311" s="27"/>
    </row>
    <row r="1312" spans="4:4">
      <c r="D1312" s="27"/>
    </row>
    <row r="1313" spans="4:4">
      <c r="D1313" s="27"/>
    </row>
    <row r="1314" spans="4:4">
      <c r="D1314" s="27"/>
    </row>
    <row r="1315" spans="4:4">
      <c r="D1315" s="27"/>
    </row>
    <row r="1316" spans="4:4">
      <c r="D1316" s="27"/>
    </row>
    <row r="1317" spans="4:4">
      <c r="D1317" s="27"/>
    </row>
    <row r="1318" spans="4:4">
      <c r="D1318" s="27"/>
    </row>
    <row r="1319" spans="4:4">
      <c r="D1319" s="27"/>
    </row>
    <row r="1320" spans="4:4">
      <c r="D1320" s="27"/>
    </row>
    <row r="1321" spans="4:4">
      <c r="D1321" s="27"/>
    </row>
    <row r="1322" spans="4:4">
      <c r="D1322" s="27"/>
    </row>
    <row r="1323" spans="4:4">
      <c r="D1323" s="27"/>
    </row>
    <row r="1324" spans="4:4">
      <c r="D1324" s="27"/>
    </row>
    <row r="1325" spans="4:4">
      <c r="D1325" s="27"/>
    </row>
    <row r="1326" spans="4:4">
      <c r="D1326" s="27"/>
    </row>
    <row r="1327" spans="4:4">
      <c r="D1327" s="27"/>
    </row>
    <row r="1328" spans="4:4">
      <c r="D1328" s="27"/>
    </row>
    <row r="1329" spans="4:4">
      <c r="D1329" s="27"/>
    </row>
    <row r="1330" spans="4:4">
      <c r="D1330" s="27"/>
    </row>
    <row r="1331" spans="4:4">
      <c r="D1331" s="27"/>
    </row>
    <row r="1332" spans="4:4">
      <c r="D1332" s="27"/>
    </row>
    <row r="1333" spans="4:4">
      <c r="D1333" s="27"/>
    </row>
    <row r="1334" spans="4:4">
      <c r="D1334" s="27"/>
    </row>
    <row r="1335" spans="4:4">
      <c r="D1335" s="27"/>
    </row>
    <row r="1336" spans="4:4">
      <c r="D1336" s="27"/>
    </row>
    <row r="1337" spans="4:4">
      <c r="D1337" s="27"/>
    </row>
    <row r="1338" spans="4:4">
      <c r="D1338" s="27"/>
    </row>
    <row r="1339" spans="4:4">
      <c r="D1339" s="27"/>
    </row>
    <row r="1340" spans="4:4">
      <c r="D1340" s="27"/>
    </row>
    <row r="1341" spans="4:4">
      <c r="D1341" s="27"/>
    </row>
    <row r="1342" spans="4:4">
      <c r="D1342" s="27"/>
    </row>
    <row r="1343" spans="4:4">
      <c r="D1343" s="27"/>
    </row>
    <row r="1344" spans="4:4">
      <c r="D1344" s="27"/>
    </row>
    <row r="1345" spans="4:4">
      <c r="D1345" s="27"/>
    </row>
    <row r="1346" spans="4:4">
      <c r="D1346" s="27"/>
    </row>
    <row r="1347" spans="4:4">
      <c r="D1347" s="27"/>
    </row>
    <row r="1348" spans="4:4">
      <c r="D1348" s="27"/>
    </row>
    <row r="1349" spans="4:4">
      <c r="D1349" s="27"/>
    </row>
    <row r="1350" spans="4:4">
      <c r="D1350" s="27"/>
    </row>
    <row r="1351" spans="4:4">
      <c r="D1351" s="27"/>
    </row>
    <row r="1352" spans="4:4">
      <c r="D1352" s="27"/>
    </row>
    <row r="1353" spans="4:4">
      <c r="D1353" s="27"/>
    </row>
    <row r="1354" spans="4:4">
      <c r="D1354" s="27"/>
    </row>
    <row r="1355" spans="4:4">
      <c r="D1355" s="27"/>
    </row>
    <row r="1356" spans="4:4">
      <c r="D1356" s="27"/>
    </row>
    <row r="1357" spans="4:4">
      <c r="D1357" s="27"/>
    </row>
    <row r="1358" spans="4:4">
      <c r="D1358" s="27"/>
    </row>
    <row r="1359" spans="4:4">
      <c r="D1359" s="27"/>
    </row>
    <row r="1360" spans="4:4">
      <c r="D1360" s="27"/>
    </row>
    <row r="1361" spans="4:4">
      <c r="D1361" s="27"/>
    </row>
    <row r="1362" spans="4:4">
      <c r="D1362" s="27"/>
    </row>
    <row r="1363" spans="4:4">
      <c r="D1363" s="27"/>
    </row>
    <row r="1364" spans="4:4">
      <c r="D1364" s="27"/>
    </row>
    <row r="1365" spans="4:4">
      <c r="D1365" s="27"/>
    </row>
    <row r="1366" spans="4:4">
      <c r="D1366" s="27"/>
    </row>
    <row r="1367" spans="4:4">
      <c r="D1367" s="27"/>
    </row>
    <row r="1368" spans="4:4">
      <c r="D1368" s="27"/>
    </row>
    <row r="1369" spans="4:4">
      <c r="D1369" s="27"/>
    </row>
    <row r="1370" spans="4:4">
      <c r="D1370" s="27"/>
    </row>
    <row r="1371" spans="4:4">
      <c r="D1371" s="27"/>
    </row>
    <row r="1372" spans="4:4">
      <c r="D1372" s="27"/>
    </row>
    <row r="1373" spans="4:4">
      <c r="D1373" s="27"/>
    </row>
    <row r="1374" spans="4:4">
      <c r="D1374" s="27"/>
    </row>
    <row r="1375" spans="4:4">
      <c r="D1375" s="27"/>
    </row>
    <row r="1376" spans="4:4">
      <c r="D1376" s="27"/>
    </row>
    <row r="1377" spans="4:4">
      <c r="D1377" s="27"/>
    </row>
    <row r="1378" spans="4:4">
      <c r="D1378" s="27"/>
    </row>
    <row r="1379" spans="4:4">
      <c r="D1379" s="27"/>
    </row>
    <row r="1380" spans="4:4">
      <c r="D1380" s="27"/>
    </row>
    <row r="1381" spans="4:4">
      <c r="D1381" s="27"/>
    </row>
    <row r="1382" spans="4:4">
      <c r="D1382" s="27"/>
    </row>
    <row r="1383" spans="4:4">
      <c r="D1383" s="27"/>
    </row>
    <row r="1384" spans="4:4">
      <c r="D1384" s="27"/>
    </row>
    <row r="1385" spans="4:4">
      <c r="D1385" s="27"/>
    </row>
    <row r="1386" spans="4:4">
      <c r="D1386" s="27"/>
    </row>
    <row r="1387" spans="4:4">
      <c r="D1387" s="27"/>
    </row>
    <row r="1388" spans="4:4">
      <c r="D1388" s="27"/>
    </row>
    <row r="1389" spans="4:4">
      <c r="D1389" s="27"/>
    </row>
    <row r="1390" spans="4:4">
      <c r="D1390" s="27"/>
    </row>
    <row r="1391" spans="4:4">
      <c r="D1391" s="27"/>
    </row>
    <row r="1392" spans="4:4">
      <c r="D1392" s="27"/>
    </row>
    <row r="1393" spans="4:4">
      <c r="D1393" s="27"/>
    </row>
    <row r="1394" spans="4:4">
      <c r="D1394" s="27"/>
    </row>
    <row r="1395" spans="4:4">
      <c r="D1395" s="27"/>
    </row>
    <row r="1396" spans="4:4">
      <c r="D1396" s="27"/>
    </row>
    <row r="1397" spans="4:4">
      <c r="D1397" s="27"/>
    </row>
    <row r="1398" spans="4:4">
      <c r="D1398" s="27"/>
    </row>
    <row r="1399" spans="4:4">
      <c r="D1399" s="27"/>
    </row>
    <row r="1400" spans="4:4">
      <c r="D1400" s="27"/>
    </row>
    <row r="1401" spans="4:4">
      <c r="D1401" s="27"/>
    </row>
    <row r="1402" spans="4:4">
      <c r="D1402" s="27"/>
    </row>
    <row r="1403" spans="4:4">
      <c r="D1403" s="27"/>
    </row>
    <row r="1404" spans="4:4">
      <c r="D1404" s="27"/>
    </row>
    <row r="1405" spans="4:4">
      <c r="D1405" s="27"/>
    </row>
    <row r="1406" spans="4:4">
      <c r="D1406" s="27"/>
    </row>
    <row r="1407" spans="4:4">
      <c r="D1407" s="27"/>
    </row>
    <row r="1408" spans="4:4">
      <c r="D1408" s="27"/>
    </row>
    <row r="1409" spans="4:4">
      <c r="D1409" s="27"/>
    </row>
    <row r="1410" spans="4:4">
      <c r="D1410" s="27"/>
    </row>
    <row r="1411" spans="4:4">
      <c r="D1411" s="27"/>
    </row>
    <row r="1412" spans="4:4">
      <c r="D1412" s="27"/>
    </row>
    <row r="1413" spans="4:4">
      <c r="D1413" s="27"/>
    </row>
    <row r="1414" spans="4:4">
      <c r="D1414" s="27"/>
    </row>
    <row r="1415" spans="4:4">
      <c r="D1415" s="27"/>
    </row>
    <row r="1416" spans="4:4">
      <c r="D1416" s="27"/>
    </row>
    <row r="1417" spans="4:4">
      <c r="D1417" s="27"/>
    </row>
    <row r="1418" spans="4:4">
      <c r="D1418" s="27"/>
    </row>
    <row r="1419" spans="4:4">
      <c r="D1419" s="27"/>
    </row>
    <row r="1420" spans="4:4">
      <c r="D1420" s="27"/>
    </row>
    <row r="1421" spans="4:4">
      <c r="D1421" s="27"/>
    </row>
    <row r="1422" spans="4:4">
      <c r="D1422" s="27"/>
    </row>
    <row r="1423" spans="4:4">
      <c r="D1423" s="27"/>
    </row>
    <row r="1424" spans="4:4">
      <c r="D1424" s="27"/>
    </row>
    <row r="1425" spans="4:4">
      <c r="D1425" s="27"/>
    </row>
    <row r="1426" spans="4:4">
      <c r="D1426" s="27"/>
    </row>
    <row r="1427" spans="4:4">
      <c r="D1427" s="27"/>
    </row>
    <row r="1428" spans="4:4">
      <c r="D1428" s="27"/>
    </row>
    <row r="1429" spans="4:4">
      <c r="D1429" s="27"/>
    </row>
    <row r="1430" spans="4:4">
      <c r="D1430" s="27"/>
    </row>
    <row r="1431" spans="4:4">
      <c r="D1431" s="27"/>
    </row>
    <row r="1432" spans="4:4">
      <c r="D1432" s="27"/>
    </row>
    <row r="1433" spans="4:4">
      <c r="D1433" s="27"/>
    </row>
    <row r="1434" spans="4:4">
      <c r="D1434" s="27"/>
    </row>
    <row r="1435" spans="4:4">
      <c r="D1435" s="27"/>
    </row>
    <row r="1436" spans="4:4">
      <c r="D1436" s="27"/>
    </row>
    <row r="1437" spans="4:4">
      <c r="D1437" s="27"/>
    </row>
    <row r="1438" spans="4:4">
      <c r="D1438" s="27"/>
    </row>
    <row r="1439" spans="4:4">
      <c r="D1439" s="27"/>
    </row>
    <row r="1440" spans="4:4">
      <c r="D1440" s="27"/>
    </row>
    <row r="1441" spans="4:4">
      <c r="D1441" s="27"/>
    </row>
    <row r="1442" spans="4:4">
      <c r="D1442" s="27"/>
    </row>
    <row r="1443" spans="4:4">
      <c r="D1443" s="27"/>
    </row>
    <row r="1444" spans="4:4">
      <c r="D1444" s="27"/>
    </row>
    <row r="1445" spans="4:4">
      <c r="D1445" s="27"/>
    </row>
    <row r="1446" spans="4:4">
      <c r="D1446" s="27"/>
    </row>
    <row r="1447" spans="4:4">
      <c r="D1447" s="27"/>
    </row>
    <row r="1448" spans="4:4">
      <c r="D1448" s="27"/>
    </row>
    <row r="1449" spans="4:4">
      <c r="D1449" s="27"/>
    </row>
    <row r="1450" spans="4:4">
      <c r="D1450" s="27"/>
    </row>
    <row r="1451" spans="4:4">
      <c r="D1451" s="27"/>
    </row>
    <row r="1452" spans="4:4">
      <c r="D1452" s="27"/>
    </row>
    <row r="1453" spans="4:4">
      <c r="D1453" s="27"/>
    </row>
    <row r="1454" spans="4:4">
      <c r="D1454" s="27"/>
    </row>
    <row r="1455" spans="4:4">
      <c r="D1455" s="27"/>
    </row>
    <row r="1456" spans="4:4">
      <c r="D1456" s="27"/>
    </row>
    <row r="1457" spans="4:4">
      <c r="D1457" s="27"/>
    </row>
    <row r="1458" spans="4:4">
      <c r="D1458" s="27"/>
    </row>
    <row r="1459" spans="4:4">
      <c r="D1459" s="27"/>
    </row>
    <row r="1460" spans="4:4">
      <c r="D1460" s="27"/>
    </row>
    <row r="1461" spans="4:4">
      <c r="D1461" s="27"/>
    </row>
    <row r="1462" spans="4:4">
      <c r="D1462" s="27"/>
    </row>
    <row r="1463" spans="4:4">
      <c r="D1463" s="27"/>
    </row>
    <row r="1464" spans="4:4">
      <c r="D1464" s="27"/>
    </row>
    <row r="1465" spans="4:4">
      <c r="D1465" s="27"/>
    </row>
    <row r="1466" spans="4:4">
      <c r="D1466" s="27"/>
    </row>
    <row r="1467" spans="4:4">
      <c r="D1467" s="27"/>
    </row>
    <row r="1468" spans="4:4">
      <c r="D1468" s="27"/>
    </row>
    <row r="1469" spans="4:4">
      <c r="D1469" s="27"/>
    </row>
    <row r="1470" spans="4:4">
      <c r="D1470" s="27"/>
    </row>
    <row r="1471" spans="4:4">
      <c r="D1471" s="27"/>
    </row>
    <row r="1472" spans="4:4">
      <c r="D1472" s="27"/>
    </row>
    <row r="1473" spans="4:4">
      <c r="D1473" s="27"/>
    </row>
    <row r="1474" spans="4:4">
      <c r="D1474" s="27"/>
    </row>
    <row r="1475" spans="4:4">
      <c r="D1475" s="27"/>
    </row>
    <row r="1476" spans="4:4">
      <c r="D1476" s="27"/>
    </row>
    <row r="1477" spans="4:4">
      <c r="D1477" s="27"/>
    </row>
    <row r="1478" spans="4:4">
      <c r="D1478" s="27"/>
    </row>
    <row r="1479" spans="4:4">
      <c r="D1479" s="27"/>
    </row>
    <row r="1480" spans="4:4">
      <c r="D1480" s="27"/>
    </row>
    <row r="1481" spans="4:4">
      <c r="D1481" s="27"/>
    </row>
    <row r="1482" spans="4:4">
      <c r="D1482" s="27"/>
    </row>
    <row r="1483" spans="4:4">
      <c r="D1483" s="27"/>
    </row>
    <row r="1484" spans="4:4">
      <c r="D1484" s="27"/>
    </row>
    <row r="1485" spans="4:4">
      <c r="D1485" s="27"/>
    </row>
    <row r="1486" spans="4:4">
      <c r="D1486" s="27"/>
    </row>
    <row r="1487" spans="4:4">
      <c r="D1487" s="27"/>
    </row>
    <row r="1488" spans="4:4">
      <c r="D1488" s="27"/>
    </row>
    <row r="1489" spans="4:4">
      <c r="D1489" s="27"/>
    </row>
    <row r="1490" spans="4:4">
      <c r="D1490" s="27"/>
    </row>
    <row r="1491" spans="4:4">
      <c r="D1491" s="27"/>
    </row>
    <row r="1492" spans="4:4">
      <c r="D1492" s="27"/>
    </row>
    <row r="1493" spans="4:4">
      <c r="D1493" s="27"/>
    </row>
    <row r="1494" spans="4:4">
      <c r="D1494" s="27"/>
    </row>
    <row r="1495" spans="4:4">
      <c r="D1495" s="27"/>
    </row>
    <row r="1496" spans="4:4">
      <c r="D1496" s="27"/>
    </row>
    <row r="1497" spans="4:4">
      <c r="D1497" s="27"/>
    </row>
    <row r="1498" spans="4:4">
      <c r="D1498" s="27"/>
    </row>
    <row r="1499" spans="4:4">
      <c r="D1499" s="27"/>
    </row>
    <row r="1500" spans="4:4">
      <c r="D1500" s="27"/>
    </row>
    <row r="1501" spans="4:4">
      <c r="D1501" s="27"/>
    </row>
    <row r="1502" spans="4:4">
      <c r="D1502" s="27"/>
    </row>
    <row r="1503" spans="4:4">
      <c r="D1503" s="27"/>
    </row>
    <row r="1504" spans="4:4">
      <c r="D1504" s="27"/>
    </row>
    <row r="1505" spans="4:4">
      <c r="D1505" s="27"/>
    </row>
    <row r="1506" spans="4:4">
      <c r="D1506" s="27"/>
    </row>
    <row r="1507" spans="4:4">
      <c r="D1507" s="27"/>
    </row>
    <row r="1508" spans="4:4">
      <c r="D1508" s="27"/>
    </row>
    <row r="1509" spans="4:4">
      <c r="D1509" s="27"/>
    </row>
    <row r="1510" spans="4:4">
      <c r="D1510" s="27"/>
    </row>
    <row r="1511" spans="4:4">
      <c r="D1511" s="27"/>
    </row>
    <row r="1512" spans="4:4">
      <c r="D1512" s="27"/>
    </row>
    <row r="1513" spans="4:4">
      <c r="D1513" s="27"/>
    </row>
    <row r="1514" spans="4:4">
      <c r="D1514" s="27"/>
    </row>
    <row r="1515" spans="4:4">
      <c r="D1515" s="27"/>
    </row>
    <row r="1516" spans="4:4">
      <c r="D1516" s="27"/>
    </row>
    <row r="1517" spans="4:4">
      <c r="D1517" s="27"/>
    </row>
    <row r="1518" spans="4:4">
      <c r="D1518" s="27"/>
    </row>
    <row r="1519" spans="4:4">
      <c r="D1519" s="27"/>
    </row>
    <row r="1520" spans="4:4">
      <c r="D1520" s="27"/>
    </row>
    <row r="1521" spans="4:4">
      <c r="D1521" s="27"/>
    </row>
    <row r="1522" spans="4:4">
      <c r="D1522" s="27"/>
    </row>
    <row r="1523" spans="4:4">
      <c r="D1523" s="27"/>
    </row>
    <row r="1524" spans="4:4">
      <c r="D1524" s="27"/>
    </row>
    <row r="1525" spans="4:4">
      <c r="D1525" s="27"/>
    </row>
    <row r="1526" spans="4:4">
      <c r="D1526" s="27"/>
    </row>
    <row r="1527" spans="4:4">
      <c r="D1527" s="27"/>
    </row>
    <row r="1528" spans="4:4">
      <c r="D1528" s="27"/>
    </row>
    <row r="1529" spans="4:4">
      <c r="D1529" s="27"/>
    </row>
    <row r="1530" spans="4:4">
      <c r="D1530" s="27"/>
    </row>
    <row r="1531" spans="4:4">
      <c r="D1531" s="27"/>
    </row>
    <row r="1532" spans="4:4">
      <c r="D1532" s="27"/>
    </row>
    <row r="1533" spans="4:4">
      <c r="D1533" s="27"/>
    </row>
    <row r="1534" spans="4:4">
      <c r="D1534" s="27"/>
    </row>
    <row r="1535" spans="4:4">
      <c r="D1535" s="27"/>
    </row>
    <row r="1536" spans="4:4">
      <c r="D1536" s="27"/>
    </row>
    <row r="1537" spans="4:4">
      <c r="D1537" s="27"/>
    </row>
    <row r="1538" spans="4:4">
      <c r="D1538" s="27"/>
    </row>
    <row r="1539" spans="4:4">
      <c r="D1539" s="27"/>
    </row>
    <row r="1540" spans="4:4">
      <c r="D1540" s="27"/>
    </row>
    <row r="1541" spans="4:4">
      <c r="D1541" s="27"/>
    </row>
    <row r="1542" spans="4:4">
      <c r="D1542" s="27"/>
    </row>
    <row r="1543" spans="4:4">
      <c r="D1543" s="27"/>
    </row>
    <row r="1544" spans="4:4">
      <c r="D1544" s="27"/>
    </row>
    <row r="1545" spans="4:4">
      <c r="D1545" s="27"/>
    </row>
    <row r="1546" spans="4:4">
      <c r="D1546" s="27"/>
    </row>
    <row r="1547" spans="4:4">
      <c r="D1547" s="27"/>
    </row>
    <row r="1548" spans="4:4">
      <c r="D1548" s="27"/>
    </row>
    <row r="1549" spans="4:4">
      <c r="D1549" s="27"/>
    </row>
    <row r="1550" spans="4:4">
      <c r="D1550" s="27"/>
    </row>
    <row r="1551" spans="4:4">
      <c r="D1551" s="27"/>
    </row>
    <row r="1552" spans="4:4">
      <c r="D1552" s="27"/>
    </row>
    <row r="1553" spans="4:4">
      <c r="D1553" s="27"/>
    </row>
    <row r="1554" spans="4:4">
      <c r="D1554" s="27"/>
    </row>
    <row r="1555" spans="4:4">
      <c r="D1555" s="27"/>
    </row>
    <row r="1556" spans="4:4">
      <c r="D1556" s="27"/>
    </row>
    <row r="1557" spans="4:4">
      <c r="D1557" s="27"/>
    </row>
    <row r="1558" spans="4:4">
      <c r="D1558" s="27"/>
    </row>
    <row r="1559" spans="4:4">
      <c r="D1559" s="27"/>
    </row>
    <row r="1560" spans="4:4">
      <c r="D1560" s="27"/>
    </row>
    <row r="1561" spans="4:4">
      <c r="D1561" s="27"/>
    </row>
    <row r="1562" spans="4:4">
      <c r="D1562" s="27"/>
    </row>
    <row r="1563" spans="4:4">
      <c r="D1563" s="27"/>
    </row>
    <row r="1564" spans="4:4">
      <c r="D1564" s="27"/>
    </row>
    <row r="1565" spans="4:4">
      <c r="D1565" s="27"/>
    </row>
    <row r="1566" spans="4:4">
      <c r="D1566" s="27"/>
    </row>
    <row r="1567" spans="4:4">
      <c r="D1567" s="27"/>
    </row>
    <row r="1568" spans="4:4">
      <c r="D1568" s="27"/>
    </row>
    <row r="1569" spans="4:4">
      <c r="D1569" s="27"/>
    </row>
    <row r="1570" spans="4:4">
      <c r="D1570" s="27"/>
    </row>
    <row r="1571" spans="4:4">
      <c r="D1571" s="27"/>
    </row>
    <row r="1572" spans="4:4">
      <c r="D1572" s="27"/>
    </row>
    <row r="1573" spans="4:4">
      <c r="D1573" s="27"/>
    </row>
    <row r="1574" spans="4:4">
      <c r="D1574" s="27"/>
    </row>
    <row r="1575" spans="4:4">
      <c r="D1575" s="27"/>
    </row>
    <row r="1576" spans="4:4">
      <c r="D1576" s="27"/>
    </row>
    <row r="1577" spans="4:4">
      <c r="D1577" s="27"/>
    </row>
    <row r="1578" spans="4:4">
      <c r="D1578" s="27"/>
    </row>
    <row r="1579" spans="4:4">
      <c r="D1579" s="27"/>
    </row>
    <row r="1580" spans="4:4">
      <c r="D1580" s="27"/>
    </row>
    <row r="1581" spans="4:4">
      <c r="D1581" s="27"/>
    </row>
    <row r="1582" spans="4:4">
      <c r="D1582" s="27"/>
    </row>
    <row r="1583" spans="4:4">
      <c r="D1583" s="27"/>
    </row>
    <row r="1584" spans="4:4">
      <c r="D1584" s="27"/>
    </row>
    <row r="1585" spans="4:4">
      <c r="D1585" s="27"/>
    </row>
    <row r="1586" spans="4:4">
      <c r="D1586" s="27"/>
    </row>
    <row r="1587" spans="4:4">
      <c r="D1587" s="27"/>
    </row>
    <row r="1588" spans="4:4">
      <c r="D1588" s="27"/>
    </row>
    <row r="1589" spans="4:4">
      <c r="D1589" s="27"/>
    </row>
    <row r="1590" spans="4:4">
      <c r="D1590" s="27"/>
    </row>
    <row r="1591" spans="4:4">
      <c r="D1591" s="27"/>
    </row>
    <row r="1592" spans="4:4">
      <c r="D1592" s="27"/>
    </row>
    <row r="1593" spans="4:4">
      <c r="D1593" s="27"/>
    </row>
    <row r="1594" spans="4:4">
      <c r="D1594" s="27"/>
    </row>
    <row r="1595" spans="4:4">
      <c r="D1595" s="27"/>
    </row>
    <row r="1596" spans="4:4">
      <c r="D1596" s="27"/>
    </row>
    <row r="1597" spans="4:4">
      <c r="D1597" s="27"/>
    </row>
    <row r="1598" spans="4:4">
      <c r="D1598" s="27"/>
    </row>
    <row r="1599" spans="4:4">
      <c r="D1599" s="27"/>
    </row>
    <row r="1600" spans="4:4">
      <c r="D1600" s="27"/>
    </row>
    <row r="1601" spans="4:4">
      <c r="D1601" s="27"/>
    </row>
    <row r="1602" spans="4:4">
      <c r="D1602" s="27"/>
    </row>
    <row r="1603" spans="4:4">
      <c r="D1603" s="27"/>
    </row>
    <row r="1604" spans="4:4">
      <c r="D1604" s="27"/>
    </row>
    <row r="1605" spans="4:4">
      <c r="D1605" s="27"/>
    </row>
    <row r="1606" spans="4:4">
      <c r="D1606" s="27"/>
    </row>
    <row r="1607" spans="4:4">
      <c r="D1607" s="27"/>
    </row>
    <row r="1608" spans="4:4">
      <c r="D1608" s="27"/>
    </row>
    <row r="1609" spans="4:4">
      <c r="D1609" s="27"/>
    </row>
    <row r="1610" spans="4:4">
      <c r="D1610" s="27"/>
    </row>
    <row r="1611" spans="4:4">
      <c r="D1611" s="27"/>
    </row>
    <row r="1612" spans="4:4">
      <c r="D1612" s="27"/>
    </row>
    <row r="1613" spans="4:4">
      <c r="D1613" s="27"/>
    </row>
    <row r="1614" spans="4:4">
      <c r="D1614" s="27"/>
    </row>
    <row r="1615" spans="4:4">
      <c r="D1615" s="27"/>
    </row>
    <row r="1616" spans="4:4">
      <c r="D1616" s="27"/>
    </row>
    <row r="1617" spans="4:4">
      <c r="D1617" s="27"/>
    </row>
    <row r="1618" spans="4:4">
      <c r="D1618" s="27"/>
    </row>
    <row r="1619" spans="4:4">
      <c r="D1619" s="27"/>
    </row>
    <row r="1620" spans="4:4">
      <c r="D1620" s="27"/>
    </row>
    <row r="1621" spans="4:4">
      <c r="D1621" s="27"/>
    </row>
    <row r="1622" spans="4:4">
      <c r="D1622" s="27"/>
    </row>
    <row r="1623" spans="4:4">
      <c r="D1623" s="27"/>
    </row>
    <row r="1624" spans="4:4">
      <c r="D1624" s="27"/>
    </row>
    <row r="1625" spans="4:4">
      <c r="D1625" s="27"/>
    </row>
    <row r="1626" spans="4:4">
      <c r="D1626" s="27"/>
    </row>
    <row r="1627" spans="4:4">
      <c r="D1627" s="27"/>
    </row>
    <row r="1628" spans="4:4">
      <c r="D1628" s="27"/>
    </row>
    <row r="1629" spans="4:4">
      <c r="D1629" s="27"/>
    </row>
    <row r="1630" spans="4:4">
      <c r="D1630" s="27"/>
    </row>
    <row r="1631" spans="4:4">
      <c r="D1631" s="27"/>
    </row>
    <row r="1632" spans="4:4">
      <c r="D1632" s="27"/>
    </row>
    <row r="1633" spans="4:4">
      <c r="D1633" s="27"/>
    </row>
    <row r="1634" spans="4:4">
      <c r="D1634" s="27"/>
    </row>
    <row r="1635" spans="4:4">
      <c r="D1635" s="27"/>
    </row>
    <row r="1636" spans="4:4">
      <c r="D1636" s="27"/>
    </row>
    <row r="1637" spans="4:4">
      <c r="D1637" s="27"/>
    </row>
    <row r="1638" spans="4:4">
      <c r="D1638" s="27"/>
    </row>
    <row r="1639" spans="4:4">
      <c r="D1639" s="27"/>
    </row>
    <row r="1640" spans="4:4">
      <c r="D1640" s="27"/>
    </row>
    <row r="1641" spans="4:4">
      <c r="D1641" s="27"/>
    </row>
    <row r="1642" spans="4:4">
      <c r="D1642" s="27"/>
    </row>
    <row r="1643" spans="4:4">
      <c r="D1643" s="27"/>
    </row>
    <row r="1644" spans="4:4">
      <c r="D1644" s="27"/>
    </row>
    <row r="1645" spans="4:4">
      <c r="D1645" s="27"/>
    </row>
    <row r="1646" spans="4:4">
      <c r="D1646" s="27"/>
    </row>
    <row r="1647" spans="4:4">
      <c r="D1647" s="27"/>
    </row>
    <row r="1648" spans="4:4">
      <c r="D1648" s="27"/>
    </row>
    <row r="1649" spans="4:4">
      <c r="D1649" s="27"/>
    </row>
    <row r="1650" spans="4:4">
      <c r="D1650" s="27"/>
    </row>
    <row r="1651" spans="4:4">
      <c r="D1651" s="27"/>
    </row>
    <row r="1652" spans="4:4">
      <c r="D1652" s="27"/>
    </row>
    <row r="1653" spans="4:4">
      <c r="D1653" s="27"/>
    </row>
    <row r="1654" spans="4:4">
      <c r="D1654" s="27"/>
    </row>
    <row r="1655" spans="4:4">
      <c r="D1655" s="27"/>
    </row>
    <row r="1656" spans="4:4">
      <c r="D1656" s="27"/>
    </row>
    <row r="1657" spans="4:4">
      <c r="D1657" s="27"/>
    </row>
    <row r="1658" spans="4:4">
      <c r="D1658" s="27"/>
    </row>
    <row r="1659" spans="4:4">
      <c r="D1659" s="27"/>
    </row>
    <row r="1660" spans="4:4">
      <c r="D1660" s="27"/>
    </row>
    <row r="1661" spans="4:4">
      <c r="D1661" s="27"/>
    </row>
    <row r="1662" spans="4:4">
      <c r="D1662" s="27"/>
    </row>
    <row r="1663" spans="4:4">
      <c r="D1663" s="27"/>
    </row>
    <row r="1664" spans="4:4">
      <c r="D1664" s="27"/>
    </row>
    <row r="1665" spans="4:4">
      <c r="D1665" s="27"/>
    </row>
    <row r="1666" spans="4:4">
      <c r="D1666" s="27"/>
    </row>
    <row r="1667" spans="4:4">
      <c r="D1667" s="27"/>
    </row>
    <row r="1668" spans="4:4">
      <c r="D1668" s="27"/>
    </row>
    <row r="1669" spans="4:4">
      <c r="D1669" s="27"/>
    </row>
    <row r="1670" spans="4:4">
      <c r="D1670" s="27"/>
    </row>
    <row r="1671" spans="4:4">
      <c r="D1671" s="27"/>
    </row>
    <row r="1672" spans="4:4">
      <c r="D1672" s="27"/>
    </row>
    <row r="1673" spans="4:4">
      <c r="D1673" s="27"/>
    </row>
    <row r="1674" spans="4:4">
      <c r="D1674" s="27"/>
    </row>
    <row r="1675" spans="4:4">
      <c r="D1675" s="27"/>
    </row>
    <row r="1676" spans="4:4">
      <c r="D1676" s="27"/>
    </row>
    <row r="1677" spans="4:4">
      <c r="D1677" s="27"/>
    </row>
    <row r="1678" spans="4:4">
      <c r="D1678" s="27"/>
    </row>
    <row r="1679" spans="4:4">
      <c r="D1679" s="27"/>
    </row>
    <row r="1680" spans="4:4">
      <c r="D1680" s="27"/>
    </row>
    <row r="1681" spans="4:4">
      <c r="D1681" s="27"/>
    </row>
    <row r="1682" spans="4:4">
      <c r="D1682" s="27"/>
    </row>
    <row r="1683" spans="4:4">
      <c r="D1683" s="27"/>
    </row>
    <row r="1684" spans="4:4">
      <c r="D1684" s="27"/>
    </row>
    <row r="1685" spans="4:4">
      <c r="D1685" s="27"/>
    </row>
    <row r="1686" spans="4:4">
      <c r="D1686" s="27"/>
    </row>
    <row r="1687" spans="4:4">
      <c r="D1687" s="27"/>
    </row>
    <row r="1688" spans="4:4">
      <c r="D1688" s="27"/>
    </row>
    <row r="1689" spans="4:4">
      <c r="D1689" s="27"/>
    </row>
    <row r="1690" spans="4:4">
      <c r="D1690" s="27"/>
    </row>
    <row r="1691" spans="4:4">
      <c r="D1691" s="27"/>
    </row>
    <row r="1692" spans="4:4">
      <c r="D1692" s="27"/>
    </row>
    <row r="1693" spans="4:4">
      <c r="D1693" s="27"/>
    </row>
    <row r="1694" spans="4:4">
      <c r="D1694" s="27"/>
    </row>
    <row r="1695" spans="4:4">
      <c r="D1695" s="27"/>
    </row>
    <row r="1696" spans="4:4">
      <c r="D1696" s="27"/>
    </row>
    <row r="1697" spans="4:4">
      <c r="D1697" s="27"/>
    </row>
    <row r="1698" spans="4:4">
      <c r="D1698" s="27"/>
    </row>
    <row r="1699" spans="4:4">
      <c r="D1699" s="27"/>
    </row>
    <row r="1700" spans="4:4">
      <c r="D1700" s="27"/>
    </row>
    <row r="1701" spans="4:4">
      <c r="D1701" s="27"/>
    </row>
    <row r="1702" spans="4:4">
      <c r="D1702" s="27"/>
    </row>
    <row r="1703" spans="4:4">
      <c r="D1703" s="27"/>
    </row>
    <row r="1704" spans="4:4">
      <c r="D1704" s="27"/>
    </row>
    <row r="1705" spans="4:4">
      <c r="D1705" s="27"/>
    </row>
    <row r="1706" spans="4:4">
      <c r="D1706" s="27"/>
    </row>
    <row r="1707" spans="4:4">
      <c r="D1707" s="27"/>
    </row>
    <row r="1708" spans="4:4">
      <c r="D1708" s="27"/>
    </row>
    <row r="1709" spans="4:4">
      <c r="D1709" s="27"/>
    </row>
    <row r="1710" spans="4:4">
      <c r="D1710" s="27"/>
    </row>
    <row r="1711" spans="4:4">
      <c r="D1711" s="27"/>
    </row>
    <row r="1712" spans="4:4">
      <c r="D1712" s="27"/>
    </row>
    <row r="1713" spans="4:4">
      <c r="D1713" s="27"/>
    </row>
    <row r="1714" spans="4:4">
      <c r="D1714" s="27"/>
    </row>
    <row r="1715" spans="4:4">
      <c r="D1715" s="27"/>
    </row>
    <row r="1716" spans="4:4">
      <c r="D1716" s="27"/>
    </row>
    <row r="1717" spans="4:4">
      <c r="D1717" s="27"/>
    </row>
    <row r="1718" spans="4:4">
      <c r="D1718" s="27"/>
    </row>
    <row r="1719" spans="4:4">
      <c r="D1719" s="27"/>
    </row>
    <row r="1720" spans="4:4">
      <c r="D1720" s="27"/>
    </row>
    <row r="1721" spans="4:4">
      <c r="D1721" s="27"/>
    </row>
    <row r="1722" spans="4:4">
      <c r="D1722" s="27"/>
    </row>
    <row r="1723" spans="4:4">
      <c r="D1723" s="27"/>
    </row>
    <row r="1724" spans="4:4">
      <c r="D1724" s="27"/>
    </row>
    <row r="1725" spans="4:4">
      <c r="D1725" s="27"/>
    </row>
    <row r="1726" spans="4:4">
      <c r="D1726" s="27"/>
    </row>
    <row r="1727" spans="4:4">
      <c r="D1727" s="27"/>
    </row>
    <row r="1728" spans="4:4">
      <c r="D1728" s="27"/>
    </row>
    <row r="1729" spans="4:4">
      <c r="D1729" s="27"/>
    </row>
    <row r="1730" spans="4:4">
      <c r="D1730" s="27"/>
    </row>
    <row r="1731" spans="4:4">
      <c r="D1731" s="27"/>
    </row>
    <row r="1732" spans="4:4">
      <c r="D1732" s="27"/>
    </row>
    <row r="1733" spans="4:4">
      <c r="D1733" s="27"/>
    </row>
    <row r="1734" spans="4:4">
      <c r="D1734" s="27"/>
    </row>
    <row r="1735" spans="4:4">
      <c r="D1735" s="27"/>
    </row>
    <row r="1736" spans="4:4">
      <c r="D1736" s="27"/>
    </row>
    <row r="1737" spans="4:4">
      <c r="D1737" s="27"/>
    </row>
    <row r="1738" spans="4:4">
      <c r="D1738" s="27"/>
    </row>
    <row r="1739" spans="4:4">
      <c r="D1739" s="27"/>
    </row>
    <row r="1740" spans="4:4">
      <c r="D1740" s="27"/>
    </row>
    <row r="1741" spans="4:4">
      <c r="D1741" s="27"/>
    </row>
    <row r="1742" spans="4:4">
      <c r="D1742" s="27"/>
    </row>
    <row r="1743" spans="4:4">
      <c r="D1743" s="27"/>
    </row>
    <row r="1744" spans="4:4">
      <c r="D1744" s="27"/>
    </row>
    <row r="1745" spans="4:4">
      <c r="D1745" s="27"/>
    </row>
    <row r="1746" spans="4:4">
      <c r="D1746" s="27"/>
    </row>
    <row r="1747" spans="4:4">
      <c r="D1747" s="27"/>
    </row>
    <row r="1748" spans="4:4">
      <c r="D1748" s="27"/>
    </row>
    <row r="1749" spans="4:4">
      <c r="D1749" s="27"/>
    </row>
    <row r="1750" spans="4:4">
      <c r="D1750" s="27"/>
    </row>
    <row r="1751" spans="4:4">
      <c r="D1751" s="27"/>
    </row>
    <row r="1752" spans="4:4">
      <c r="D1752" s="27"/>
    </row>
    <row r="1753" spans="4:4">
      <c r="D1753" s="27"/>
    </row>
    <row r="1754" spans="4:4">
      <c r="D1754" s="27"/>
    </row>
    <row r="1755" spans="4:4">
      <c r="D1755" s="27"/>
    </row>
    <row r="1756" spans="4:4">
      <c r="D1756" s="27"/>
    </row>
    <row r="1757" spans="4:4">
      <c r="D1757" s="27"/>
    </row>
    <row r="1758" spans="4:4">
      <c r="D1758" s="27"/>
    </row>
    <row r="1759" spans="4:4">
      <c r="D1759" s="27"/>
    </row>
    <row r="1760" spans="4:4">
      <c r="D1760" s="27"/>
    </row>
    <row r="1761" spans="4:4">
      <c r="D1761" s="27"/>
    </row>
    <row r="1762" spans="4:4">
      <c r="D1762" s="27"/>
    </row>
    <row r="1763" spans="4:4">
      <c r="D1763" s="27"/>
    </row>
    <row r="1764" spans="4:4">
      <c r="D1764" s="27"/>
    </row>
    <row r="1765" spans="4:4">
      <c r="D1765" s="27"/>
    </row>
    <row r="1766" spans="4:4">
      <c r="D1766" s="27"/>
    </row>
    <row r="1767" spans="4:4">
      <c r="D1767" s="27"/>
    </row>
    <row r="1768" spans="4:4">
      <c r="D1768" s="27"/>
    </row>
    <row r="1769" spans="4:4">
      <c r="D1769" s="27"/>
    </row>
    <row r="1770" spans="4:4">
      <c r="D1770" s="27"/>
    </row>
    <row r="1771" spans="4:4">
      <c r="D1771" s="27"/>
    </row>
    <row r="1772" spans="4:4">
      <c r="D1772" s="27"/>
    </row>
    <row r="1773" spans="4:4">
      <c r="D1773" s="27"/>
    </row>
    <row r="1774" spans="4:4">
      <c r="D1774" s="27"/>
    </row>
    <row r="1775" spans="4:4">
      <c r="D1775" s="27"/>
    </row>
    <row r="1776" spans="4:4">
      <c r="D1776" s="27"/>
    </row>
    <row r="1777" spans="4:4">
      <c r="D1777" s="27"/>
    </row>
    <row r="1778" spans="4:4">
      <c r="D1778" s="27"/>
    </row>
    <row r="1779" spans="4:4">
      <c r="D1779" s="27"/>
    </row>
    <row r="1780" spans="4:4">
      <c r="D1780" s="27"/>
    </row>
    <row r="1781" spans="4:4">
      <c r="D1781" s="27"/>
    </row>
    <row r="1782" spans="4:4">
      <c r="D1782" s="27"/>
    </row>
    <row r="1783" spans="4:4">
      <c r="D1783" s="27"/>
    </row>
    <row r="1784" spans="4:4">
      <c r="D1784" s="27"/>
    </row>
    <row r="1785" spans="4:4">
      <c r="D1785" s="27"/>
    </row>
    <row r="1786" spans="4:4">
      <c r="D1786" s="27"/>
    </row>
    <row r="1787" spans="4:4">
      <c r="D1787" s="27"/>
    </row>
    <row r="1788" spans="4:4">
      <c r="D1788" s="27"/>
    </row>
    <row r="1789" spans="4:4">
      <c r="D1789" s="27"/>
    </row>
    <row r="1790" spans="4:4">
      <c r="D1790" s="27"/>
    </row>
    <row r="1791" spans="4:4">
      <c r="D1791" s="27"/>
    </row>
    <row r="1792" spans="4:4">
      <c r="D1792" s="27"/>
    </row>
    <row r="1793" spans="4:4">
      <c r="D1793" s="27"/>
    </row>
    <row r="1794" spans="4:4">
      <c r="D1794" s="27"/>
    </row>
    <row r="1795" spans="4:4">
      <c r="D1795" s="27"/>
    </row>
    <row r="1796" spans="4:4">
      <c r="D1796" s="27"/>
    </row>
    <row r="1797" spans="4:4">
      <c r="D1797" s="27"/>
    </row>
    <row r="1798" spans="4:4">
      <c r="D1798" s="27"/>
    </row>
    <row r="1799" spans="4:4">
      <c r="D1799" s="27"/>
    </row>
    <row r="1800" spans="4:4">
      <c r="D1800" s="27"/>
    </row>
    <row r="1801" spans="4:4">
      <c r="D1801" s="27"/>
    </row>
    <row r="1802" spans="4:4">
      <c r="D1802" s="27"/>
    </row>
    <row r="1803" spans="4:4">
      <c r="D1803" s="27"/>
    </row>
    <row r="1804" spans="4:4">
      <c r="D1804" s="27"/>
    </row>
    <row r="1805" spans="4:4">
      <c r="D1805" s="27"/>
    </row>
    <row r="1806" spans="4:4">
      <c r="D1806" s="27"/>
    </row>
    <row r="1807" spans="4:4">
      <c r="D1807" s="27"/>
    </row>
    <row r="1808" spans="4:4">
      <c r="D1808" s="27"/>
    </row>
    <row r="1809" spans="4:4">
      <c r="D1809" s="27"/>
    </row>
    <row r="1810" spans="4:4">
      <c r="D1810" s="27"/>
    </row>
    <row r="1811" spans="4:4">
      <c r="D1811" s="27"/>
    </row>
    <row r="1812" spans="4:4">
      <c r="D1812" s="27"/>
    </row>
    <row r="1813" spans="4:4">
      <c r="D1813" s="27"/>
    </row>
    <row r="1814" spans="4:4">
      <c r="D1814" s="27"/>
    </row>
    <row r="1815" spans="4:4">
      <c r="D1815" s="27"/>
    </row>
    <row r="1816" spans="4:4">
      <c r="D1816" s="27"/>
    </row>
    <row r="1817" spans="4:4">
      <c r="D1817" s="27"/>
    </row>
    <row r="1818" spans="4:4">
      <c r="D1818" s="27"/>
    </row>
    <row r="1819" spans="4:4">
      <c r="D1819" s="27"/>
    </row>
    <row r="1820" spans="4:4">
      <c r="D1820" s="27"/>
    </row>
    <row r="1821" spans="4:4">
      <c r="D1821" s="27"/>
    </row>
    <row r="1822" spans="4:4">
      <c r="D1822" s="27"/>
    </row>
    <row r="1823" spans="4:4">
      <c r="D1823" s="27"/>
    </row>
    <row r="1824" spans="4:4">
      <c r="D1824" s="27"/>
    </row>
    <row r="1825" spans="4:4">
      <c r="D1825" s="27"/>
    </row>
    <row r="1826" spans="4:4">
      <c r="D1826" s="27"/>
    </row>
    <row r="1827" spans="4:4">
      <c r="D1827" s="27"/>
    </row>
    <row r="1828" spans="4:4">
      <c r="D1828" s="27"/>
    </row>
    <row r="1829" spans="4:4">
      <c r="D1829" s="27"/>
    </row>
    <row r="1830" spans="4:4">
      <c r="D1830" s="27"/>
    </row>
    <row r="1831" spans="4:4">
      <c r="D1831" s="27"/>
    </row>
    <row r="1832" spans="4:4">
      <c r="D1832" s="27"/>
    </row>
    <row r="1833" spans="4:4">
      <c r="D1833" s="27"/>
    </row>
    <row r="1834" spans="4:4">
      <c r="D1834" s="27"/>
    </row>
    <row r="1835" spans="4:4">
      <c r="D1835" s="27"/>
    </row>
    <row r="1836" spans="4:4">
      <c r="D1836" s="27"/>
    </row>
    <row r="1837" spans="4:4">
      <c r="D1837" s="27"/>
    </row>
    <row r="1838" spans="4:4">
      <c r="D1838" s="27"/>
    </row>
    <row r="1839" spans="4:4">
      <c r="D1839" s="27"/>
    </row>
    <row r="1840" spans="4:4">
      <c r="D1840" s="27"/>
    </row>
    <row r="1841" spans="4:4">
      <c r="D1841" s="27"/>
    </row>
    <row r="1842" spans="4:4">
      <c r="D1842" s="27"/>
    </row>
    <row r="1843" spans="4:4">
      <c r="D1843" s="27"/>
    </row>
    <row r="1844" spans="4:4">
      <c r="D1844" s="27"/>
    </row>
    <row r="1845" spans="4:4">
      <c r="D1845" s="27"/>
    </row>
    <row r="1846" spans="4:4">
      <c r="D1846" s="27"/>
    </row>
    <row r="1847" spans="4:4">
      <c r="D1847" s="27"/>
    </row>
    <row r="1848" spans="4:4">
      <c r="D1848" s="27"/>
    </row>
    <row r="1849" spans="4:4">
      <c r="D1849" s="27"/>
    </row>
    <row r="1850" spans="4:4">
      <c r="D1850" s="27"/>
    </row>
    <row r="1851" spans="4:4">
      <c r="D1851" s="27"/>
    </row>
    <row r="1852" spans="4:4">
      <c r="D1852" s="27"/>
    </row>
    <row r="1853" spans="4:4">
      <c r="D1853" s="27"/>
    </row>
    <row r="1854" spans="4:4">
      <c r="D1854" s="27"/>
    </row>
    <row r="1855" spans="4:4">
      <c r="D1855" s="27"/>
    </row>
    <row r="1856" spans="4:4">
      <c r="D1856" s="27"/>
    </row>
    <row r="1857" spans="4:4">
      <c r="D1857" s="27"/>
    </row>
    <row r="1858" spans="4:4">
      <c r="D1858" s="27"/>
    </row>
    <row r="1859" spans="4:4">
      <c r="D1859" s="27"/>
    </row>
    <row r="1860" spans="4:4">
      <c r="D1860" s="27"/>
    </row>
    <row r="1861" spans="4:4">
      <c r="D1861" s="27"/>
    </row>
    <row r="1862" spans="4:4">
      <c r="D1862" s="27"/>
    </row>
    <row r="1863" spans="4:4">
      <c r="D1863" s="27"/>
    </row>
    <row r="1864" spans="4:4">
      <c r="D1864" s="27"/>
    </row>
    <row r="1865" spans="4:4">
      <c r="D1865" s="27"/>
    </row>
    <row r="1866" spans="4:4">
      <c r="D1866" s="27"/>
    </row>
    <row r="1867" spans="4:4">
      <c r="D1867" s="27"/>
    </row>
    <row r="1868" spans="4:4">
      <c r="D1868" s="27"/>
    </row>
    <row r="1869" spans="4:4">
      <c r="D1869" s="27"/>
    </row>
    <row r="1870" spans="4:4">
      <c r="D1870" s="27"/>
    </row>
    <row r="1871" spans="4:4">
      <c r="D1871" s="27"/>
    </row>
    <row r="1872" spans="4:4">
      <c r="D1872" s="27"/>
    </row>
    <row r="1873" spans="4:4">
      <c r="D1873" s="27"/>
    </row>
    <row r="1874" spans="4:4">
      <c r="D1874" s="27"/>
    </row>
    <row r="1875" spans="4:4">
      <c r="D1875" s="27"/>
    </row>
    <row r="1876" spans="4:4">
      <c r="D1876" s="27"/>
    </row>
    <row r="1877" spans="4:4">
      <c r="D1877" s="27"/>
    </row>
    <row r="1878" spans="4:4">
      <c r="D1878" s="27"/>
    </row>
    <row r="1879" spans="4:4">
      <c r="D1879" s="27"/>
    </row>
    <row r="1880" spans="4:4">
      <c r="D1880" s="27"/>
    </row>
    <row r="1881" spans="4:4">
      <c r="D1881" s="27"/>
    </row>
    <row r="1882" spans="4:4">
      <c r="D1882" s="27"/>
    </row>
    <row r="1883" spans="4:4">
      <c r="D1883" s="27"/>
    </row>
    <row r="1884" spans="4:4">
      <c r="D1884" s="27"/>
    </row>
    <row r="1885" spans="4:4">
      <c r="D1885" s="27"/>
    </row>
    <row r="1886" spans="4:4">
      <c r="D1886" s="27"/>
    </row>
    <row r="1887" spans="4:4">
      <c r="D1887" s="27"/>
    </row>
    <row r="1888" spans="4:4">
      <c r="D1888" s="27"/>
    </row>
    <row r="1889" spans="4:4">
      <c r="D1889" s="27"/>
    </row>
    <row r="1890" spans="4:4">
      <c r="D1890" s="27"/>
    </row>
    <row r="1891" spans="4:4">
      <c r="D1891" s="27"/>
    </row>
    <row r="1892" spans="4:4">
      <c r="D1892" s="27"/>
    </row>
    <row r="1893" spans="4:4">
      <c r="D1893" s="27"/>
    </row>
    <row r="1894" spans="4:4">
      <c r="D1894" s="27"/>
    </row>
    <row r="1895" spans="4:4">
      <c r="D1895" s="27"/>
    </row>
    <row r="1896" spans="4:4">
      <c r="D1896" s="27"/>
    </row>
    <row r="1897" spans="4:4">
      <c r="D1897" s="27"/>
    </row>
    <row r="1898" spans="4:4">
      <c r="D1898" s="27"/>
    </row>
    <row r="1899" spans="4:4">
      <c r="D1899" s="27"/>
    </row>
    <row r="1900" spans="4:4">
      <c r="D1900" s="27"/>
    </row>
    <row r="1901" spans="4:4">
      <c r="D1901" s="27"/>
    </row>
    <row r="1902" spans="4:4">
      <c r="D1902" s="27"/>
    </row>
    <row r="1903" spans="4:4">
      <c r="D1903" s="27"/>
    </row>
    <row r="1904" spans="4:4">
      <c r="D1904" s="27"/>
    </row>
    <row r="1905" spans="4:4">
      <c r="D1905" s="27"/>
    </row>
    <row r="1906" spans="4:4">
      <c r="D1906" s="27"/>
    </row>
    <row r="1907" spans="4:4">
      <c r="D1907" s="27"/>
    </row>
    <row r="1908" spans="4:4">
      <c r="D1908" s="27"/>
    </row>
    <row r="1909" spans="4:4">
      <c r="D1909" s="27"/>
    </row>
    <row r="1910" spans="4:4">
      <c r="D1910" s="27"/>
    </row>
    <row r="1911" spans="4:4">
      <c r="D1911" s="27"/>
    </row>
    <row r="1912" spans="4:4">
      <c r="D1912" s="27"/>
    </row>
    <row r="1913" spans="4:4">
      <c r="D1913" s="27"/>
    </row>
    <row r="1914" spans="4:4">
      <c r="D1914" s="27"/>
    </row>
    <row r="1915" spans="4:4">
      <c r="D1915" s="27"/>
    </row>
    <row r="1916" spans="4:4">
      <c r="D1916" s="27"/>
    </row>
    <row r="1917" spans="4:4">
      <c r="D1917" s="27"/>
    </row>
    <row r="1918" spans="4:4">
      <c r="D1918" s="27"/>
    </row>
    <row r="1919" spans="4:4">
      <c r="D1919" s="27"/>
    </row>
    <row r="1920" spans="4:4">
      <c r="D1920" s="27"/>
    </row>
    <row r="1921" spans="4:4">
      <c r="D1921" s="27"/>
    </row>
    <row r="1922" spans="4:4">
      <c r="D1922" s="27"/>
    </row>
    <row r="1923" spans="4:4">
      <c r="D1923" s="27"/>
    </row>
    <row r="1924" spans="4:4">
      <c r="D1924" s="27"/>
    </row>
    <row r="1925" spans="4:4">
      <c r="D1925" s="27"/>
    </row>
    <row r="1926" spans="4:4">
      <c r="D1926" s="27"/>
    </row>
    <row r="1927" spans="4:4">
      <c r="D1927" s="27"/>
    </row>
    <row r="1928" spans="4:4">
      <c r="D1928" s="27"/>
    </row>
    <row r="1929" spans="4:4">
      <c r="D1929" s="27"/>
    </row>
    <row r="1930" spans="4:4">
      <c r="D1930" s="27"/>
    </row>
    <row r="1931" spans="4:4">
      <c r="D1931" s="27"/>
    </row>
    <row r="1932" spans="4:4">
      <c r="D1932" s="27"/>
    </row>
    <row r="1933" spans="4:4">
      <c r="D1933" s="27"/>
    </row>
    <row r="1934" spans="4:4">
      <c r="D1934" s="27"/>
    </row>
    <row r="1935" spans="4:4">
      <c r="D1935" s="27"/>
    </row>
    <row r="1936" spans="4:4">
      <c r="D1936" s="27"/>
    </row>
    <row r="1937" spans="4:4">
      <c r="D1937" s="27"/>
    </row>
    <row r="1938" spans="4:4">
      <c r="D1938" s="27"/>
    </row>
    <row r="1939" spans="4:4">
      <c r="D1939" s="27"/>
    </row>
    <row r="1940" spans="4:4">
      <c r="D1940" s="27"/>
    </row>
    <row r="1941" spans="4:4">
      <c r="D1941" s="27"/>
    </row>
    <row r="1942" spans="4:4">
      <c r="D1942" s="27"/>
    </row>
    <row r="1943" spans="4:4">
      <c r="D1943" s="27"/>
    </row>
    <row r="1944" spans="4:4">
      <c r="D1944" s="27"/>
    </row>
    <row r="1945" spans="4:4">
      <c r="D1945" s="27"/>
    </row>
    <row r="1946" spans="4:4">
      <c r="D1946" s="27"/>
    </row>
    <row r="1947" spans="4:4">
      <c r="D1947" s="27"/>
    </row>
    <row r="1948" spans="4:4">
      <c r="D1948" s="27"/>
    </row>
    <row r="1949" spans="4:4">
      <c r="D1949" s="27"/>
    </row>
    <row r="1950" spans="4:4">
      <c r="D1950" s="27"/>
    </row>
    <row r="1951" spans="4:4">
      <c r="D1951" s="27"/>
    </row>
    <row r="1952" spans="4:4">
      <c r="D1952" s="27"/>
    </row>
    <row r="1953" spans="4:4">
      <c r="D1953" s="27"/>
    </row>
    <row r="1954" spans="4:4">
      <c r="D1954" s="27"/>
    </row>
    <row r="1955" spans="4:4">
      <c r="D1955" s="27"/>
    </row>
    <row r="1956" spans="4:4">
      <c r="D1956" s="27"/>
    </row>
    <row r="1957" spans="4:4">
      <c r="D1957" s="27"/>
    </row>
    <row r="1958" spans="4:4">
      <c r="D1958" s="27"/>
    </row>
    <row r="1959" spans="4:4">
      <c r="D1959" s="27"/>
    </row>
    <row r="1960" spans="4:4">
      <c r="D1960" s="27"/>
    </row>
    <row r="1961" spans="4:4">
      <c r="D1961" s="27"/>
    </row>
    <row r="1962" spans="4:4">
      <c r="D1962" s="27"/>
    </row>
    <row r="1963" spans="4:4">
      <c r="D1963" s="27"/>
    </row>
    <row r="1964" spans="4:4">
      <c r="D1964" s="27"/>
    </row>
    <row r="1965" spans="4:4">
      <c r="D1965" s="27"/>
    </row>
    <row r="1966" spans="4:4">
      <c r="D1966" s="27"/>
    </row>
    <row r="1967" spans="4:4">
      <c r="D1967" s="27"/>
    </row>
    <row r="1968" spans="4:4">
      <c r="D1968" s="27"/>
    </row>
    <row r="1969" spans="4:4">
      <c r="D1969" s="27"/>
    </row>
    <row r="1970" spans="4:4">
      <c r="D1970" s="27"/>
    </row>
    <row r="1971" spans="4:4">
      <c r="D1971" s="27"/>
    </row>
    <row r="1972" spans="4:4">
      <c r="D1972" s="27"/>
    </row>
    <row r="1973" spans="4:4">
      <c r="D1973" s="27"/>
    </row>
    <row r="1974" spans="4:4">
      <c r="D1974" s="27"/>
    </row>
    <row r="1975" spans="4:4">
      <c r="D1975" s="27"/>
    </row>
    <row r="1976" spans="4:4">
      <c r="D1976" s="27"/>
    </row>
    <row r="1977" spans="4:4">
      <c r="D1977" s="27"/>
    </row>
    <row r="1978" spans="4:4">
      <c r="D1978" s="27"/>
    </row>
    <row r="1979" spans="4:4">
      <c r="D1979" s="27"/>
    </row>
    <row r="1980" spans="4:4">
      <c r="D1980" s="27"/>
    </row>
    <row r="1981" spans="4:4">
      <c r="D1981" s="27"/>
    </row>
    <row r="1982" spans="4:4">
      <c r="D1982" s="27"/>
    </row>
    <row r="1983" spans="4:4">
      <c r="D1983" s="27"/>
    </row>
    <row r="1984" spans="4:4">
      <c r="D1984" s="27"/>
    </row>
    <row r="1985" spans="4:4">
      <c r="D1985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2021"/>
  <sheetViews>
    <sheetView tabSelected="1" workbookViewId="0">
      <pane ySplit="2" topLeftCell="A3" activePane="bottomLeft" state="frozen"/>
      <selection pane="bottomLeft" activeCell="E26" sqref="E26"/>
    </sheetView>
  </sheetViews>
  <sheetFormatPr defaultColWidth="12.5703125" defaultRowHeight="15.75" customHeight="1"/>
  <cols>
    <col min="1" max="1" width="44.140625" customWidth="1"/>
    <col min="2" max="2" width="13.7109375" customWidth="1"/>
    <col min="5" max="5" width="27.42578125" customWidth="1"/>
    <col min="8" max="8" width="28" customWidth="1"/>
    <col min="9" max="9" width="61.42578125" customWidth="1"/>
    <col min="10" max="10" width="15.28515625" customWidth="1"/>
    <col min="11" max="11" width="19.7109375" customWidth="1"/>
    <col min="22" max="22" width="15.42578125" customWidth="1"/>
  </cols>
  <sheetData>
    <row r="1" spans="1:12" ht="12.75">
      <c r="A1" s="43" t="s">
        <v>4567</v>
      </c>
      <c r="B1" s="58" t="s">
        <v>1</v>
      </c>
      <c r="C1" s="58" t="s">
        <v>4568</v>
      </c>
      <c r="D1" s="43" t="s">
        <v>3</v>
      </c>
      <c r="E1" s="43" t="s">
        <v>4</v>
      </c>
      <c r="F1" s="43" t="s">
        <v>5</v>
      </c>
      <c r="G1" s="43" t="s">
        <v>4569</v>
      </c>
      <c r="H1" s="65" t="s">
        <v>4570</v>
      </c>
      <c r="I1" s="4" t="s">
        <v>4571</v>
      </c>
      <c r="J1" s="43" t="s">
        <v>2101</v>
      </c>
      <c r="L1" s="66"/>
    </row>
    <row r="2" spans="1:12" ht="12.75">
      <c r="B2" s="32"/>
      <c r="H2" s="32"/>
      <c r="I2" s="9">
        <f>SUM(B3+B78+B144+B223+B295+B385+B488+B562+B647+B742+B826+B883+B908)</f>
        <v>254821815</v>
      </c>
      <c r="L2" s="35"/>
    </row>
    <row r="3" spans="1:12" ht="12.75">
      <c r="A3" s="11">
        <v>44562</v>
      </c>
      <c r="B3" s="9">
        <f>SUM(B4:B77)</f>
        <v>17549500</v>
      </c>
      <c r="C3" s="9">
        <f>SUM(C4:C76)</f>
        <v>473673.75</v>
      </c>
      <c r="D3" s="59"/>
      <c r="E3" s="59"/>
      <c r="F3" s="59"/>
      <c r="G3" s="9">
        <v>2226.12</v>
      </c>
      <c r="H3" s="9"/>
      <c r="J3" s="67"/>
      <c r="K3" s="61"/>
      <c r="L3" s="35"/>
    </row>
    <row r="4" spans="1:12" ht="12.75">
      <c r="A4" s="16" t="s">
        <v>4572</v>
      </c>
      <c r="B4" s="17">
        <v>50000</v>
      </c>
      <c r="C4" s="17">
        <f t="shared" ref="C4:C6" si="0">0.0275*B4</f>
        <v>1375</v>
      </c>
      <c r="D4" s="47">
        <v>44564</v>
      </c>
      <c r="E4" s="32" t="s">
        <v>4573</v>
      </c>
      <c r="F4" s="32" t="s">
        <v>4574</v>
      </c>
      <c r="H4" s="17"/>
      <c r="K4" s="32"/>
    </row>
    <row r="5" spans="1:12" ht="12.75">
      <c r="A5" s="16" t="s">
        <v>1566</v>
      </c>
      <c r="B5" s="17">
        <v>350000</v>
      </c>
      <c r="C5" s="17">
        <f t="shared" si="0"/>
        <v>9625</v>
      </c>
      <c r="D5" s="47">
        <v>44564</v>
      </c>
      <c r="E5" s="32" t="s">
        <v>4573</v>
      </c>
      <c r="F5" s="32" t="s">
        <v>28</v>
      </c>
      <c r="H5" s="17"/>
      <c r="J5" s="21" t="s">
        <v>30</v>
      </c>
      <c r="K5" s="32"/>
    </row>
    <row r="6" spans="1:12" ht="12.75">
      <c r="A6" s="16" t="s">
        <v>4575</v>
      </c>
      <c r="B6" s="17">
        <v>150000</v>
      </c>
      <c r="C6" s="17">
        <f t="shared" si="0"/>
        <v>4125</v>
      </c>
      <c r="D6" s="47">
        <v>44564</v>
      </c>
      <c r="E6" s="32" t="s">
        <v>4576</v>
      </c>
      <c r="F6" s="32" t="s">
        <v>4574</v>
      </c>
      <c r="G6" s="68" t="s">
        <v>4577</v>
      </c>
      <c r="H6" s="17">
        <v>1350</v>
      </c>
      <c r="J6" s="16"/>
    </row>
    <row r="7" spans="1:12" ht="12.75">
      <c r="A7" s="16" t="s">
        <v>1494</v>
      </c>
      <c r="B7" s="17">
        <v>200000</v>
      </c>
      <c r="C7" s="17">
        <v>0</v>
      </c>
      <c r="D7" s="47">
        <v>44565</v>
      </c>
      <c r="E7" s="32" t="s">
        <v>4573</v>
      </c>
      <c r="F7" s="32" t="s">
        <v>4574</v>
      </c>
      <c r="H7" s="32"/>
      <c r="I7" s="17" t="s">
        <v>4578</v>
      </c>
      <c r="J7" s="32"/>
    </row>
    <row r="8" spans="1:12" ht="12.75">
      <c r="A8" s="16" t="s">
        <v>1567</v>
      </c>
      <c r="B8" s="17">
        <v>250000</v>
      </c>
      <c r="C8" s="17">
        <f t="shared" ref="C8:C44" si="1">0.0275*B8</f>
        <v>6875</v>
      </c>
      <c r="D8" s="47">
        <v>44566</v>
      </c>
      <c r="E8" s="32" t="s">
        <v>4023</v>
      </c>
      <c r="F8" s="32" t="s">
        <v>28</v>
      </c>
      <c r="H8" s="17"/>
      <c r="J8" s="21" t="s">
        <v>30</v>
      </c>
      <c r="K8" s="32"/>
    </row>
    <row r="9" spans="1:12" ht="12.75">
      <c r="A9" s="16" t="s">
        <v>1568</v>
      </c>
      <c r="B9" s="17">
        <v>250000</v>
      </c>
      <c r="C9" s="17">
        <f t="shared" si="1"/>
        <v>6875</v>
      </c>
      <c r="D9" s="47">
        <v>44566</v>
      </c>
      <c r="E9" s="32" t="s">
        <v>4573</v>
      </c>
      <c r="F9" s="32" t="s">
        <v>28</v>
      </c>
      <c r="H9" s="17"/>
      <c r="J9" s="21" t="s">
        <v>30</v>
      </c>
      <c r="K9" s="32"/>
    </row>
    <row r="10" spans="1:12" ht="12.75">
      <c r="A10" s="16" t="s">
        <v>1462</v>
      </c>
      <c r="B10" s="17">
        <v>130000</v>
      </c>
      <c r="C10" s="17">
        <f t="shared" si="1"/>
        <v>3575</v>
      </c>
      <c r="D10" s="47">
        <v>44566</v>
      </c>
      <c r="E10" s="32" t="s">
        <v>4573</v>
      </c>
      <c r="F10" s="32" t="s">
        <v>4574</v>
      </c>
      <c r="H10" s="17"/>
      <c r="K10" s="32"/>
    </row>
    <row r="11" spans="1:12" ht="12.75">
      <c r="A11" s="16" t="s">
        <v>1569</v>
      </c>
      <c r="B11" s="17">
        <v>815000</v>
      </c>
      <c r="C11" s="17">
        <f t="shared" si="1"/>
        <v>22412.5</v>
      </c>
      <c r="D11" s="47">
        <v>44567</v>
      </c>
      <c r="E11" s="32" t="s">
        <v>4573</v>
      </c>
      <c r="F11" s="32" t="s">
        <v>4574</v>
      </c>
      <c r="H11" s="17"/>
      <c r="K11" s="32"/>
    </row>
    <row r="12" spans="1:12" ht="12.75">
      <c r="A12" s="16" t="s">
        <v>1474</v>
      </c>
      <c r="B12" s="17">
        <v>200000</v>
      </c>
      <c r="C12" s="17">
        <f t="shared" si="1"/>
        <v>5500</v>
      </c>
      <c r="D12" s="47">
        <v>44567</v>
      </c>
      <c r="E12" s="32" t="s">
        <v>4573</v>
      </c>
      <c r="F12" s="32" t="s">
        <v>4574</v>
      </c>
      <c r="H12" s="17"/>
      <c r="K12" s="32"/>
    </row>
    <row r="13" spans="1:12" ht="12.75">
      <c r="A13" s="16" t="s">
        <v>4579</v>
      </c>
      <c r="B13" s="17">
        <v>105000</v>
      </c>
      <c r="C13" s="17">
        <f t="shared" si="1"/>
        <v>2887.5</v>
      </c>
      <c r="D13" s="47">
        <v>44567</v>
      </c>
      <c r="E13" s="32" t="s">
        <v>4023</v>
      </c>
      <c r="F13" s="32" t="s">
        <v>4574</v>
      </c>
      <c r="H13" s="17"/>
      <c r="K13" s="32"/>
    </row>
    <row r="14" spans="1:12" ht="12.75">
      <c r="A14" s="16" t="s">
        <v>1518</v>
      </c>
      <c r="B14" s="17">
        <v>212000</v>
      </c>
      <c r="C14" s="17">
        <f t="shared" si="1"/>
        <v>5830</v>
      </c>
      <c r="D14" s="47">
        <v>44567</v>
      </c>
      <c r="E14" s="32" t="s">
        <v>73</v>
      </c>
      <c r="F14" s="32" t="s">
        <v>4574</v>
      </c>
      <c r="H14" s="17"/>
      <c r="K14" s="32"/>
    </row>
    <row r="15" spans="1:12" ht="12.75">
      <c r="A15" s="16" t="s">
        <v>1570</v>
      </c>
      <c r="B15" s="17">
        <v>15000</v>
      </c>
      <c r="C15" s="17">
        <f t="shared" si="1"/>
        <v>412.5</v>
      </c>
      <c r="D15" s="47">
        <v>44568</v>
      </c>
      <c r="E15" s="32" t="s">
        <v>73</v>
      </c>
      <c r="F15" s="32" t="s">
        <v>4574</v>
      </c>
      <c r="K15" s="32"/>
    </row>
    <row r="16" spans="1:12" ht="12.75">
      <c r="A16" s="16" t="s">
        <v>1571</v>
      </c>
      <c r="B16" s="17">
        <v>20000</v>
      </c>
      <c r="C16" s="17">
        <f t="shared" si="1"/>
        <v>550</v>
      </c>
      <c r="D16" s="47">
        <v>44568</v>
      </c>
      <c r="E16" s="32" t="s">
        <v>4573</v>
      </c>
      <c r="F16" s="32" t="s">
        <v>28</v>
      </c>
      <c r="K16" s="32"/>
    </row>
    <row r="17" spans="1:11" ht="12.75">
      <c r="A17" s="16" t="s">
        <v>1455</v>
      </c>
      <c r="B17" s="17">
        <v>180000</v>
      </c>
      <c r="C17" s="17">
        <f t="shared" si="1"/>
        <v>4950</v>
      </c>
      <c r="D17" s="47">
        <v>44568</v>
      </c>
      <c r="E17" s="32" t="s">
        <v>4573</v>
      </c>
      <c r="F17" s="32" t="s">
        <v>4574</v>
      </c>
      <c r="K17" s="32"/>
    </row>
    <row r="18" spans="1:11" ht="12.75">
      <c r="A18" s="16" t="s">
        <v>1572</v>
      </c>
      <c r="B18" s="17">
        <v>250000</v>
      </c>
      <c r="C18" s="17">
        <f t="shared" si="1"/>
        <v>6875</v>
      </c>
      <c r="D18" s="47">
        <v>44568</v>
      </c>
      <c r="E18" s="32" t="s">
        <v>4573</v>
      </c>
      <c r="F18" s="32" t="s">
        <v>28</v>
      </c>
      <c r="H18" s="17"/>
      <c r="J18" s="21" t="s">
        <v>30</v>
      </c>
      <c r="K18" s="32"/>
    </row>
    <row r="19" spans="1:11" ht="12.75">
      <c r="A19" s="16" t="s">
        <v>1573</v>
      </c>
      <c r="B19" s="17">
        <v>15000</v>
      </c>
      <c r="C19" s="17">
        <f t="shared" si="1"/>
        <v>412.5</v>
      </c>
      <c r="D19" s="47">
        <v>44568</v>
      </c>
      <c r="E19" s="32" t="s">
        <v>4573</v>
      </c>
      <c r="F19" s="32" t="s">
        <v>28</v>
      </c>
      <c r="H19" s="17"/>
      <c r="K19" s="32"/>
    </row>
    <row r="20" spans="1:11" ht="12.75">
      <c r="A20" s="16" t="s">
        <v>1574</v>
      </c>
      <c r="B20" s="17">
        <v>50000</v>
      </c>
      <c r="C20" s="17">
        <f t="shared" si="1"/>
        <v>1375</v>
      </c>
      <c r="D20" s="47">
        <v>44572</v>
      </c>
      <c r="E20" s="32" t="s">
        <v>4573</v>
      </c>
      <c r="F20" s="32" t="s">
        <v>28</v>
      </c>
      <c r="H20" s="17"/>
      <c r="J20" s="21" t="s">
        <v>30</v>
      </c>
      <c r="K20" s="32"/>
    </row>
    <row r="21" spans="1:11" ht="12.75">
      <c r="A21" s="16" t="s">
        <v>1575</v>
      </c>
      <c r="B21" s="17">
        <v>75000</v>
      </c>
      <c r="C21" s="17">
        <f t="shared" si="1"/>
        <v>2062.5</v>
      </c>
      <c r="D21" s="47">
        <v>44572</v>
      </c>
      <c r="E21" s="32" t="s">
        <v>4573</v>
      </c>
      <c r="F21" s="32" t="s">
        <v>28</v>
      </c>
      <c r="H21" s="17"/>
      <c r="K21" s="32"/>
    </row>
    <row r="22" spans="1:11" ht="12.75">
      <c r="A22" s="16" t="s">
        <v>1576</v>
      </c>
      <c r="B22" s="17">
        <v>20000</v>
      </c>
      <c r="C22" s="17">
        <f t="shared" si="1"/>
        <v>550</v>
      </c>
      <c r="D22" s="47">
        <v>44572</v>
      </c>
      <c r="E22" s="32" t="s">
        <v>4573</v>
      </c>
      <c r="F22" s="32" t="s">
        <v>28</v>
      </c>
      <c r="H22" s="17"/>
      <c r="K22" s="32"/>
    </row>
    <row r="23" spans="1:11" ht="12.75">
      <c r="A23" s="16" t="s">
        <v>1577</v>
      </c>
      <c r="B23" s="17">
        <v>500000</v>
      </c>
      <c r="C23" s="17">
        <f t="shared" si="1"/>
        <v>13750</v>
      </c>
      <c r="D23" s="47">
        <v>44573</v>
      </c>
      <c r="E23" s="32" t="s">
        <v>4573</v>
      </c>
      <c r="F23" s="32" t="s">
        <v>28</v>
      </c>
      <c r="H23" s="17"/>
      <c r="J23" s="21" t="s">
        <v>30</v>
      </c>
      <c r="K23" s="32"/>
    </row>
    <row r="24" spans="1:11" ht="12.75">
      <c r="A24" s="16" t="s">
        <v>1578</v>
      </c>
      <c r="B24" s="17">
        <v>275000</v>
      </c>
      <c r="C24" s="17">
        <f t="shared" si="1"/>
        <v>7562.5</v>
      </c>
      <c r="D24" s="47">
        <v>44573</v>
      </c>
      <c r="E24" s="32" t="s">
        <v>4023</v>
      </c>
      <c r="F24" s="32" t="s">
        <v>28</v>
      </c>
      <c r="H24" s="17"/>
      <c r="J24" s="21" t="s">
        <v>30</v>
      </c>
      <c r="K24" s="32"/>
    </row>
    <row r="25" spans="1:11" ht="12.75">
      <c r="A25" s="16" t="s">
        <v>1579</v>
      </c>
      <c r="B25" s="17">
        <v>20000</v>
      </c>
      <c r="C25" s="17">
        <f t="shared" si="1"/>
        <v>550</v>
      </c>
      <c r="D25" s="47">
        <v>44573</v>
      </c>
      <c r="E25" s="32" t="s">
        <v>4573</v>
      </c>
      <c r="F25" s="32" t="s">
        <v>28</v>
      </c>
      <c r="H25" s="17"/>
      <c r="K25" s="32"/>
    </row>
    <row r="26" spans="1:11" ht="12.75">
      <c r="A26" s="16" t="s">
        <v>1580</v>
      </c>
      <c r="B26" s="17">
        <v>75000</v>
      </c>
      <c r="C26" s="17">
        <f t="shared" si="1"/>
        <v>2062.5</v>
      </c>
      <c r="D26" s="47">
        <v>44573</v>
      </c>
      <c r="E26" s="32" t="s">
        <v>2120</v>
      </c>
      <c r="F26" s="32" t="s">
        <v>28</v>
      </c>
      <c r="H26" s="17"/>
      <c r="K26" s="32"/>
    </row>
    <row r="27" spans="1:11" ht="12.75">
      <c r="A27" s="16" t="s">
        <v>1582</v>
      </c>
      <c r="B27" s="17">
        <v>250000</v>
      </c>
      <c r="C27" s="17">
        <f t="shared" si="1"/>
        <v>6875</v>
      </c>
      <c r="D27" s="47">
        <v>44573</v>
      </c>
      <c r="E27" s="32" t="s">
        <v>461</v>
      </c>
      <c r="F27" s="32" t="s">
        <v>28</v>
      </c>
      <c r="H27" s="17"/>
      <c r="J27" s="21" t="s">
        <v>30</v>
      </c>
      <c r="K27" s="32"/>
    </row>
    <row r="28" spans="1:11" ht="12.75">
      <c r="A28" s="16" t="s">
        <v>1581</v>
      </c>
      <c r="B28" s="17">
        <v>300000</v>
      </c>
      <c r="C28" s="17">
        <f t="shared" si="1"/>
        <v>8250</v>
      </c>
      <c r="D28" s="47">
        <v>44573</v>
      </c>
      <c r="E28" s="32" t="s">
        <v>4023</v>
      </c>
      <c r="F28" s="32" t="s">
        <v>28</v>
      </c>
      <c r="H28" s="17"/>
      <c r="J28" s="21" t="s">
        <v>30</v>
      </c>
      <c r="K28" s="32"/>
    </row>
    <row r="29" spans="1:11" ht="12.75">
      <c r="A29" s="16" t="s">
        <v>1556</v>
      </c>
      <c r="B29" s="17">
        <v>100000</v>
      </c>
      <c r="C29" s="17">
        <f t="shared" si="1"/>
        <v>2750</v>
      </c>
      <c r="D29" s="47">
        <v>44573</v>
      </c>
      <c r="E29" s="32" t="s">
        <v>4573</v>
      </c>
      <c r="F29" s="32" t="s">
        <v>4574</v>
      </c>
      <c r="H29" s="17"/>
      <c r="K29" s="32"/>
    </row>
    <row r="30" spans="1:11" ht="12.75">
      <c r="A30" s="16" t="s">
        <v>1583</v>
      </c>
      <c r="B30" s="17">
        <v>100000</v>
      </c>
      <c r="C30" s="17">
        <f t="shared" si="1"/>
        <v>2750</v>
      </c>
      <c r="D30" s="47">
        <v>44574</v>
      </c>
      <c r="E30" s="32" t="s">
        <v>4573</v>
      </c>
      <c r="F30" s="32" t="s">
        <v>28</v>
      </c>
      <c r="H30" s="17"/>
      <c r="J30" s="21" t="s">
        <v>30</v>
      </c>
      <c r="K30" s="32"/>
    </row>
    <row r="31" spans="1:11" ht="12.75">
      <c r="A31" s="16" t="s">
        <v>1584</v>
      </c>
      <c r="B31" s="17">
        <v>500000</v>
      </c>
      <c r="C31" s="17">
        <f t="shared" si="1"/>
        <v>13750</v>
      </c>
      <c r="D31" s="47">
        <v>44574</v>
      </c>
      <c r="E31" s="32" t="s">
        <v>4573</v>
      </c>
      <c r="F31" s="32" t="s">
        <v>4574</v>
      </c>
      <c r="H31" s="17"/>
      <c r="K31" s="32"/>
    </row>
    <row r="32" spans="1:11" ht="12.75">
      <c r="A32" s="16" t="s">
        <v>1585</v>
      </c>
      <c r="B32" s="17">
        <v>100000</v>
      </c>
      <c r="C32" s="17">
        <f t="shared" si="1"/>
        <v>2750</v>
      </c>
      <c r="D32" s="47">
        <v>44574</v>
      </c>
      <c r="E32" s="32" t="s">
        <v>4573</v>
      </c>
      <c r="F32" s="32" t="s">
        <v>28</v>
      </c>
      <c r="H32" s="17"/>
      <c r="K32" s="32"/>
    </row>
    <row r="33" spans="1:11" ht="12.75">
      <c r="A33" s="16" t="s">
        <v>1586</v>
      </c>
      <c r="B33" s="17">
        <v>500000</v>
      </c>
      <c r="C33" s="17">
        <f t="shared" si="1"/>
        <v>13750</v>
      </c>
      <c r="D33" s="47">
        <v>44575</v>
      </c>
      <c r="E33" s="32" t="s">
        <v>4573</v>
      </c>
      <c r="F33" s="32" t="s">
        <v>28</v>
      </c>
      <c r="H33" s="17"/>
      <c r="J33" s="21" t="s">
        <v>30</v>
      </c>
      <c r="K33" s="32"/>
    </row>
    <row r="34" spans="1:11" ht="12.75">
      <c r="A34" s="16" t="s">
        <v>1587</v>
      </c>
      <c r="B34" s="17">
        <v>88000</v>
      </c>
      <c r="C34" s="17">
        <f t="shared" si="1"/>
        <v>2420</v>
      </c>
      <c r="D34" s="47">
        <v>44579</v>
      </c>
      <c r="E34" s="32" t="s">
        <v>4573</v>
      </c>
      <c r="F34" s="32" t="s">
        <v>28</v>
      </c>
      <c r="H34" s="17"/>
      <c r="K34" s="32"/>
    </row>
    <row r="35" spans="1:11" ht="12.75">
      <c r="A35" s="16" t="s">
        <v>1588</v>
      </c>
      <c r="B35" s="17">
        <v>150000</v>
      </c>
      <c r="C35" s="17">
        <f t="shared" si="1"/>
        <v>4125</v>
      </c>
      <c r="D35" s="47">
        <v>44579</v>
      </c>
      <c r="E35" s="32" t="s">
        <v>4573</v>
      </c>
      <c r="F35" s="32" t="s">
        <v>28</v>
      </c>
      <c r="H35" s="17"/>
      <c r="J35" s="21" t="s">
        <v>30</v>
      </c>
      <c r="K35" s="32"/>
    </row>
    <row r="36" spans="1:11" ht="12.75">
      <c r="A36" s="16" t="s">
        <v>1589</v>
      </c>
      <c r="B36" s="17">
        <v>500000</v>
      </c>
      <c r="C36" s="17">
        <f t="shared" si="1"/>
        <v>13750</v>
      </c>
      <c r="D36" s="47">
        <v>44579</v>
      </c>
      <c r="E36" s="32" t="s">
        <v>4573</v>
      </c>
      <c r="F36" s="32" t="s">
        <v>4574</v>
      </c>
      <c r="H36" s="17"/>
      <c r="K36" s="32"/>
    </row>
    <row r="37" spans="1:11" ht="12.75">
      <c r="A37" s="16" t="s">
        <v>1498</v>
      </c>
      <c r="B37" s="17">
        <v>500000</v>
      </c>
      <c r="C37" s="17">
        <f t="shared" si="1"/>
        <v>13750</v>
      </c>
      <c r="D37" s="47">
        <v>44580</v>
      </c>
      <c r="E37" s="32" t="s">
        <v>2120</v>
      </c>
      <c r="F37" s="32" t="s">
        <v>28</v>
      </c>
      <c r="H37" s="17"/>
      <c r="K37" s="32"/>
    </row>
    <row r="38" spans="1:11" ht="12.75">
      <c r="A38" s="16" t="s">
        <v>1464</v>
      </c>
      <c r="B38" s="17">
        <v>350000</v>
      </c>
      <c r="C38" s="17">
        <f t="shared" si="1"/>
        <v>9625</v>
      </c>
      <c r="D38" s="47">
        <v>44580</v>
      </c>
      <c r="E38" s="32" t="s">
        <v>73</v>
      </c>
      <c r="F38" s="32" t="s">
        <v>4574</v>
      </c>
      <c r="H38" s="17"/>
      <c r="K38" s="32"/>
    </row>
    <row r="39" spans="1:11" ht="12.75">
      <c r="A39" s="16" t="s">
        <v>1590</v>
      </c>
      <c r="B39" s="17">
        <v>163000</v>
      </c>
      <c r="C39" s="17">
        <f t="shared" si="1"/>
        <v>4482.5</v>
      </c>
      <c r="D39" s="47">
        <v>44580</v>
      </c>
      <c r="E39" s="32" t="s">
        <v>4573</v>
      </c>
      <c r="F39" s="32" t="s">
        <v>4574</v>
      </c>
      <c r="H39" s="17"/>
      <c r="K39" s="32"/>
    </row>
    <row r="40" spans="1:11" ht="12.75">
      <c r="A40" s="16" t="s">
        <v>1562</v>
      </c>
      <c r="B40" s="17">
        <v>50000</v>
      </c>
      <c r="C40" s="17">
        <f t="shared" si="1"/>
        <v>1375</v>
      </c>
      <c r="D40" s="47">
        <v>44580</v>
      </c>
      <c r="E40" s="32" t="s">
        <v>4573</v>
      </c>
      <c r="F40" s="32" t="s">
        <v>4574</v>
      </c>
      <c r="H40" s="17"/>
      <c r="K40" s="32"/>
    </row>
    <row r="41" spans="1:11" ht="12.75">
      <c r="A41" s="16" t="s">
        <v>1574</v>
      </c>
      <c r="B41" s="17">
        <v>25000</v>
      </c>
      <c r="C41" s="17">
        <f t="shared" si="1"/>
        <v>687.5</v>
      </c>
      <c r="D41" s="47">
        <v>44580</v>
      </c>
      <c r="E41" s="32" t="s">
        <v>4573</v>
      </c>
      <c r="F41" s="32" t="s">
        <v>4574</v>
      </c>
      <c r="H41" s="17"/>
      <c r="K41" s="32"/>
    </row>
    <row r="42" spans="1:11" ht="12.75">
      <c r="A42" s="16" t="s">
        <v>1543</v>
      </c>
      <c r="B42" s="17">
        <v>20000</v>
      </c>
      <c r="C42" s="17">
        <f t="shared" si="1"/>
        <v>550</v>
      </c>
      <c r="D42" s="47">
        <v>44580</v>
      </c>
      <c r="E42" s="32" t="s">
        <v>4573</v>
      </c>
      <c r="F42" s="32" t="s">
        <v>4574</v>
      </c>
      <c r="H42" s="17"/>
      <c r="K42" s="32"/>
    </row>
    <row r="43" spans="1:11" ht="12.75">
      <c r="A43" s="16" t="s">
        <v>1591</v>
      </c>
      <c r="B43" s="17">
        <v>200000</v>
      </c>
      <c r="C43" s="17">
        <f t="shared" si="1"/>
        <v>5500</v>
      </c>
      <c r="D43" s="47">
        <v>44581</v>
      </c>
      <c r="E43" s="32" t="s">
        <v>4573</v>
      </c>
      <c r="F43" s="32" t="s">
        <v>28</v>
      </c>
      <c r="H43" s="17"/>
      <c r="J43" s="21" t="s">
        <v>30</v>
      </c>
      <c r="K43" s="32"/>
    </row>
    <row r="44" spans="1:11" ht="12.75">
      <c r="A44" s="16" t="s">
        <v>1592</v>
      </c>
      <c r="B44" s="17">
        <v>100000</v>
      </c>
      <c r="C44" s="17">
        <f t="shared" si="1"/>
        <v>2750</v>
      </c>
      <c r="D44" s="47">
        <v>44581</v>
      </c>
      <c r="E44" s="32" t="s">
        <v>4573</v>
      </c>
      <c r="F44" s="32" t="s">
        <v>28</v>
      </c>
      <c r="H44" s="17"/>
      <c r="K44" s="32"/>
    </row>
    <row r="45" spans="1:11" ht="12.75">
      <c r="A45" s="16" t="s">
        <v>4580</v>
      </c>
      <c r="B45" s="17">
        <v>20000</v>
      </c>
      <c r="C45" s="17">
        <v>550</v>
      </c>
      <c r="D45" s="47">
        <v>44582</v>
      </c>
      <c r="E45" s="32" t="s">
        <v>4576</v>
      </c>
      <c r="F45" s="32" t="s">
        <v>28</v>
      </c>
      <c r="G45" s="68" t="s">
        <v>4577</v>
      </c>
      <c r="H45" s="17">
        <v>360</v>
      </c>
      <c r="K45" s="32"/>
    </row>
    <row r="46" spans="1:11" ht="12.75">
      <c r="A46" s="16" t="s">
        <v>1593</v>
      </c>
      <c r="B46" s="17">
        <v>60000</v>
      </c>
      <c r="C46" s="17">
        <f t="shared" ref="C46:C55" si="2">0.0275*B46</f>
        <v>1650</v>
      </c>
      <c r="D46" s="47">
        <v>44582</v>
      </c>
      <c r="E46" s="32" t="s">
        <v>4023</v>
      </c>
      <c r="F46" s="32" t="s">
        <v>28</v>
      </c>
      <c r="H46" s="17"/>
      <c r="J46" s="21" t="s">
        <v>30</v>
      </c>
      <c r="K46" s="32"/>
    </row>
    <row r="47" spans="1:11" ht="12.75">
      <c r="A47" s="16" t="s">
        <v>1522</v>
      </c>
      <c r="B47" s="17">
        <v>25000</v>
      </c>
      <c r="C47" s="17">
        <f t="shared" si="2"/>
        <v>687.5</v>
      </c>
      <c r="D47" s="47">
        <v>44582</v>
      </c>
      <c r="E47" s="32" t="s">
        <v>4573</v>
      </c>
      <c r="F47" s="32" t="s">
        <v>4574</v>
      </c>
      <c r="H47" s="17"/>
      <c r="K47" s="32"/>
    </row>
    <row r="48" spans="1:11" ht="12.75">
      <c r="A48" s="16" t="s">
        <v>1594</v>
      </c>
      <c r="B48" s="17">
        <v>75000</v>
      </c>
      <c r="C48" s="17">
        <f t="shared" si="2"/>
        <v>2062.5</v>
      </c>
      <c r="D48" s="47">
        <v>44582</v>
      </c>
      <c r="E48" s="32" t="s">
        <v>4023</v>
      </c>
      <c r="F48" s="32" t="s">
        <v>28</v>
      </c>
      <c r="H48" s="17"/>
      <c r="J48" s="21" t="s">
        <v>30</v>
      </c>
      <c r="K48" s="32"/>
    </row>
    <row r="49" spans="1:11" ht="12.75">
      <c r="A49" s="16" t="s">
        <v>1595</v>
      </c>
      <c r="B49" s="17">
        <v>25500</v>
      </c>
      <c r="C49" s="17">
        <f t="shared" si="2"/>
        <v>701.25</v>
      </c>
      <c r="D49" s="47">
        <v>44582</v>
      </c>
      <c r="E49" s="32" t="s">
        <v>4573</v>
      </c>
      <c r="F49" s="32" t="s">
        <v>28</v>
      </c>
      <c r="H49" s="17"/>
      <c r="K49" s="32"/>
    </row>
    <row r="50" spans="1:11" ht="12.75">
      <c r="A50" s="16" t="s">
        <v>1481</v>
      </c>
      <c r="B50" s="17">
        <v>115000</v>
      </c>
      <c r="C50" s="17">
        <f t="shared" si="2"/>
        <v>3162.5</v>
      </c>
      <c r="D50" s="47">
        <v>44582</v>
      </c>
      <c r="E50" s="32" t="s">
        <v>4573</v>
      </c>
      <c r="F50" s="32" t="s">
        <v>4574</v>
      </c>
      <c r="H50" s="17"/>
      <c r="J50" s="23"/>
      <c r="K50" s="32"/>
    </row>
    <row r="51" spans="1:11" ht="12.75">
      <c r="A51" s="16" t="s">
        <v>1596</v>
      </c>
      <c r="B51" s="17">
        <v>100000</v>
      </c>
      <c r="C51" s="17">
        <f t="shared" si="2"/>
        <v>2750</v>
      </c>
      <c r="D51" s="47">
        <v>44585</v>
      </c>
      <c r="E51" s="32" t="s">
        <v>4573</v>
      </c>
      <c r="F51" s="32" t="s">
        <v>28</v>
      </c>
      <c r="H51" s="17"/>
      <c r="J51" s="21" t="s">
        <v>30</v>
      </c>
      <c r="K51" s="32"/>
    </row>
    <row r="52" spans="1:11" ht="12.75">
      <c r="A52" s="16" t="s">
        <v>1597</v>
      </c>
      <c r="B52" s="17">
        <v>300000</v>
      </c>
      <c r="C52" s="17">
        <f t="shared" si="2"/>
        <v>8250</v>
      </c>
      <c r="D52" s="47">
        <v>44585</v>
      </c>
      <c r="E52" s="32" t="s">
        <v>4573</v>
      </c>
      <c r="F52" s="32" t="s">
        <v>28</v>
      </c>
      <c r="H52" s="17"/>
      <c r="K52" s="32"/>
    </row>
    <row r="53" spans="1:11" ht="12.75">
      <c r="A53" s="16" t="s">
        <v>1598</v>
      </c>
      <c r="B53" s="17">
        <v>350000</v>
      </c>
      <c r="C53" s="17">
        <f t="shared" si="2"/>
        <v>9625</v>
      </c>
      <c r="D53" s="47">
        <v>44585</v>
      </c>
      <c r="E53" s="32" t="s">
        <v>4573</v>
      </c>
      <c r="F53" s="32" t="s">
        <v>28</v>
      </c>
      <c r="H53" s="17"/>
      <c r="J53" s="23"/>
      <c r="K53" s="32"/>
    </row>
    <row r="54" spans="1:11" ht="12.75">
      <c r="A54" s="16" t="s">
        <v>4581</v>
      </c>
      <c r="B54" s="17">
        <v>150000</v>
      </c>
      <c r="C54" s="17">
        <f t="shared" si="2"/>
        <v>4125</v>
      </c>
      <c r="D54" s="47">
        <v>44585</v>
      </c>
      <c r="E54" s="32" t="s">
        <v>3576</v>
      </c>
      <c r="F54" s="32" t="s">
        <v>28</v>
      </c>
      <c r="H54" s="17"/>
      <c r="J54" s="21" t="s">
        <v>30</v>
      </c>
      <c r="K54" s="32"/>
    </row>
    <row r="55" spans="1:11" ht="12.75">
      <c r="A55" s="16" t="s">
        <v>1538</v>
      </c>
      <c r="B55" s="17">
        <v>200000</v>
      </c>
      <c r="C55" s="17">
        <f t="shared" si="2"/>
        <v>5500</v>
      </c>
      <c r="D55" s="47">
        <v>44585</v>
      </c>
      <c r="E55" s="32" t="s">
        <v>4573</v>
      </c>
      <c r="F55" s="32" t="s">
        <v>4574</v>
      </c>
      <c r="H55" s="17"/>
      <c r="K55" s="32"/>
    </row>
    <row r="56" spans="1:11" ht="12.75">
      <c r="A56" s="16" t="s">
        <v>1476</v>
      </c>
      <c r="B56" s="17">
        <v>22500</v>
      </c>
      <c r="C56" s="17">
        <v>618.75</v>
      </c>
      <c r="D56" s="47">
        <v>44585</v>
      </c>
      <c r="E56" s="32" t="s">
        <v>4573</v>
      </c>
      <c r="F56" s="32" t="s">
        <v>4574</v>
      </c>
      <c r="H56" s="17"/>
      <c r="K56" s="32"/>
    </row>
    <row r="57" spans="1:11" ht="12.75">
      <c r="A57" s="16" t="s">
        <v>1510</v>
      </c>
      <c r="B57" s="17">
        <v>180000</v>
      </c>
      <c r="C57" s="17">
        <f t="shared" ref="C57:C58" si="3">0.0275*B57</f>
        <v>4950</v>
      </c>
      <c r="D57" s="47">
        <v>44585</v>
      </c>
      <c r="E57" s="32" t="s">
        <v>4576</v>
      </c>
      <c r="F57" s="32" t="s">
        <v>4574</v>
      </c>
      <c r="H57" s="17"/>
      <c r="K57" s="32"/>
    </row>
    <row r="58" spans="1:11" ht="12.75">
      <c r="A58" s="16" t="s">
        <v>1599</v>
      </c>
      <c r="B58" s="17">
        <v>175000</v>
      </c>
      <c r="C58" s="17">
        <f t="shared" si="3"/>
        <v>4812.5</v>
      </c>
      <c r="D58" s="47">
        <v>44586</v>
      </c>
      <c r="E58" s="32" t="s">
        <v>4023</v>
      </c>
      <c r="F58" s="32" t="s">
        <v>28</v>
      </c>
      <c r="H58" s="17"/>
      <c r="J58" s="21" t="s">
        <v>30</v>
      </c>
      <c r="K58" s="32"/>
    </row>
    <row r="59" spans="1:11" ht="12.75">
      <c r="A59" s="16" t="s">
        <v>1492</v>
      </c>
      <c r="B59" s="17">
        <v>625000</v>
      </c>
      <c r="C59" s="17">
        <f>0.0275*500000</f>
        <v>13750</v>
      </c>
      <c r="D59" s="47">
        <v>44586</v>
      </c>
      <c r="E59" s="32" t="s">
        <v>4573</v>
      </c>
      <c r="F59" s="32" t="s">
        <v>4574</v>
      </c>
      <c r="H59" s="17"/>
      <c r="K59" s="32" t="s">
        <v>4582</v>
      </c>
    </row>
    <row r="60" spans="1:11" ht="12.75">
      <c r="A60" s="16" t="s">
        <v>1600</v>
      </c>
      <c r="B60" s="17">
        <v>115000</v>
      </c>
      <c r="C60" s="17">
        <f t="shared" ref="C60:C67" si="4">0.0275*B60</f>
        <v>3162.5</v>
      </c>
      <c r="D60" s="47">
        <v>44586</v>
      </c>
      <c r="E60" s="32" t="s">
        <v>4573</v>
      </c>
      <c r="F60" s="32" t="s">
        <v>4574</v>
      </c>
      <c r="H60" s="17"/>
      <c r="K60" s="32"/>
    </row>
    <row r="61" spans="1:11" ht="12.75">
      <c r="A61" s="16" t="s">
        <v>1480</v>
      </c>
      <c r="B61" s="17">
        <v>1450000</v>
      </c>
      <c r="C61" s="17">
        <f t="shared" si="4"/>
        <v>39875</v>
      </c>
      <c r="D61" s="47">
        <v>44586</v>
      </c>
      <c r="E61" s="32" t="s">
        <v>4573</v>
      </c>
      <c r="F61" s="32" t="s">
        <v>4574</v>
      </c>
      <c r="H61" s="17"/>
      <c r="K61" s="32"/>
    </row>
    <row r="62" spans="1:11" ht="12.75">
      <c r="A62" s="16" t="s">
        <v>1533</v>
      </c>
      <c r="B62" s="17">
        <v>225000</v>
      </c>
      <c r="C62" s="17">
        <f t="shared" si="4"/>
        <v>6187.5</v>
      </c>
      <c r="D62" s="47">
        <v>44586</v>
      </c>
      <c r="E62" s="32" t="s">
        <v>4023</v>
      </c>
      <c r="F62" s="32" t="s">
        <v>4574</v>
      </c>
      <c r="H62" s="17"/>
      <c r="K62" s="32"/>
    </row>
    <row r="63" spans="1:11" ht="12.75">
      <c r="A63" s="16" t="s">
        <v>1601</v>
      </c>
      <c r="B63" s="17">
        <v>15000</v>
      </c>
      <c r="C63" s="17">
        <f t="shared" si="4"/>
        <v>412.5</v>
      </c>
      <c r="D63" s="47">
        <v>44587</v>
      </c>
      <c r="E63" s="32" t="s">
        <v>4573</v>
      </c>
      <c r="F63" s="32" t="s">
        <v>28</v>
      </c>
      <c r="H63" s="17"/>
      <c r="K63" s="32"/>
    </row>
    <row r="64" spans="1:11" ht="12.75">
      <c r="A64" s="16" t="s">
        <v>1508</v>
      </c>
      <c r="B64" s="17">
        <v>100000</v>
      </c>
      <c r="C64" s="17">
        <f t="shared" si="4"/>
        <v>2750</v>
      </c>
      <c r="D64" s="47">
        <v>44587</v>
      </c>
      <c r="E64" s="32" t="s">
        <v>4573</v>
      </c>
      <c r="F64" s="32" t="s">
        <v>4574</v>
      </c>
      <c r="H64" s="17"/>
      <c r="K64" s="32"/>
    </row>
    <row r="65" spans="1:12" ht="12.75">
      <c r="A65" s="16" t="s">
        <v>1467</v>
      </c>
      <c r="B65" s="17">
        <v>1000000</v>
      </c>
      <c r="C65" s="17">
        <f t="shared" si="4"/>
        <v>27500</v>
      </c>
      <c r="D65" s="47">
        <v>44587</v>
      </c>
      <c r="E65" s="32" t="s">
        <v>4573</v>
      </c>
      <c r="F65" s="32" t="s">
        <v>4574</v>
      </c>
      <c r="H65" s="17"/>
      <c r="K65" s="32"/>
    </row>
    <row r="66" spans="1:12" ht="12.75">
      <c r="A66" s="16" t="s">
        <v>4583</v>
      </c>
      <c r="B66" s="17">
        <v>400000</v>
      </c>
      <c r="C66" s="17">
        <f t="shared" si="4"/>
        <v>11000</v>
      </c>
      <c r="D66" s="47">
        <v>44587</v>
      </c>
      <c r="E66" s="32" t="s">
        <v>3434</v>
      </c>
      <c r="F66" s="32" t="s">
        <v>4574</v>
      </c>
      <c r="H66" s="17"/>
      <c r="K66" s="32"/>
    </row>
    <row r="67" spans="1:12" ht="12.75">
      <c r="A67" s="16" t="s">
        <v>4584</v>
      </c>
      <c r="B67" s="17">
        <v>200000</v>
      </c>
      <c r="C67" s="17">
        <f t="shared" si="4"/>
        <v>5500</v>
      </c>
      <c r="D67" s="47">
        <v>44587</v>
      </c>
      <c r="E67" s="32" t="s">
        <v>4585</v>
      </c>
      <c r="F67" s="32" t="s">
        <v>28</v>
      </c>
      <c r="G67" s="68" t="s">
        <v>4577</v>
      </c>
      <c r="H67" s="17">
        <v>4800</v>
      </c>
      <c r="I67" s="16" t="s">
        <v>4586</v>
      </c>
      <c r="K67" s="32"/>
    </row>
    <row r="68" spans="1:12" ht="12.75">
      <c r="A68" s="16" t="s">
        <v>1458</v>
      </c>
      <c r="B68" s="17">
        <v>25000</v>
      </c>
      <c r="C68" s="17">
        <v>687.5</v>
      </c>
      <c r="D68" s="47">
        <v>44587</v>
      </c>
      <c r="E68" s="32" t="s">
        <v>4573</v>
      </c>
      <c r="F68" s="32" t="s">
        <v>4574</v>
      </c>
      <c r="H68" s="17"/>
      <c r="K68" s="32"/>
    </row>
    <row r="69" spans="1:12" ht="12.75">
      <c r="A69" s="16" t="s">
        <v>4587</v>
      </c>
      <c r="B69" s="17">
        <v>153500</v>
      </c>
      <c r="C69" s="17">
        <f t="shared" ref="C69:C76" si="5">0.0275*B69</f>
        <v>4221.25</v>
      </c>
      <c r="D69" s="47">
        <v>44588</v>
      </c>
      <c r="E69" s="32" t="s">
        <v>4588</v>
      </c>
      <c r="F69" s="32" t="s">
        <v>28</v>
      </c>
      <c r="G69" s="68" t="s">
        <v>4577</v>
      </c>
      <c r="H69" s="17">
        <v>3684</v>
      </c>
      <c r="I69" s="16" t="s">
        <v>4586</v>
      </c>
      <c r="J69" s="21" t="s">
        <v>30</v>
      </c>
      <c r="K69" s="32"/>
    </row>
    <row r="70" spans="1:12" ht="12.75">
      <c r="A70" s="16" t="s">
        <v>1602</v>
      </c>
      <c r="B70" s="17">
        <v>80000</v>
      </c>
      <c r="C70" s="17">
        <f t="shared" si="5"/>
        <v>2200</v>
      </c>
      <c r="D70" s="47">
        <v>44588</v>
      </c>
      <c r="E70" s="32" t="s">
        <v>4573</v>
      </c>
      <c r="F70" s="32" t="s">
        <v>28</v>
      </c>
      <c r="H70" s="17"/>
      <c r="K70" s="32"/>
    </row>
    <row r="71" spans="1:12" ht="12.75">
      <c r="A71" s="16" t="s">
        <v>1603</v>
      </c>
      <c r="B71" s="17">
        <v>50000</v>
      </c>
      <c r="C71" s="17">
        <f t="shared" si="5"/>
        <v>1375</v>
      </c>
      <c r="D71" s="47">
        <v>44588</v>
      </c>
      <c r="E71" s="32" t="s">
        <v>4573</v>
      </c>
      <c r="F71" s="32" t="s">
        <v>28</v>
      </c>
      <c r="H71" s="32"/>
      <c r="I71" s="17"/>
      <c r="J71" s="32"/>
    </row>
    <row r="72" spans="1:12" ht="18" customHeight="1">
      <c r="A72" s="16" t="s">
        <v>4589</v>
      </c>
      <c r="B72" s="17">
        <v>2500000</v>
      </c>
      <c r="C72" s="17">
        <f t="shared" si="5"/>
        <v>68750</v>
      </c>
      <c r="D72" s="47">
        <v>44589</v>
      </c>
      <c r="E72" s="32" t="s">
        <v>4590</v>
      </c>
      <c r="F72" s="32" t="s">
        <v>28</v>
      </c>
      <c r="H72" s="32"/>
      <c r="I72" s="16" t="s">
        <v>4586</v>
      </c>
      <c r="J72" s="32"/>
    </row>
    <row r="73" spans="1:12" ht="12.75">
      <c r="A73" s="16" t="s">
        <v>4591</v>
      </c>
      <c r="B73" s="17">
        <v>200000</v>
      </c>
      <c r="C73" s="17">
        <f t="shared" si="5"/>
        <v>5500</v>
      </c>
      <c r="D73" s="47">
        <v>44589</v>
      </c>
      <c r="E73" s="32" t="s">
        <v>4023</v>
      </c>
      <c r="F73" s="32" t="s">
        <v>28</v>
      </c>
      <c r="H73" s="32"/>
      <c r="I73" s="17"/>
      <c r="J73" s="21" t="s">
        <v>30</v>
      </c>
    </row>
    <row r="74" spans="1:12" ht="12.75">
      <c r="A74" s="16" t="s">
        <v>1589</v>
      </c>
      <c r="B74" s="17">
        <v>250000</v>
      </c>
      <c r="C74" s="17">
        <f t="shared" si="5"/>
        <v>6875</v>
      </c>
      <c r="D74" s="47">
        <v>44592</v>
      </c>
      <c r="E74" s="32" t="s">
        <v>4573</v>
      </c>
      <c r="F74" s="32" t="s">
        <v>4574</v>
      </c>
      <c r="H74" s="32"/>
      <c r="I74" s="17"/>
      <c r="J74" s="32"/>
    </row>
    <row r="75" spans="1:12" ht="12.75">
      <c r="A75" s="16" t="s">
        <v>1604</v>
      </c>
      <c r="B75" s="17">
        <v>60000</v>
      </c>
      <c r="C75" s="17">
        <f t="shared" si="5"/>
        <v>1650</v>
      </c>
      <c r="D75" s="47">
        <v>44592</v>
      </c>
      <c r="E75" s="32" t="s">
        <v>73</v>
      </c>
      <c r="F75" s="32" t="s">
        <v>4574</v>
      </c>
      <c r="H75" s="32"/>
      <c r="I75" s="17"/>
      <c r="J75" s="32"/>
    </row>
    <row r="76" spans="1:12" ht="12.75">
      <c r="A76" s="16" t="s">
        <v>4592</v>
      </c>
      <c r="B76" s="17">
        <v>100000</v>
      </c>
      <c r="C76" s="17">
        <f t="shared" si="5"/>
        <v>2750</v>
      </c>
      <c r="D76" s="47">
        <v>44592</v>
      </c>
      <c r="E76" s="32" t="s">
        <v>4593</v>
      </c>
      <c r="F76" s="32" t="s">
        <v>28</v>
      </c>
      <c r="G76" s="68" t="s">
        <v>4577</v>
      </c>
      <c r="H76" s="17">
        <v>2400</v>
      </c>
      <c r="I76" s="16" t="s">
        <v>4586</v>
      </c>
      <c r="J76" s="32"/>
    </row>
    <row r="77" spans="1:12" ht="12.75">
      <c r="B77" s="17"/>
      <c r="C77" s="17"/>
      <c r="D77" s="32"/>
      <c r="E77" s="32"/>
      <c r="F77" s="32"/>
      <c r="H77" s="32"/>
      <c r="I77" s="17"/>
      <c r="J77" s="32"/>
    </row>
    <row r="78" spans="1:12" ht="12.75">
      <c r="A78" s="11">
        <v>44593</v>
      </c>
      <c r="B78" s="9">
        <f t="shared" ref="B78:C78" si="6">SUM(B79:B142)</f>
        <v>13065000</v>
      </c>
      <c r="C78" s="9">
        <f t="shared" si="6"/>
        <v>351500</v>
      </c>
      <c r="D78" s="59"/>
      <c r="E78" s="59"/>
      <c r="F78" s="59"/>
      <c r="G78" s="9">
        <f>SUM(H81:H85)</f>
        <v>5802.5</v>
      </c>
      <c r="H78" s="9"/>
      <c r="I78" s="15"/>
      <c r="J78" s="67"/>
      <c r="K78" s="9">
        <f>SUM(B78)</f>
        <v>13065000</v>
      </c>
      <c r="L78" s="67"/>
    </row>
    <row r="79" spans="1:12" ht="12.75">
      <c r="A79" s="16" t="s">
        <v>1483</v>
      </c>
      <c r="B79" s="17">
        <v>125000</v>
      </c>
      <c r="C79" s="17">
        <f t="shared" ref="C79:C101" si="7">0.0275*B79</f>
        <v>3437.5</v>
      </c>
      <c r="D79" s="47">
        <v>44593</v>
      </c>
      <c r="E79" s="32" t="s">
        <v>73</v>
      </c>
      <c r="F79" s="32" t="s">
        <v>4574</v>
      </c>
      <c r="H79" s="32"/>
      <c r="I79" s="17"/>
      <c r="J79" s="32"/>
    </row>
    <row r="80" spans="1:12" ht="12.75">
      <c r="A80" s="16" t="s">
        <v>1605</v>
      </c>
      <c r="B80" s="17">
        <v>50000</v>
      </c>
      <c r="C80" s="17">
        <f t="shared" si="7"/>
        <v>1375</v>
      </c>
      <c r="D80" s="47">
        <v>44593</v>
      </c>
      <c r="E80" s="32" t="s">
        <v>11</v>
      </c>
      <c r="F80" s="32" t="s">
        <v>28</v>
      </c>
      <c r="H80" s="32"/>
      <c r="I80" s="17"/>
      <c r="J80" s="32"/>
    </row>
    <row r="81" spans="1:10" ht="12.75">
      <c r="A81" s="16" t="s">
        <v>4575</v>
      </c>
      <c r="B81" s="17">
        <v>1115000</v>
      </c>
      <c r="C81" s="17">
        <f t="shared" si="7"/>
        <v>30662.5</v>
      </c>
      <c r="D81" s="47">
        <v>44593</v>
      </c>
      <c r="E81" s="32" t="s">
        <v>4576</v>
      </c>
      <c r="F81" s="32" t="s">
        <v>4574</v>
      </c>
      <c r="G81" s="68" t="s">
        <v>4577</v>
      </c>
      <c r="H81" s="17">
        <v>4738.75</v>
      </c>
      <c r="I81" s="17"/>
      <c r="J81" s="32"/>
    </row>
    <row r="82" spans="1:10" ht="12.75">
      <c r="A82" s="16" t="s">
        <v>1606</v>
      </c>
      <c r="B82" s="17">
        <v>150000</v>
      </c>
      <c r="C82" s="17">
        <f t="shared" si="7"/>
        <v>4125</v>
      </c>
      <c r="D82" s="47">
        <v>44593</v>
      </c>
      <c r="E82" s="32" t="s">
        <v>4594</v>
      </c>
      <c r="F82" s="32" t="s">
        <v>4574</v>
      </c>
      <c r="H82" s="32"/>
      <c r="I82" s="17"/>
      <c r="J82" s="32"/>
    </row>
    <row r="83" spans="1:10" ht="12.75">
      <c r="A83" s="16" t="s">
        <v>1542</v>
      </c>
      <c r="B83" s="17">
        <v>50000</v>
      </c>
      <c r="C83" s="17">
        <f t="shared" si="7"/>
        <v>1375</v>
      </c>
      <c r="D83" s="47">
        <v>44593</v>
      </c>
      <c r="E83" s="32" t="s">
        <v>4023</v>
      </c>
      <c r="F83" s="32" t="s">
        <v>28</v>
      </c>
      <c r="H83" s="32"/>
      <c r="I83" s="17"/>
      <c r="J83" s="21" t="s">
        <v>30</v>
      </c>
    </row>
    <row r="84" spans="1:10" ht="12.75">
      <c r="A84" s="16" t="s">
        <v>4595</v>
      </c>
      <c r="B84" s="17">
        <v>115000</v>
      </c>
      <c r="C84" s="17">
        <f t="shared" si="7"/>
        <v>3162.5</v>
      </c>
      <c r="D84" s="47">
        <v>44593</v>
      </c>
      <c r="E84" s="32" t="s">
        <v>4576</v>
      </c>
      <c r="F84" s="32" t="s">
        <v>4574</v>
      </c>
      <c r="G84" s="68" t="s">
        <v>4577</v>
      </c>
      <c r="H84" s="17">
        <v>1063.75</v>
      </c>
      <c r="I84" s="17"/>
      <c r="J84" s="32"/>
    </row>
    <row r="85" spans="1:10" ht="12.75">
      <c r="A85" s="16" t="s">
        <v>4596</v>
      </c>
      <c r="B85" s="17">
        <v>45000</v>
      </c>
      <c r="C85" s="17">
        <f t="shared" si="7"/>
        <v>1237.5</v>
      </c>
      <c r="D85" s="47">
        <v>44593</v>
      </c>
      <c r="E85" s="32" t="s">
        <v>4597</v>
      </c>
      <c r="F85" s="32" t="s">
        <v>28</v>
      </c>
      <c r="G85" s="68" t="s">
        <v>4598</v>
      </c>
      <c r="H85" s="17"/>
      <c r="I85" s="16" t="s">
        <v>4586</v>
      </c>
      <c r="J85" s="21" t="s">
        <v>30</v>
      </c>
    </row>
    <row r="86" spans="1:10" ht="12.75">
      <c r="A86" s="16" t="s">
        <v>1466</v>
      </c>
      <c r="B86" s="17">
        <v>230000</v>
      </c>
      <c r="C86" s="17">
        <f t="shared" si="7"/>
        <v>6325</v>
      </c>
      <c r="D86" s="47">
        <v>44593</v>
      </c>
      <c r="E86" s="32" t="s">
        <v>4599</v>
      </c>
      <c r="F86" s="32" t="s">
        <v>4574</v>
      </c>
      <c r="H86" s="32"/>
      <c r="I86" s="17"/>
      <c r="J86" s="32"/>
    </row>
    <row r="87" spans="1:10" ht="12.75">
      <c r="A87" s="16" t="s">
        <v>1472</v>
      </c>
      <c r="B87" s="17">
        <v>150000</v>
      </c>
      <c r="C87" s="17">
        <f t="shared" si="7"/>
        <v>4125</v>
      </c>
      <c r="D87" s="47">
        <v>44594</v>
      </c>
      <c r="E87" s="32" t="s">
        <v>11</v>
      </c>
      <c r="F87" s="32" t="s">
        <v>4574</v>
      </c>
      <c r="H87" s="32"/>
      <c r="I87" s="17"/>
      <c r="J87" s="32"/>
    </row>
    <row r="88" spans="1:10" ht="12.75">
      <c r="A88" s="16" t="s">
        <v>1607</v>
      </c>
      <c r="B88" s="17">
        <v>250000</v>
      </c>
      <c r="C88" s="17">
        <f t="shared" si="7"/>
        <v>6875</v>
      </c>
      <c r="D88" s="47">
        <v>44594</v>
      </c>
      <c r="E88" s="32" t="s">
        <v>11</v>
      </c>
      <c r="F88" s="32" t="s">
        <v>4574</v>
      </c>
      <c r="H88" s="32"/>
      <c r="I88" s="17"/>
      <c r="J88" s="32"/>
    </row>
    <row r="89" spans="1:10" ht="12.75">
      <c r="A89" s="16" t="s">
        <v>1608</v>
      </c>
      <c r="B89" s="17">
        <v>65000</v>
      </c>
      <c r="C89" s="17">
        <f t="shared" si="7"/>
        <v>1787.5</v>
      </c>
      <c r="D89" s="47">
        <v>44594</v>
      </c>
      <c r="E89" s="32" t="s">
        <v>4023</v>
      </c>
      <c r="F89" s="32" t="s">
        <v>28</v>
      </c>
      <c r="H89" s="32"/>
      <c r="I89" s="17"/>
      <c r="J89" s="21" t="s">
        <v>30</v>
      </c>
    </row>
    <row r="90" spans="1:10" ht="12.75">
      <c r="A90" s="16" t="s">
        <v>1609</v>
      </c>
      <c r="B90" s="17">
        <v>50000</v>
      </c>
      <c r="C90" s="17">
        <f t="shared" si="7"/>
        <v>1375</v>
      </c>
      <c r="D90" s="47">
        <v>44594</v>
      </c>
      <c r="E90" s="32" t="s">
        <v>4023</v>
      </c>
      <c r="F90" s="32" t="s">
        <v>28</v>
      </c>
      <c r="H90" s="32"/>
      <c r="I90" s="17"/>
      <c r="J90" s="21" t="s">
        <v>30</v>
      </c>
    </row>
    <row r="91" spans="1:10" ht="12.75">
      <c r="A91" s="16" t="s">
        <v>1502</v>
      </c>
      <c r="B91" s="17">
        <v>100000</v>
      </c>
      <c r="C91" s="17">
        <f t="shared" si="7"/>
        <v>2750</v>
      </c>
      <c r="D91" s="47">
        <v>44594</v>
      </c>
      <c r="E91" s="32" t="s">
        <v>73</v>
      </c>
      <c r="F91" s="32" t="s">
        <v>4574</v>
      </c>
      <c r="H91" s="32"/>
      <c r="I91" s="17"/>
      <c r="J91" s="32"/>
    </row>
    <row r="92" spans="1:10" ht="12.75">
      <c r="A92" s="16" t="s">
        <v>1610</v>
      </c>
      <c r="B92" s="17">
        <v>210000</v>
      </c>
      <c r="C92" s="17">
        <f t="shared" si="7"/>
        <v>5775</v>
      </c>
      <c r="D92" s="47">
        <v>44595</v>
      </c>
      <c r="E92" s="32" t="s">
        <v>73</v>
      </c>
      <c r="F92" s="32" t="s">
        <v>4574</v>
      </c>
      <c r="H92" s="32"/>
      <c r="I92" s="17"/>
      <c r="J92" s="32"/>
    </row>
    <row r="93" spans="1:10" ht="12.75">
      <c r="A93" s="16" t="s">
        <v>1534</v>
      </c>
      <c r="B93" s="17">
        <v>152000</v>
      </c>
      <c r="C93" s="17">
        <f t="shared" si="7"/>
        <v>4180</v>
      </c>
      <c r="D93" s="47">
        <v>44595</v>
      </c>
      <c r="E93" s="32" t="s">
        <v>11</v>
      </c>
      <c r="F93" s="32" t="s">
        <v>4574</v>
      </c>
      <c r="H93" s="32"/>
      <c r="I93" s="17"/>
      <c r="J93" s="32"/>
    </row>
    <row r="94" spans="1:10" ht="12.75">
      <c r="A94" s="16" t="s">
        <v>1466</v>
      </c>
      <c r="B94" s="17">
        <v>915000</v>
      </c>
      <c r="C94" s="17">
        <f t="shared" si="7"/>
        <v>25162.5</v>
      </c>
      <c r="D94" s="47">
        <v>44595</v>
      </c>
      <c r="E94" s="32" t="s">
        <v>4599</v>
      </c>
      <c r="F94" s="32" t="s">
        <v>4574</v>
      </c>
      <c r="H94" s="32"/>
      <c r="I94" s="17"/>
      <c r="J94" s="32"/>
    </row>
    <row r="95" spans="1:10" ht="12.75">
      <c r="A95" s="16" t="s">
        <v>1611</v>
      </c>
      <c r="B95" s="17">
        <v>50000</v>
      </c>
      <c r="C95" s="17">
        <f t="shared" si="7"/>
        <v>1375</v>
      </c>
      <c r="D95" s="47">
        <v>44596</v>
      </c>
      <c r="E95" s="32" t="s">
        <v>4023</v>
      </c>
      <c r="F95" s="32" t="s">
        <v>28</v>
      </c>
      <c r="H95" s="32"/>
      <c r="I95" s="17"/>
      <c r="J95" s="21" t="s">
        <v>30</v>
      </c>
    </row>
    <row r="96" spans="1:10" ht="12.75">
      <c r="A96" s="16" t="s">
        <v>1451</v>
      </c>
      <c r="B96" s="17">
        <v>32500</v>
      </c>
      <c r="C96" s="17">
        <f t="shared" si="7"/>
        <v>893.75</v>
      </c>
      <c r="D96" s="47">
        <v>44597</v>
      </c>
      <c r="E96" s="32" t="s">
        <v>4576</v>
      </c>
      <c r="F96" s="32" t="s">
        <v>4574</v>
      </c>
      <c r="H96" s="32"/>
      <c r="I96" s="17"/>
      <c r="J96" s="32"/>
    </row>
    <row r="97" spans="1:10" ht="12.75">
      <c r="A97" s="16" t="s">
        <v>4600</v>
      </c>
      <c r="B97" s="17">
        <v>100000</v>
      </c>
      <c r="C97" s="17">
        <f t="shared" si="7"/>
        <v>2750</v>
      </c>
      <c r="D97" s="47">
        <v>44597</v>
      </c>
      <c r="E97" s="32" t="s">
        <v>4573</v>
      </c>
      <c r="F97" s="32" t="s">
        <v>28</v>
      </c>
      <c r="H97" s="32"/>
      <c r="I97" s="17"/>
      <c r="J97" s="32"/>
    </row>
    <row r="98" spans="1:10" ht="12.75">
      <c r="A98" s="16" t="s">
        <v>1612</v>
      </c>
      <c r="B98" s="17">
        <v>900000</v>
      </c>
      <c r="C98" s="17">
        <f t="shared" si="7"/>
        <v>24750</v>
      </c>
      <c r="D98" s="47">
        <v>44600</v>
      </c>
      <c r="E98" s="32" t="s">
        <v>4573</v>
      </c>
      <c r="F98" s="32" t="s">
        <v>4574</v>
      </c>
      <c r="H98" s="32"/>
      <c r="I98" s="17"/>
      <c r="J98" s="32"/>
    </row>
    <row r="99" spans="1:10" ht="12.75">
      <c r="A99" s="16" t="s">
        <v>1546</v>
      </c>
      <c r="B99" s="17">
        <v>20000</v>
      </c>
      <c r="C99" s="17">
        <f t="shared" si="7"/>
        <v>550</v>
      </c>
      <c r="D99" s="47">
        <v>44600</v>
      </c>
      <c r="E99" s="32" t="s">
        <v>4573</v>
      </c>
      <c r="F99" s="32" t="s">
        <v>4574</v>
      </c>
      <c r="H99" s="32"/>
      <c r="I99" s="17"/>
      <c r="J99" s="32"/>
    </row>
    <row r="100" spans="1:10" ht="12.75">
      <c r="A100" s="16" t="s">
        <v>1613</v>
      </c>
      <c r="B100" s="17">
        <v>125000</v>
      </c>
      <c r="C100" s="17">
        <f t="shared" si="7"/>
        <v>3437.5</v>
      </c>
      <c r="D100" s="47">
        <v>44601</v>
      </c>
      <c r="E100" s="32" t="s">
        <v>4573</v>
      </c>
      <c r="F100" s="32" t="s">
        <v>28</v>
      </c>
      <c r="H100" s="32"/>
      <c r="I100" s="17"/>
      <c r="J100" s="32"/>
    </row>
    <row r="101" spans="1:10" ht="12.75">
      <c r="A101" s="16" t="s">
        <v>1614</v>
      </c>
      <c r="B101" s="17">
        <v>130000</v>
      </c>
      <c r="C101" s="17">
        <f t="shared" si="7"/>
        <v>3575</v>
      </c>
      <c r="D101" s="47">
        <v>44601</v>
      </c>
      <c r="E101" s="32" t="s">
        <v>73</v>
      </c>
      <c r="F101" s="32" t="s">
        <v>4574</v>
      </c>
      <c r="H101" s="32"/>
      <c r="I101" s="17"/>
      <c r="J101" s="32"/>
    </row>
    <row r="102" spans="1:10" ht="12.75">
      <c r="A102" s="16" t="s">
        <v>1615</v>
      </c>
      <c r="B102" s="17">
        <v>350000</v>
      </c>
      <c r="C102" s="17">
        <f>0.03*B102</f>
        <v>10500</v>
      </c>
      <c r="D102" s="47">
        <v>44601</v>
      </c>
      <c r="E102" s="32" t="s">
        <v>4573</v>
      </c>
      <c r="F102" s="32" t="s">
        <v>4574</v>
      </c>
      <c r="H102" s="32"/>
      <c r="I102" s="17"/>
      <c r="J102" s="32"/>
    </row>
    <row r="103" spans="1:10" ht="12.75">
      <c r="A103" s="16" t="s">
        <v>1616</v>
      </c>
      <c r="B103" s="17">
        <v>550000</v>
      </c>
      <c r="C103" s="17">
        <f t="shared" ref="C103:C106" si="8">0.0275*B103</f>
        <v>15125</v>
      </c>
      <c r="D103" s="47">
        <v>44602</v>
      </c>
      <c r="E103" s="32" t="s">
        <v>4573</v>
      </c>
      <c r="F103" s="32" t="s">
        <v>4574</v>
      </c>
      <c r="H103" s="32"/>
      <c r="I103" s="17"/>
      <c r="J103" s="32"/>
    </row>
    <row r="104" spans="1:10" ht="12.75">
      <c r="A104" s="16" t="s">
        <v>1519</v>
      </c>
      <c r="B104" s="17">
        <v>100000</v>
      </c>
      <c r="C104" s="17">
        <f t="shared" si="8"/>
        <v>2750</v>
      </c>
      <c r="D104" s="47">
        <v>44602</v>
      </c>
      <c r="E104" s="32" t="s">
        <v>73</v>
      </c>
      <c r="F104" s="32" t="s">
        <v>4574</v>
      </c>
      <c r="H104" s="32"/>
      <c r="I104" s="17"/>
      <c r="J104" s="32"/>
    </row>
    <row r="105" spans="1:10" ht="12.75">
      <c r="A105" s="16" t="s">
        <v>1617</v>
      </c>
      <c r="B105" s="17">
        <v>205000</v>
      </c>
      <c r="C105" s="17">
        <f t="shared" si="8"/>
        <v>5637.5</v>
      </c>
      <c r="D105" s="47">
        <v>44602</v>
      </c>
      <c r="E105" s="32" t="s">
        <v>4573</v>
      </c>
      <c r="F105" s="32" t="s">
        <v>4574</v>
      </c>
      <c r="H105" s="32"/>
      <c r="I105" s="17"/>
      <c r="J105" s="32"/>
    </row>
    <row r="106" spans="1:10" ht="12.75">
      <c r="A106" s="16" t="s">
        <v>1544</v>
      </c>
      <c r="B106" s="17">
        <v>250000</v>
      </c>
      <c r="C106" s="17">
        <f t="shared" si="8"/>
        <v>6875</v>
      </c>
      <c r="D106" s="47">
        <v>44602</v>
      </c>
      <c r="E106" s="32" t="s">
        <v>4573</v>
      </c>
      <c r="F106" s="32" t="s">
        <v>4574</v>
      </c>
      <c r="H106" s="32"/>
      <c r="I106" s="17"/>
      <c r="J106" s="32"/>
    </row>
    <row r="107" spans="1:10" ht="12.75">
      <c r="A107" s="16" t="s">
        <v>1482</v>
      </c>
      <c r="B107" s="17">
        <v>42500</v>
      </c>
      <c r="C107" s="17">
        <v>1168.75</v>
      </c>
      <c r="D107" s="47">
        <v>44603</v>
      </c>
      <c r="E107" s="32" t="s">
        <v>4573</v>
      </c>
      <c r="F107" s="32" t="s">
        <v>4574</v>
      </c>
      <c r="H107" s="32"/>
      <c r="I107" s="17"/>
      <c r="J107" s="32"/>
    </row>
    <row r="108" spans="1:10" ht="12.75">
      <c r="A108" s="16" t="s">
        <v>1500</v>
      </c>
      <c r="B108" s="17">
        <v>535000</v>
      </c>
      <c r="C108" s="17">
        <f t="shared" ref="C108:C112" si="9">0.0275*B108</f>
        <v>14712.5</v>
      </c>
      <c r="D108" s="47">
        <v>44603</v>
      </c>
      <c r="E108" s="32" t="s">
        <v>4573</v>
      </c>
      <c r="F108" s="32" t="s">
        <v>4574</v>
      </c>
      <c r="H108" s="32"/>
      <c r="I108" s="17"/>
      <c r="J108" s="32"/>
    </row>
    <row r="109" spans="1:10" ht="12.75">
      <c r="A109" s="16" t="s">
        <v>1618</v>
      </c>
      <c r="B109" s="17">
        <v>50000</v>
      </c>
      <c r="C109" s="17">
        <f t="shared" si="9"/>
        <v>1375</v>
      </c>
      <c r="D109" s="47">
        <v>44603</v>
      </c>
      <c r="E109" s="32" t="s">
        <v>4573</v>
      </c>
      <c r="F109" s="32" t="s">
        <v>4574</v>
      </c>
      <c r="H109" s="32"/>
      <c r="I109" s="17"/>
      <c r="J109" s="32"/>
    </row>
    <row r="110" spans="1:10" ht="12.75">
      <c r="A110" s="16" t="s">
        <v>1497</v>
      </c>
      <c r="B110" s="17">
        <v>45000</v>
      </c>
      <c r="C110" s="17">
        <f t="shared" si="9"/>
        <v>1237.5</v>
      </c>
      <c r="D110" s="47">
        <v>44603</v>
      </c>
      <c r="E110" s="32" t="s">
        <v>4573</v>
      </c>
      <c r="F110" s="32" t="s">
        <v>4574</v>
      </c>
      <c r="H110" s="32"/>
      <c r="I110" s="17"/>
      <c r="J110" s="32"/>
    </row>
    <row r="111" spans="1:10" ht="12.75">
      <c r="A111" s="16" t="s">
        <v>1619</v>
      </c>
      <c r="B111" s="17">
        <v>50000</v>
      </c>
      <c r="C111" s="17">
        <f t="shared" si="9"/>
        <v>1375</v>
      </c>
      <c r="D111" s="47">
        <v>44606</v>
      </c>
      <c r="E111" s="32" t="s">
        <v>4573</v>
      </c>
      <c r="F111" s="32" t="s">
        <v>4574</v>
      </c>
      <c r="H111" s="32"/>
      <c r="I111" s="17"/>
      <c r="J111" s="32"/>
    </row>
    <row r="112" spans="1:10" ht="12.75">
      <c r="A112" s="16" t="s">
        <v>1620</v>
      </c>
      <c r="B112" s="17">
        <v>100000</v>
      </c>
      <c r="C112" s="17">
        <f t="shared" si="9"/>
        <v>2750</v>
      </c>
      <c r="D112" s="47">
        <v>44606</v>
      </c>
      <c r="E112" s="32" t="s">
        <v>4023</v>
      </c>
      <c r="F112" s="32" t="s">
        <v>28</v>
      </c>
      <c r="H112" s="32"/>
      <c r="I112" s="17"/>
      <c r="J112" s="21" t="s">
        <v>30</v>
      </c>
    </row>
    <row r="113" spans="1:10" ht="12.75">
      <c r="A113" s="16" t="s">
        <v>4601</v>
      </c>
      <c r="B113" s="17">
        <v>115000</v>
      </c>
      <c r="C113" s="17">
        <v>0</v>
      </c>
      <c r="D113" s="47">
        <v>44606</v>
      </c>
      <c r="E113" s="32" t="s">
        <v>4573</v>
      </c>
      <c r="F113" s="32" t="s">
        <v>4574</v>
      </c>
      <c r="H113" s="32"/>
      <c r="I113" s="17" t="s">
        <v>4578</v>
      </c>
      <c r="J113" s="32"/>
    </row>
    <row r="114" spans="1:10" ht="12.75">
      <c r="A114" s="16" t="s">
        <v>1514</v>
      </c>
      <c r="B114" s="17">
        <v>168000</v>
      </c>
      <c r="C114" s="17">
        <f>0.0275*B114</f>
        <v>4620</v>
      </c>
      <c r="D114" s="47">
        <v>44607</v>
      </c>
      <c r="E114" s="32" t="s">
        <v>4023</v>
      </c>
      <c r="F114" s="32" t="s">
        <v>4574</v>
      </c>
      <c r="H114" s="32"/>
      <c r="I114" s="17"/>
      <c r="J114" s="32"/>
    </row>
    <row r="115" spans="1:10" ht="12.75">
      <c r="A115" s="16" t="s">
        <v>1461</v>
      </c>
      <c r="B115" s="17">
        <v>200000</v>
      </c>
      <c r="C115" s="17">
        <v>0</v>
      </c>
      <c r="D115" s="47">
        <v>44607</v>
      </c>
      <c r="E115" s="32" t="s">
        <v>4573</v>
      </c>
      <c r="F115" s="32" t="s">
        <v>4574</v>
      </c>
      <c r="H115" s="32"/>
      <c r="I115" s="17" t="s">
        <v>4578</v>
      </c>
      <c r="J115" s="32"/>
    </row>
    <row r="116" spans="1:10" ht="12.75">
      <c r="A116" s="16" t="s">
        <v>1621</v>
      </c>
      <c r="B116" s="17">
        <v>165000</v>
      </c>
      <c r="C116" s="17">
        <f t="shared" ref="C116:C128" si="10">0.0275*B116</f>
        <v>4537.5</v>
      </c>
      <c r="D116" s="47">
        <v>44608</v>
      </c>
      <c r="E116" s="32" t="s">
        <v>73</v>
      </c>
      <c r="F116" s="32" t="s">
        <v>4574</v>
      </c>
      <c r="H116" s="32"/>
      <c r="I116" s="17"/>
      <c r="J116" s="32"/>
    </row>
    <row r="117" spans="1:10" ht="12.75">
      <c r="A117" s="16" t="s">
        <v>1622</v>
      </c>
      <c r="B117" s="17">
        <v>300000</v>
      </c>
      <c r="C117" s="17">
        <f t="shared" si="10"/>
        <v>8250</v>
      </c>
      <c r="D117" s="47">
        <v>44608</v>
      </c>
      <c r="E117" s="32" t="s">
        <v>4023</v>
      </c>
      <c r="F117" s="32" t="s">
        <v>28</v>
      </c>
      <c r="H117" s="32"/>
      <c r="I117" s="17"/>
      <c r="J117" s="21" t="s">
        <v>30</v>
      </c>
    </row>
    <row r="118" spans="1:10" ht="12.75">
      <c r="A118" s="16" t="s">
        <v>1623</v>
      </c>
      <c r="B118" s="17">
        <v>550000</v>
      </c>
      <c r="C118" s="17">
        <f t="shared" si="10"/>
        <v>15125</v>
      </c>
      <c r="D118" s="47">
        <v>44608</v>
      </c>
      <c r="E118" s="32" t="s">
        <v>4573</v>
      </c>
      <c r="F118" s="32" t="s">
        <v>4574</v>
      </c>
      <c r="H118" s="32"/>
      <c r="I118" s="17"/>
      <c r="J118" s="32"/>
    </row>
    <row r="119" spans="1:10" ht="12.75">
      <c r="A119" s="16" t="s">
        <v>1624</v>
      </c>
      <c r="B119" s="17">
        <v>350000</v>
      </c>
      <c r="C119" s="17">
        <f t="shared" si="10"/>
        <v>9625</v>
      </c>
      <c r="D119" s="47">
        <v>44608</v>
      </c>
      <c r="E119" s="32" t="s">
        <v>4023</v>
      </c>
      <c r="F119" s="32" t="s">
        <v>28</v>
      </c>
      <c r="H119" s="32"/>
      <c r="I119" s="17"/>
      <c r="J119" s="21" t="s">
        <v>30</v>
      </c>
    </row>
    <row r="120" spans="1:10" ht="12.75">
      <c r="A120" s="16" t="s">
        <v>1625</v>
      </c>
      <c r="B120" s="17">
        <v>225000</v>
      </c>
      <c r="C120" s="17">
        <f t="shared" si="10"/>
        <v>6187.5</v>
      </c>
      <c r="D120" s="47">
        <v>44608</v>
      </c>
      <c r="E120" s="32" t="s">
        <v>4023</v>
      </c>
      <c r="F120" s="32" t="s">
        <v>28</v>
      </c>
      <c r="H120" s="32"/>
      <c r="I120" s="17"/>
      <c r="J120" s="21" t="s">
        <v>30</v>
      </c>
    </row>
    <row r="121" spans="1:10" ht="12.75">
      <c r="A121" s="16" t="s">
        <v>1626</v>
      </c>
      <c r="B121" s="17">
        <v>10000</v>
      </c>
      <c r="C121" s="17">
        <f t="shared" si="10"/>
        <v>275</v>
      </c>
      <c r="D121" s="47">
        <v>44609</v>
      </c>
      <c r="E121" s="32" t="s">
        <v>73</v>
      </c>
      <c r="F121" s="32" t="s">
        <v>4574</v>
      </c>
      <c r="H121" s="32"/>
      <c r="I121" s="17"/>
      <c r="J121" s="32"/>
    </row>
    <row r="122" spans="1:10" ht="12.75">
      <c r="A122" s="16" t="s">
        <v>1499</v>
      </c>
      <c r="B122" s="17">
        <v>100000</v>
      </c>
      <c r="C122" s="17">
        <f t="shared" si="10"/>
        <v>2750</v>
      </c>
      <c r="D122" s="47">
        <v>44609</v>
      </c>
      <c r="E122" s="32" t="s">
        <v>73</v>
      </c>
      <c r="F122" s="32" t="s">
        <v>4574</v>
      </c>
      <c r="H122" s="32"/>
      <c r="I122" s="17"/>
      <c r="J122" s="32"/>
    </row>
    <row r="123" spans="1:10" ht="12.75">
      <c r="A123" s="16" t="s">
        <v>1627</v>
      </c>
      <c r="B123" s="17">
        <v>850000</v>
      </c>
      <c r="C123" s="17">
        <f t="shared" si="10"/>
        <v>23375</v>
      </c>
      <c r="D123" s="47">
        <v>44609</v>
      </c>
      <c r="E123" s="32" t="s">
        <v>4573</v>
      </c>
      <c r="F123" s="32" t="s">
        <v>4574</v>
      </c>
      <c r="H123" s="32"/>
      <c r="I123" s="17"/>
      <c r="J123" s="32"/>
    </row>
    <row r="124" spans="1:10" ht="12.75">
      <c r="A124" s="16" t="s">
        <v>1628</v>
      </c>
      <c r="B124" s="17">
        <v>50000</v>
      </c>
      <c r="C124" s="17">
        <f t="shared" si="10"/>
        <v>1375</v>
      </c>
      <c r="D124" s="47">
        <v>44609</v>
      </c>
      <c r="E124" s="32" t="s">
        <v>73</v>
      </c>
      <c r="F124" s="32" t="s">
        <v>28</v>
      </c>
      <c r="H124" s="32"/>
      <c r="I124" s="17"/>
      <c r="J124" s="32"/>
    </row>
    <row r="125" spans="1:10" ht="12.75">
      <c r="A125" s="16" t="s">
        <v>180</v>
      </c>
      <c r="B125" s="17">
        <v>200000</v>
      </c>
      <c r="C125" s="17">
        <f t="shared" si="10"/>
        <v>5500</v>
      </c>
      <c r="D125" s="47">
        <v>44609</v>
      </c>
      <c r="E125" s="32" t="s">
        <v>4573</v>
      </c>
      <c r="F125" s="32" t="s">
        <v>4574</v>
      </c>
      <c r="H125" s="32"/>
      <c r="I125" s="17"/>
      <c r="J125" s="32"/>
    </row>
    <row r="126" spans="1:10" ht="12.75">
      <c r="A126" s="16" t="s">
        <v>1629</v>
      </c>
      <c r="B126" s="17">
        <v>25000</v>
      </c>
      <c r="C126" s="17">
        <f t="shared" si="10"/>
        <v>687.5</v>
      </c>
      <c r="D126" s="47">
        <v>44610</v>
      </c>
      <c r="E126" s="32" t="s">
        <v>4573</v>
      </c>
      <c r="F126" s="32" t="s">
        <v>28</v>
      </c>
      <c r="H126" s="32"/>
      <c r="I126" s="17"/>
      <c r="J126" s="32"/>
    </row>
    <row r="127" spans="1:10" ht="12.75">
      <c r="A127" s="16" t="s">
        <v>1630</v>
      </c>
      <c r="B127" s="17">
        <v>100000</v>
      </c>
      <c r="C127" s="17">
        <f t="shared" si="10"/>
        <v>2750</v>
      </c>
      <c r="D127" s="47">
        <v>44610</v>
      </c>
      <c r="E127" s="32" t="s">
        <v>4573</v>
      </c>
      <c r="F127" s="32" t="s">
        <v>28</v>
      </c>
      <c r="H127" s="32"/>
      <c r="I127" s="17"/>
      <c r="J127" s="21" t="s">
        <v>30</v>
      </c>
    </row>
    <row r="128" spans="1:10" ht="12.75">
      <c r="A128" s="16" t="s">
        <v>1631</v>
      </c>
      <c r="B128" s="17">
        <v>65000</v>
      </c>
      <c r="C128" s="17">
        <f t="shared" si="10"/>
        <v>1787.5</v>
      </c>
      <c r="D128" s="47">
        <v>44610</v>
      </c>
      <c r="E128" s="32" t="s">
        <v>4573</v>
      </c>
      <c r="F128" s="32" t="s">
        <v>28</v>
      </c>
      <c r="H128" s="32"/>
      <c r="I128" s="17"/>
      <c r="J128" s="21" t="s">
        <v>30</v>
      </c>
    </row>
    <row r="129" spans="1:12" ht="12.75">
      <c r="A129" s="16" t="s">
        <v>1632</v>
      </c>
      <c r="B129" s="17">
        <v>90000</v>
      </c>
      <c r="C129" s="17">
        <v>2475</v>
      </c>
      <c r="D129" s="47">
        <v>44610</v>
      </c>
      <c r="E129" s="32" t="s">
        <v>4602</v>
      </c>
      <c r="F129" s="32" t="s">
        <v>4574</v>
      </c>
      <c r="H129" s="32"/>
      <c r="I129" s="17"/>
      <c r="J129" s="32"/>
    </row>
    <row r="130" spans="1:12" ht="12.75">
      <c r="A130" s="16" t="s">
        <v>1633</v>
      </c>
      <c r="B130" s="17">
        <v>80000</v>
      </c>
      <c r="C130" s="17">
        <f t="shared" ref="C130:C142" si="11">0.0275*B130</f>
        <v>2200</v>
      </c>
      <c r="D130" s="47">
        <v>44614</v>
      </c>
      <c r="E130" s="32" t="s">
        <v>73</v>
      </c>
      <c r="F130" s="32" t="s">
        <v>4574</v>
      </c>
      <c r="H130" s="32"/>
      <c r="I130" s="17"/>
      <c r="J130" s="32"/>
    </row>
    <row r="131" spans="1:12" ht="12.75">
      <c r="A131" s="16" t="s">
        <v>1634</v>
      </c>
      <c r="B131" s="17">
        <v>400000</v>
      </c>
      <c r="C131" s="17">
        <f t="shared" si="11"/>
        <v>11000</v>
      </c>
      <c r="D131" s="47">
        <v>44614</v>
      </c>
      <c r="E131" s="32" t="s">
        <v>4573</v>
      </c>
      <c r="F131" s="32" t="s">
        <v>28</v>
      </c>
      <c r="H131" s="32"/>
      <c r="I131" s="17"/>
      <c r="J131" s="21" t="s">
        <v>30</v>
      </c>
    </row>
    <row r="132" spans="1:12" ht="12.75">
      <c r="A132" s="16" t="s">
        <v>1622</v>
      </c>
      <c r="B132" s="17">
        <v>150000</v>
      </c>
      <c r="C132" s="17">
        <f t="shared" si="11"/>
        <v>4125</v>
      </c>
      <c r="D132" s="47">
        <v>44615</v>
      </c>
      <c r="E132" s="32" t="s">
        <v>4023</v>
      </c>
      <c r="F132" s="32" t="s">
        <v>28</v>
      </c>
      <c r="H132" s="32"/>
      <c r="I132" s="17"/>
      <c r="J132" s="21" t="s">
        <v>30</v>
      </c>
    </row>
    <row r="133" spans="1:12" ht="12.75">
      <c r="A133" s="16" t="s">
        <v>1635</v>
      </c>
      <c r="B133" s="17">
        <v>100000</v>
      </c>
      <c r="C133" s="17">
        <f t="shared" si="11"/>
        <v>2750</v>
      </c>
      <c r="D133" s="47">
        <v>44615</v>
      </c>
      <c r="E133" s="32" t="s">
        <v>4023</v>
      </c>
      <c r="F133" s="32" t="s">
        <v>28</v>
      </c>
      <c r="H133" s="32"/>
      <c r="I133" s="17"/>
      <c r="J133" s="21" t="s">
        <v>30</v>
      </c>
    </row>
    <row r="134" spans="1:12" ht="12.75">
      <c r="A134" s="16" t="s">
        <v>1606</v>
      </c>
      <c r="B134" s="17">
        <v>150000</v>
      </c>
      <c r="C134" s="17">
        <f t="shared" si="11"/>
        <v>4125</v>
      </c>
      <c r="D134" s="47">
        <v>44615</v>
      </c>
      <c r="E134" s="32" t="s">
        <v>4594</v>
      </c>
      <c r="F134" s="32" t="s">
        <v>4574</v>
      </c>
      <c r="H134" s="32"/>
      <c r="I134" s="17"/>
      <c r="J134" s="32"/>
    </row>
    <row r="135" spans="1:12" ht="12.75">
      <c r="A135" s="16" t="s">
        <v>1636</v>
      </c>
      <c r="B135" s="17">
        <v>100000</v>
      </c>
      <c r="C135" s="17">
        <f t="shared" si="11"/>
        <v>2750</v>
      </c>
      <c r="D135" s="47">
        <v>44615</v>
      </c>
      <c r="E135" s="32" t="s">
        <v>4573</v>
      </c>
      <c r="F135" s="32" t="s">
        <v>28</v>
      </c>
      <c r="H135" s="32"/>
      <c r="I135" s="17"/>
      <c r="J135" s="21" t="s">
        <v>30</v>
      </c>
    </row>
    <row r="136" spans="1:12" ht="12.75">
      <c r="A136" s="16" t="s">
        <v>1531</v>
      </c>
      <c r="B136" s="17">
        <v>370000</v>
      </c>
      <c r="C136" s="17">
        <f t="shared" si="11"/>
        <v>10175</v>
      </c>
      <c r="D136" s="47">
        <v>44616</v>
      </c>
      <c r="E136" s="32" t="s">
        <v>4573</v>
      </c>
      <c r="F136" s="32" t="s">
        <v>4574</v>
      </c>
      <c r="H136" s="32"/>
      <c r="I136" s="17"/>
      <c r="J136" s="32"/>
    </row>
    <row r="137" spans="1:12" ht="12.75">
      <c r="A137" s="16" t="s">
        <v>1597</v>
      </c>
      <c r="B137" s="17">
        <v>450000</v>
      </c>
      <c r="C137" s="17">
        <f t="shared" si="11"/>
        <v>12375</v>
      </c>
      <c r="D137" s="47">
        <v>44616</v>
      </c>
      <c r="E137" s="32" t="s">
        <v>4573</v>
      </c>
      <c r="F137" s="32" t="s">
        <v>4574</v>
      </c>
      <c r="H137" s="32"/>
      <c r="I137" s="17"/>
      <c r="J137" s="32"/>
    </row>
    <row r="138" spans="1:12" ht="12.75">
      <c r="A138" s="16" t="s">
        <v>1704</v>
      </c>
      <c r="B138" s="17">
        <v>100000</v>
      </c>
      <c r="C138" s="17">
        <f t="shared" si="11"/>
        <v>2750</v>
      </c>
      <c r="D138" s="47">
        <v>44617</v>
      </c>
      <c r="E138" s="32" t="s">
        <v>3559</v>
      </c>
      <c r="F138" s="32" t="s">
        <v>28</v>
      </c>
      <c r="H138" s="32"/>
      <c r="I138" s="17"/>
      <c r="J138" s="21" t="s">
        <v>30</v>
      </c>
    </row>
    <row r="139" spans="1:12" ht="12.75">
      <c r="A139" s="16" t="s">
        <v>1637</v>
      </c>
      <c r="B139" s="17">
        <v>100000</v>
      </c>
      <c r="C139" s="17">
        <f t="shared" si="11"/>
        <v>2750</v>
      </c>
      <c r="D139" s="47">
        <v>44617</v>
      </c>
      <c r="E139" s="32" t="s">
        <v>4573</v>
      </c>
      <c r="F139" s="32" t="s">
        <v>28</v>
      </c>
      <c r="H139" s="32"/>
      <c r="I139" s="17"/>
      <c r="J139" s="32"/>
    </row>
    <row r="140" spans="1:12" ht="12.75">
      <c r="A140" s="16" t="s">
        <v>1639</v>
      </c>
      <c r="B140" s="17">
        <v>25000</v>
      </c>
      <c r="C140" s="17">
        <f t="shared" si="11"/>
        <v>687.5</v>
      </c>
      <c r="D140" s="47">
        <v>44620</v>
      </c>
      <c r="E140" s="32" t="s">
        <v>4573</v>
      </c>
      <c r="F140" s="32" t="s">
        <v>28</v>
      </c>
      <c r="H140" s="32"/>
      <c r="I140" s="17"/>
      <c r="J140" s="32"/>
    </row>
    <row r="141" spans="1:12" ht="12.75">
      <c r="A141" s="16" t="s">
        <v>1489</v>
      </c>
      <c r="B141" s="17">
        <v>40000</v>
      </c>
      <c r="C141" s="17">
        <f t="shared" si="11"/>
        <v>1100</v>
      </c>
      <c r="D141" s="47">
        <v>44620</v>
      </c>
      <c r="E141" s="32" t="s">
        <v>73</v>
      </c>
      <c r="F141" s="32" t="s">
        <v>4574</v>
      </c>
      <c r="H141" s="32"/>
      <c r="I141" s="17"/>
      <c r="J141" s="32"/>
    </row>
    <row r="142" spans="1:12" ht="12.75">
      <c r="A142" s="16" t="s">
        <v>1640</v>
      </c>
      <c r="B142" s="17">
        <v>30000</v>
      </c>
      <c r="C142" s="17">
        <f t="shared" si="11"/>
        <v>825</v>
      </c>
      <c r="D142" s="47">
        <v>44620</v>
      </c>
      <c r="E142" s="32" t="s">
        <v>4573</v>
      </c>
      <c r="F142" s="32" t="s">
        <v>28</v>
      </c>
      <c r="H142" s="32"/>
      <c r="I142" s="17"/>
      <c r="J142" s="32"/>
    </row>
    <row r="143" spans="1:12" ht="12.75">
      <c r="B143" s="17"/>
      <c r="C143" s="17"/>
      <c r="D143" s="32"/>
      <c r="E143" s="32"/>
      <c r="F143" s="32"/>
      <c r="H143" s="32"/>
      <c r="I143" s="17"/>
      <c r="J143" s="32"/>
    </row>
    <row r="144" spans="1:12" ht="12.75">
      <c r="A144" s="11">
        <v>44621</v>
      </c>
      <c r="B144" s="9">
        <f>SUM(B145:B222)</f>
        <v>17111250</v>
      </c>
      <c r="C144" s="9">
        <f>SUM(C145:C221)</f>
        <v>442646.875</v>
      </c>
      <c r="D144" s="59"/>
      <c r="E144" s="59"/>
      <c r="F144" s="59"/>
      <c r="G144" s="9"/>
      <c r="H144" s="9"/>
      <c r="I144" s="15"/>
      <c r="J144" s="67"/>
      <c r="K144" s="69">
        <f>SUM(B144)</f>
        <v>17111250</v>
      </c>
      <c r="L144" s="67"/>
    </row>
    <row r="145" spans="1:10" ht="12.75">
      <c r="A145" s="16" t="s">
        <v>1525</v>
      </c>
      <c r="B145" s="17">
        <v>90000</v>
      </c>
      <c r="C145" s="17">
        <f t="shared" ref="C145:C147" si="12">0.0275*B145</f>
        <v>2475</v>
      </c>
      <c r="D145" s="47">
        <v>44621</v>
      </c>
      <c r="E145" s="32" t="s">
        <v>4023</v>
      </c>
      <c r="F145" s="32" t="s">
        <v>4574</v>
      </c>
      <c r="H145" s="32"/>
      <c r="I145" s="17"/>
      <c r="J145" s="32"/>
    </row>
    <row r="146" spans="1:10" ht="12.75">
      <c r="A146" s="16" t="s">
        <v>1567</v>
      </c>
      <c r="B146" s="17">
        <v>100000</v>
      </c>
      <c r="C146" s="17">
        <f t="shared" si="12"/>
        <v>2750</v>
      </c>
      <c r="D146" s="47">
        <v>44621</v>
      </c>
      <c r="E146" s="32" t="s">
        <v>4023</v>
      </c>
      <c r="F146" s="32" t="s">
        <v>28</v>
      </c>
      <c r="H146" s="32"/>
      <c r="I146" s="17"/>
      <c r="J146" s="21" t="s">
        <v>30</v>
      </c>
    </row>
    <row r="147" spans="1:10" ht="12.75">
      <c r="A147" s="16" t="s">
        <v>1641</v>
      </c>
      <c r="B147" s="17">
        <v>150000</v>
      </c>
      <c r="C147" s="17">
        <f t="shared" si="12"/>
        <v>4125</v>
      </c>
      <c r="D147" s="47">
        <v>44621</v>
      </c>
      <c r="E147" s="32" t="s">
        <v>4573</v>
      </c>
      <c r="F147" s="32" t="s">
        <v>4574</v>
      </c>
      <c r="H147" s="32"/>
      <c r="I147" s="17"/>
      <c r="J147" s="32"/>
    </row>
    <row r="148" spans="1:10" ht="12.75">
      <c r="A148" s="16" t="s">
        <v>4603</v>
      </c>
      <c r="B148" s="17">
        <v>100000</v>
      </c>
      <c r="C148" s="17">
        <v>0</v>
      </c>
      <c r="D148" s="47">
        <v>44621</v>
      </c>
      <c r="E148" s="32" t="s">
        <v>4573</v>
      </c>
      <c r="F148" s="32" t="s">
        <v>28</v>
      </c>
      <c r="H148" s="32"/>
      <c r="I148" s="17" t="s">
        <v>4578</v>
      </c>
      <c r="J148" s="21" t="s">
        <v>30</v>
      </c>
    </row>
    <row r="149" spans="1:10" ht="12.75">
      <c r="A149" s="16" t="s">
        <v>4604</v>
      </c>
      <c r="B149" s="17">
        <v>280000</v>
      </c>
      <c r="C149" s="17">
        <f t="shared" ref="C149:C188" si="13">0.0275*B149</f>
        <v>7700</v>
      </c>
      <c r="D149" s="47">
        <v>44621</v>
      </c>
      <c r="E149" s="32" t="s">
        <v>3434</v>
      </c>
      <c r="F149" s="32" t="s">
        <v>4574</v>
      </c>
      <c r="G149" s="68" t="s">
        <v>4598</v>
      </c>
      <c r="H149" s="17">
        <v>8400</v>
      </c>
      <c r="I149" s="16" t="s">
        <v>4586</v>
      </c>
      <c r="J149" s="32"/>
    </row>
    <row r="150" spans="1:10" ht="12.75">
      <c r="A150" s="16" t="s">
        <v>1642</v>
      </c>
      <c r="B150" s="17">
        <v>150000</v>
      </c>
      <c r="C150" s="17">
        <f t="shared" si="13"/>
        <v>4125</v>
      </c>
      <c r="D150" s="47">
        <v>44622</v>
      </c>
      <c r="E150" s="32" t="s">
        <v>4573</v>
      </c>
      <c r="F150" s="32" t="s">
        <v>28</v>
      </c>
      <c r="H150" s="32"/>
      <c r="I150" s="17"/>
      <c r="J150" s="21" t="s">
        <v>30</v>
      </c>
    </row>
    <row r="151" spans="1:10" ht="12.75">
      <c r="A151" s="16" t="s">
        <v>1476</v>
      </c>
      <c r="B151" s="17">
        <v>100000</v>
      </c>
      <c r="C151" s="17">
        <f t="shared" si="13"/>
        <v>2750</v>
      </c>
      <c r="D151" s="47">
        <v>44622</v>
      </c>
      <c r="E151" s="32" t="s">
        <v>4573</v>
      </c>
      <c r="F151" s="32" t="s">
        <v>4574</v>
      </c>
      <c r="H151" s="32"/>
      <c r="I151" s="17"/>
      <c r="J151" s="32"/>
    </row>
    <row r="152" spans="1:10" ht="12.75">
      <c r="A152" s="16" t="s">
        <v>1523</v>
      </c>
      <c r="B152" s="17">
        <v>75000</v>
      </c>
      <c r="C152" s="17">
        <f t="shared" si="13"/>
        <v>2062.5</v>
      </c>
      <c r="D152" s="47">
        <v>44623</v>
      </c>
      <c r="E152" s="32" t="s">
        <v>4023</v>
      </c>
      <c r="F152" s="32" t="s">
        <v>4574</v>
      </c>
      <c r="H152" s="32"/>
      <c r="I152" s="17"/>
      <c r="J152" s="32"/>
    </row>
    <row r="153" spans="1:10" ht="12.75">
      <c r="A153" s="16" t="s">
        <v>1643</v>
      </c>
      <c r="B153" s="17">
        <v>50000</v>
      </c>
      <c r="C153" s="17">
        <f t="shared" si="13"/>
        <v>1375</v>
      </c>
      <c r="D153" s="47">
        <v>44623</v>
      </c>
      <c r="E153" s="32" t="s">
        <v>4573</v>
      </c>
      <c r="F153" s="32" t="s">
        <v>4574</v>
      </c>
      <c r="H153" s="32"/>
      <c r="I153" s="17"/>
      <c r="J153" s="32"/>
    </row>
    <row r="154" spans="1:10" ht="12.75">
      <c r="A154" s="16" t="s">
        <v>1644</v>
      </c>
      <c r="B154" s="17">
        <v>600000</v>
      </c>
      <c r="C154" s="17">
        <f t="shared" si="13"/>
        <v>16500</v>
      </c>
      <c r="D154" s="47">
        <v>44623</v>
      </c>
      <c r="E154" s="32" t="s">
        <v>4023</v>
      </c>
      <c r="F154" s="32" t="s">
        <v>4574</v>
      </c>
      <c r="H154" s="32"/>
      <c r="I154" s="17"/>
      <c r="J154" s="32"/>
    </row>
    <row r="155" spans="1:10" ht="12.75">
      <c r="A155" s="16" t="s">
        <v>1478</v>
      </c>
      <c r="B155" s="17">
        <v>40000</v>
      </c>
      <c r="C155" s="17">
        <f t="shared" si="13"/>
        <v>1100</v>
      </c>
      <c r="D155" s="47">
        <v>44624</v>
      </c>
      <c r="E155" s="32" t="s">
        <v>73</v>
      </c>
      <c r="F155" s="32" t="s">
        <v>4574</v>
      </c>
      <c r="H155" s="32"/>
      <c r="I155" s="17"/>
      <c r="J155" s="32"/>
    </row>
    <row r="156" spans="1:10" ht="12.75">
      <c r="A156" s="16" t="s">
        <v>1498</v>
      </c>
      <c r="B156" s="17">
        <v>950000</v>
      </c>
      <c r="C156" s="17">
        <f t="shared" si="13"/>
        <v>26125</v>
      </c>
      <c r="D156" s="47">
        <v>44624</v>
      </c>
      <c r="E156" s="32" t="s">
        <v>2120</v>
      </c>
      <c r="F156" s="32" t="s">
        <v>4574</v>
      </c>
      <c r="H156" s="32"/>
      <c r="I156" s="17"/>
      <c r="J156" s="32"/>
    </row>
    <row r="157" spans="1:10" ht="12.75">
      <c r="A157" s="16" t="s">
        <v>1645</v>
      </c>
      <c r="B157" s="17">
        <v>150000</v>
      </c>
      <c r="C157" s="17">
        <f t="shared" si="13"/>
        <v>4125</v>
      </c>
      <c r="D157" s="47">
        <v>44624</v>
      </c>
      <c r="E157" s="32" t="s">
        <v>4573</v>
      </c>
      <c r="F157" s="32" t="s">
        <v>28</v>
      </c>
      <c r="H157" s="32"/>
      <c r="I157" s="17"/>
      <c r="J157" s="32"/>
    </row>
    <row r="158" spans="1:10" ht="12.75">
      <c r="A158" s="16" t="s">
        <v>1646</v>
      </c>
      <c r="B158" s="17">
        <v>500000</v>
      </c>
      <c r="C158" s="17">
        <f t="shared" si="13"/>
        <v>13750</v>
      </c>
      <c r="D158" s="47">
        <v>44624</v>
      </c>
      <c r="E158" s="32" t="s">
        <v>4573</v>
      </c>
      <c r="F158" s="32" t="s">
        <v>28</v>
      </c>
      <c r="H158" s="32"/>
      <c r="I158" s="17"/>
      <c r="J158" s="21" t="s">
        <v>30</v>
      </c>
    </row>
    <row r="159" spans="1:10" ht="12.75">
      <c r="A159" s="16" t="s">
        <v>1647</v>
      </c>
      <c r="B159" s="17">
        <v>50000</v>
      </c>
      <c r="C159" s="17">
        <f t="shared" si="13"/>
        <v>1375</v>
      </c>
      <c r="D159" s="47">
        <v>44624</v>
      </c>
      <c r="E159" s="32" t="s">
        <v>4573</v>
      </c>
      <c r="F159" s="32" t="s">
        <v>28</v>
      </c>
      <c r="H159" s="32"/>
      <c r="I159" s="17"/>
      <c r="J159" s="32"/>
    </row>
    <row r="160" spans="1:10" ht="12.75">
      <c r="A160" s="16" t="s">
        <v>1648</v>
      </c>
      <c r="B160" s="17">
        <v>200000</v>
      </c>
      <c r="C160" s="17">
        <f t="shared" si="13"/>
        <v>5500</v>
      </c>
      <c r="D160" s="47">
        <v>44627</v>
      </c>
      <c r="E160" s="32" t="s">
        <v>4023</v>
      </c>
      <c r="F160" s="32" t="s">
        <v>28</v>
      </c>
      <c r="H160" s="32"/>
      <c r="I160" s="17"/>
      <c r="J160" s="21" t="s">
        <v>30</v>
      </c>
    </row>
    <row r="161" spans="1:10" ht="12.75">
      <c r="A161" s="16" t="s">
        <v>1649</v>
      </c>
      <c r="B161" s="17">
        <v>155000</v>
      </c>
      <c r="C161" s="17">
        <f t="shared" si="13"/>
        <v>4262.5</v>
      </c>
      <c r="D161" s="47">
        <v>44627</v>
      </c>
      <c r="E161" s="32" t="s">
        <v>4573</v>
      </c>
      <c r="F161" s="32" t="s">
        <v>4574</v>
      </c>
      <c r="H161" s="32"/>
      <c r="J161" s="32"/>
    </row>
    <row r="162" spans="1:10" ht="12.75">
      <c r="A162" s="16" t="s">
        <v>4605</v>
      </c>
      <c r="B162" s="17">
        <v>1500000</v>
      </c>
      <c r="C162" s="17">
        <f t="shared" si="13"/>
        <v>41250</v>
      </c>
      <c r="D162" s="47">
        <v>44628</v>
      </c>
      <c r="E162" s="32" t="s">
        <v>4606</v>
      </c>
      <c r="F162" s="32" t="s">
        <v>28</v>
      </c>
      <c r="G162" s="68" t="s">
        <v>4577</v>
      </c>
      <c r="H162" s="17" t="s">
        <v>4607</v>
      </c>
      <c r="I162" s="16" t="s">
        <v>4608</v>
      </c>
      <c r="J162" s="21" t="s">
        <v>30</v>
      </c>
    </row>
    <row r="163" spans="1:10" ht="12.75">
      <c r="A163" s="16" t="s">
        <v>1467</v>
      </c>
      <c r="B163" s="17">
        <v>500000</v>
      </c>
      <c r="C163" s="17">
        <f t="shared" si="13"/>
        <v>13750</v>
      </c>
      <c r="D163" s="47">
        <v>44628</v>
      </c>
      <c r="E163" s="32" t="s">
        <v>4573</v>
      </c>
      <c r="F163" s="32" t="s">
        <v>4574</v>
      </c>
      <c r="H163" s="32"/>
      <c r="I163" s="17"/>
      <c r="J163" s="32"/>
    </row>
    <row r="164" spans="1:10" ht="12.75">
      <c r="A164" s="16" t="s">
        <v>1650</v>
      </c>
      <c r="B164" s="17">
        <v>50000</v>
      </c>
      <c r="C164" s="17">
        <f t="shared" si="13"/>
        <v>1375</v>
      </c>
      <c r="D164" s="47">
        <v>44628</v>
      </c>
      <c r="E164" s="32" t="s">
        <v>4609</v>
      </c>
      <c r="F164" s="32" t="s">
        <v>28</v>
      </c>
      <c r="H164" s="32"/>
      <c r="I164" s="17"/>
      <c r="J164" s="21" t="s">
        <v>30</v>
      </c>
    </row>
    <row r="165" spans="1:10" ht="12.75">
      <c r="A165" s="16" t="s">
        <v>1459</v>
      </c>
      <c r="B165" s="17">
        <v>125000</v>
      </c>
      <c r="C165" s="17">
        <f t="shared" si="13"/>
        <v>3437.5</v>
      </c>
      <c r="D165" s="47">
        <v>44628</v>
      </c>
      <c r="E165" s="32" t="s">
        <v>4573</v>
      </c>
      <c r="F165" s="32" t="s">
        <v>4574</v>
      </c>
      <c r="H165" s="32"/>
      <c r="I165" s="17"/>
      <c r="J165" s="32"/>
    </row>
    <row r="166" spans="1:10" ht="12.75">
      <c r="A166" s="16" t="s">
        <v>1651</v>
      </c>
      <c r="B166" s="17">
        <v>39000</v>
      </c>
      <c r="C166" s="17">
        <f t="shared" si="13"/>
        <v>1072.5</v>
      </c>
      <c r="D166" s="47">
        <v>44628</v>
      </c>
      <c r="E166" s="32" t="s">
        <v>4573</v>
      </c>
      <c r="F166" s="32" t="s">
        <v>4574</v>
      </c>
      <c r="H166" s="32"/>
      <c r="I166" s="17"/>
      <c r="J166" s="32"/>
    </row>
    <row r="167" spans="1:10" ht="12.75">
      <c r="A167" s="16" t="s">
        <v>1652</v>
      </c>
      <c r="B167" s="17">
        <v>155000</v>
      </c>
      <c r="C167" s="17">
        <f t="shared" si="13"/>
        <v>4262.5</v>
      </c>
      <c r="D167" s="47">
        <v>44628</v>
      </c>
      <c r="E167" s="32" t="s">
        <v>4023</v>
      </c>
      <c r="F167" s="32" t="s">
        <v>4574</v>
      </c>
      <c r="H167" s="32"/>
      <c r="I167" s="17"/>
      <c r="J167" s="32"/>
    </row>
    <row r="168" spans="1:10" ht="12.75">
      <c r="A168" s="16" t="s">
        <v>1653</v>
      </c>
      <c r="B168" s="17">
        <v>175000</v>
      </c>
      <c r="C168" s="17">
        <f t="shared" si="13"/>
        <v>4812.5</v>
      </c>
      <c r="D168" s="47">
        <v>44629</v>
      </c>
      <c r="E168" s="32" t="s">
        <v>73</v>
      </c>
      <c r="F168" s="32" t="s">
        <v>4574</v>
      </c>
      <c r="H168" s="32"/>
      <c r="I168" s="17"/>
      <c r="J168" s="32"/>
    </row>
    <row r="169" spans="1:10" ht="12.75">
      <c r="A169" s="16" t="s">
        <v>1521</v>
      </c>
      <c r="B169" s="17">
        <v>190000</v>
      </c>
      <c r="C169" s="17">
        <f t="shared" si="13"/>
        <v>5225</v>
      </c>
      <c r="D169" s="47">
        <v>44629</v>
      </c>
      <c r="E169" s="32" t="s">
        <v>4573</v>
      </c>
      <c r="F169" s="32" t="s">
        <v>4574</v>
      </c>
      <c r="H169" s="32"/>
      <c r="I169" s="17"/>
      <c r="J169" s="32"/>
    </row>
    <row r="170" spans="1:10" ht="12.75">
      <c r="A170" s="16" t="s">
        <v>1626</v>
      </c>
      <c r="B170" s="17">
        <v>30000</v>
      </c>
      <c r="C170" s="17">
        <f t="shared" si="13"/>
        <v>825</v>
      </c>
      <c r="D170" s="47">
        <v>44629</v>
      </c>
      <c r="E170" s="32" t="s">
        <v>73</v>
      </c>
      <c r="F170" s="32" t="s">
        <v>4574</v>
      </c>
      <c r="H170" s="32"/>
      <c r="I170" s="17"/>
      <c r="J170" s="32"/>
    </row>
    <row r="171" spans="1:10" ht="12.75">
      <c r="A171" s="16" t="s">
        <v>1655</v>
      </c>
      <c r="B171" s="17">
        <v>100000</v>
      </c>
      <c r="C171" s="17">
        <f t="shared" si="13"/>
        <v>2750</v>
      </c>
      <c r="D171" s="47">
        <v>44629</v>
      </c>
      <c r="E171" s="32" t="s">
        <v>4573</v>
      </c>
      <c r="F171" s="32" t="s">
        <v>28</v>
      </c>
      <c r="H171" s="32"/>
      <c r="I171" s="17"/>
      <c r="J171" s="21" t="s">
        <v>30</v>
      </c>
    </row>
    <row r="172" spans="1:10" ht="12.75">
      <c r="A172" s="16" t="s">
        <v>1656</v>
      </c>
      <c r="B172" s="17">
        <v>125000</v>
      </c>
      <c r="C172" s="17">
        <f t="shared" si="13"/>
        <v>3437.5</v>
      </c>
      <c r="D172" s="47">
        <v>44629</v>
      </c>
      <c r="E172" s="32" t="s">
        <v>4023</v>
      </c>
      <c r="F172" s="32" t="s">
        <v>4574</v>
      </c>
      <c r="H172" s="32"/>
      <c r="I172" s="17"/>
      <c r="J172" s="32"/>
    </row>
    <row r="173" spans="1:10" ht="12.75">
      <c r="A173" s="16" t="s">
        <v>1654</v>
      </c>
      <c r="B173" s="17">
        <v>30000</v>
      </c>
      <c r="C173" s="17">
        <f t="shared" si="13"/>
        <v>825</v>
      </c>
      <c r="D173" s="47">
        <v>44629</v>
      </c>
      <c r="E173" s="32" t="s">
        <v>4573</v>
      </c>
      <c r="F173" s="32" t="s">
        <v>28</v>
      </c>
      <c r="H173" s="32"/>
      <c r="I173" s="17"/>
      <c r="J173" s="32"/>
    </row>
    <row r="174" spans="1:10" ht="12.75">
      <c r="A174" s="16" t="s">
        <v>1657</v>
      </c>
      <c r="B174" s="17">
        <v>410000</v>
      </c>
      <c r="C174" s="17">
        <f t="shared" si="13"/>
        <v>11275</v>
      </c>
      <c r="D174" s="47">
        <v>44630</v>
      </c>
      <c r="E174" s="32" t="s">
        <v>4023</v>
      </c>
      <c r="F174" s="32" t="s">
        <v>4574</v>
      </c>
      <c r="H174" s="32"/>
      <c r="I174" s="17"/>
      <c r="J174" s="32"/>
    </row>
    <row r="175" spans="1:10" ht="12.75">
      <c r="A175" s="16" t="s">
        <v>1658</v>
      </c>
      <c r="B175" s="17">
        <v>10000</v>
      </c>
      <c r="C175" s="17">
        <f t="shared" si="13"/>
        <v>275</v>
      </c>
      <c r="D175" s="47">
        <v>44630</v>
      </c>
      <c r="E175" s="32" t="s">
        <v>4573</v>
      </c>
      <c r="F175" s="32" t="s">
        <v>4574</v>
      </c>
      <c r="H175" s="32"/>
      <c r="I175" s="17"/>
      <c r="J175" s="32"/>
    </row>
    <row r="176" spans="1:10" ht="12.75">
      <c r="A176" s="16" t="s">
        <v>1659</v>
      </c>
      <c r="B176" s="17">
        <v>50000</v>
      </c>
      <c r="C176" s="17">
        <f t="shared" si="13"/>
        <v>1375</v>
      </c>
      <c r="D176" s="47">
        <v>44631</v>
      </c>
      <c r="E176" s="32" t="s">
        <v>4573</v>
      </c>
      <c r="F176" s="32" t="s">
        <v>28</v>
      </c>
      <c r="H176" s="32"/>
      <c r="I176" s="17"/>
      <c r="J176" s="21" t="s">
        <v>30</v>
      </c>
    </row>
    <row r="177" spans="1:10" ht="12.75">
      <c r="A177" s="16" t="s">
        <v>1660</v>
      </c>
      <c r="B177" s="17">
        <v>1100000</v>
      </c>
      <c r="C177" s="17">
        <f t="shared" si="13"/>
        <v>30250</v>
      </c>
      <c r="D177" s="47">
        <v>44631</v>
      </c>
      <c r="E177" s="32" t="s">
        <v>4610</v>
      </c>
      <c r="F177" s="32" t="s">
        <v>4574</v>
      </c>
      <c r="H177" s="32"/>
      <c r="I177" s="17"/>
      <c r="J177" s="32"/>
    </row>
    <row r="178" spans="1:10" ht="12.75">
      <c r="A178" s="16" t="s">
        <v>1661</v>
      </c>
      <c r="B178" s="17">
        <v>1000000</v>
      </c>
      <c r="C178" s="17">
        <f t="shared" si="13"/>
        <v>27500</v>
      </c>
      <c r="D178" s="47">
        <v>44631</v>
      </c>
      <c r="E178" s="32" t="s">
        <v>4573</v>
      </c>
      <c r="F178" s="32" t="s">
        <v>28</v>
      </c>
      <c r="H178" s="32"/>
      <c r="I178" s="17"/>
      <c r="J178" s="21" t="s">
        <v>30</v>
      </c>
    </row>
    <row r="179" spans="1:10" ht="12.75">
      <c r="A179" s="16" t="s">
        <v>1606</v>
      </c>
      <c r="B179" s="17">
        <v>150000</v>
      </c>
      <c r="C179" s="17">
        <f t="shared" si="13"/>
        <v>4125</v>
      </c>
      <c r="D179" s="47">
        <v>44634</v>
      </c>
      <c r="E179" s="32" t="s">
        <v>4594</v>
      </c>
      <c r="F179" s="32" t="s">
        <v>4574</v>
      </c>
      <c r="H179" s="32"/>
      <c r="I179" s="17"/>
      <c r="J179" s="32"/>
    </row>
    <row r="180" spans="1:10" ht="12.75">
      <c r="A180" s="16" t="s">
        <v>4611</v>
      </c>
      <c r="B180" s="17">
        <v>28000</v>
      </c>
      <c r="C180" s="17">
        <f t="shared" si="13"/>
        <v>770</v>
      </c>
      <c r="D180" s="47">
        <v>44634</v>
      </c>
      <c r="E180" s="32" t="s">
        <v>4612</v>
      </c>
      <c r="F180" s="32" t="s">
        <v>2631</v>
      </c>
      <c r="H180" s="32"/>
      <c r="I180" s="17"/>
      <c r="J180" s="21" t="s">
        <v>30</v>
      </c>
    </row>
    <row r="181" spans="1:10" ht="12.75">
      <c r="A181" s="16" t="s">
        <v>1662</v>
      </c>
      <c r="B181" s="17">
        <v>50000</v>
      </c>
      <c r="C181" s="17">
        <f t="shared" si="13"/>
        <v>1375</v>
      </c>
      <c r="D181" s="47">
        <v>44634</v>
      </c>
      <c r="E181" s="32" t="s">
        <v>4023</v>
      </c>
      <c r="F181" s="32" t="s">
        <v>2631</v>
      </c>
      <c r="H181" s="32"/>
      <c r="I181" s="17"/>
      <c r="J181" s="21" t="s">
        <v>30</v>
      </c>
    </row>
    <row r="182" spans="1:10" ht="12.75">
      <c r="A182" s="16" t="s">
        <v>1663</v>
      </c>
      <c r="B182" s="17">
        <v>1000000</v>
      </c>
      <c r="C182" s="17">
        <f t="shared" si="13"/>
        <v>27500</v>
      </c>
      <c r="D182" s="47">
        <v>44634</v>
      </c>
      <c r="E182" s="32" t="s">
        <v>4573</v>
      </c>
      <c r="F182" s="32" t="s">
        <v>2631</v>
      </c>
      <c r="H182" s="32"/>
      <c r="I182" s="17"/>
      <c r="J182" s="21" t="s">
        <v>30</v>
      </c>
    </row>
    <row r="183" spans="1:10" ht="12.75">
      <c r="A183" s="16" t="s">
        <v>1664</v>
      </c>
      <c r="B183" s="17">
        <v>15000</v>
      </c>
      <c r="C183" s="17">
        <f t="shared" si="13"/>
        <v>412.5</v>
      </c>
      <c r="D183" s="47">
        <v>44635</v>
      </c>
      <c r="E183" s="32" t="s">
        <v>4573</v>
      </c>
      <c r="F183" s="32" t="s">
        <v>2631</v>
      </c>
      <c r="H183" s="32"/>
      <c r="I183" s="17"/>
      <c r="J183" s="32"/>
    </row>
    <row r="184" spans="1:10" ht="12.75">
      <c r="A184" s="16" t="s">
        <v>4613</v>
      </c>
      <c r="B184" s="17">
        <v>4750</v>
      </c>
      <c r="C184" s="17">
        <f t="shared" si="13"/>
        <v>130.625</v>
      </c>
      <c r="D184" s="47">
        <v>44635</v>
      </c>
      <c r="E184" s="32" t="s">
        <v>4573</v>
      </c>
      <c r="F184" s="32" t="s">
        <v>4574</v>
      </c>
      <c r="H184" s="32"/>
      <c r="I184" s="16" t="s">
        <v>4614</v>
      </c>
      <c r="J184" s="32"/>
    </row>
    <row r="185" spans="1:10" ht="12.75">
      <c r="A185" s="16" t="s">
        <v>1665</v>
      </c>
      <c r="B185" s="17">
        <v>100000</v>
      </c>
      <c r="C185" s="17">
        <f t="shared" si="13"/>
        <v>2750</v>
      </c>
      <c r="D185" s="47">
        <v>44635</v>
      </c>
      <c r="E185" s="32" t="s">
        <v>4573</v>
      </c>
      <c r="F185" s="32" t="s">
        <v>2631</v>
      </c>
      <c r="H185" s="32"/>
      <c r="J185" s="21" t="s">
        <v>30</v>
      </c>
    </row>
    <row r="186" spans="1:10" ht="12.75">
      <c r="A186" s="16" t="s">
        <v>1666</v>
      </c>
      <c r="B186" s="17">
        <v>350000</v>
      </c>
      <c r="C186" s="17">
        <f t="shared" si="13"/>
        <v>9625</v>
      </c>
      <c r="D186" s="47">
        <v>44636</v>
      </c>
      <c r="E186" s="32" t="s">
        <v>4573</v>
      </c>
      <c r="F186" s="32" t="s">
        <v>2631</v>
      </c>
      <c r="H186" s="32"/>
      <c r="I186" s="17"/>
      <c r="J186" s="21" t="s">
        <v>30</v>
      </c>
    </row>
    <row r="187" spans="1:10" ht="12.75">
      <c r="A187" s="16" t="s">
        <v>1494</v>
      </c>
      <c r="B187" s="17">
        <v>300000</v>
      </c>
      <c r="C187" s="17">
        <f t="shared" si="13"/>
        <v>8250</v>
      </c>
      <c r="D187" s="47">
        <v>44636</v>
      </c>
      <c r="E187" s="32" t="s">
        <v>4573</v>
      </c>
      <c r="F187" s="32" t="s">
        <v>4574</v>
      </c>
      <c r="H187" s="32"/>
      <c r="I187" s="17"/>
      <c r="J187" s="32"/>
    </row>
    <row r="188" spans="1:10" ht="12.75">
      <c r="A188" s="16" t="s">
        <v>1667</v>
      </c>
      <c r="B188" s="17">
        <v>125000</v>
      </c>
      <c r="C188" s="17">
        <f t="shared" si="13"/>
        <v>3437.5</v>
      </c>
      <c r="D188" s="47">
        <v>44636</v>
      </c>
      <c r="E188" s="32" t="s">
        <v>4573</v>
      </c>
      <c r="F188" s="32" t="s">
        <v>2631</v>
      </c>
      <c r="H188" s="32"/>
      <c r="I188" s="17"/>
      <c r="J188" s="21" t="s">
        <v>30</v>
      </c>
    </row>
    <row r="189" spans="1:10" ht="12.75">
      <c r="A189" s="16" t="s">
        <v>1475</v>
      </c>
      <c r="B189" s="17">
        <v>125000</v>
      </c>
      <c r="C189" s="17">
        <v>0</v>
      </c>
      <c r="D189" s="47">
        <v>44637</v>
      </c>
      <c r="E189" s="32" t="s">
        <v>4573</v>
      </c>
      <c r="F189" s="32" t="s">
        <v>4574</v>
      </c>
      <c r="H189" s="32"/>
      <c r="I189" s="17" t="s">
        <v>4578</v>
      </c>
      <c r="J189" s="32"/>
    </row>
    <row r="190" spans="1:10" ht="12.75">
      <c r="A190" s="16" t="s">
        <v>1668</v>
      </c>
      <c r="B190" s="17">
        <v>70000</v>
      </c>
      <c r="C190" s="17">
        <f t="shared" ref="C190:C192" si="14">0.0275*B190</f>
        <v>1925</v>
      </c>
      <c r="D190" s="47">
        <v>44637</v>
      </c>
      <c r="E190" s="32" t="s">
        <v>4573</v>
      </c>
      <c r="F190" s="32" t="s">
        <v>4574</v>
      </c>
      <c r="H190" s="32"/>
      <c r="I190" s="17"/>
      <c r="J190" s="32"/>
    </row>
    <row r="191" spans="1:10" ht="12.75">
      <c r="A191" s="16" t="s">
        <v>1669</v>
      </c>
      <c r="B191" s="17">
        <v>125000</v>
      </c>
      <c r="C191" s="17">
        <f t="shared" si="14"/>
        <v>3437.5</v>
      </c>
      <c r="D191" s="47">
        <v>44637</v>
      </c>
      <c r="E191" s="32" t="s">
        <v>4023</v>
      </c>
      <c r="F191" s="32" t="s">
        <v>4574</v>
      </c>
      <c r="H191" s="32"/>
      <c r="I191" s="17"/>
      <c r="J191" s="32"/>
    </row>
    <row r="192" spans="1:10" ht="12.75">
      <c r="A192" s="16" t="s">
        <v>1670</v>
      </c>
      <c r="B192" s="17">
        <v>200000</v>
      </c>
      <c r="C192" s="17">
        <f t="shared" si="14"/>
        <v>5500</v>
      </c>
      <c r="D192" s="47">
        <v>44637</v>
      </c>
      <c r="E192" s="32" t="s">
        <v>4573</v>
      </c>
      <c r="F192" s="32" t="s">
        <v>4574</v>
      </c>
      <c r="H192" s="32"/>
      <c r="I192" s="17"/>
      <c r="J192" s="32"/>
    </row>
    <row r="193" spans="1:10" ht="12.75">
      <c r="A193" s="16" t="s">
        <v>4615</v>
      </c>
      <c r="B193" s="17">
        <v>90000</v>
      </c>
      <c r="C193" s="17">
        <v>0</v>
      </c>
      <c r="D193" s="47">
        <v>44638</v>
      </c>
      <c r="E193" s="32" t="s">
        <v>4573</v>
      </c>
      <c r="F193" s="32" t="s">
        <v>4574</v>
      </c>
      <c r="H193" s="32"/>
      <c r="I193" s="17" t="s">
        <v>4578</v>
      </c>
      <c r="J193" s="32"/>
    </row>
    <row r="194" spans="1:10" ht="12.75">
      <c r="A194" s="16" t="s">
        <v>1551</v>
      </c>
      <c r="B194" s="17">
        <v>75000</v>
      </c>
      <c r="C194" s="17">
        <f t="shared" ref="C194:C199" si="15">0.0275*B194</f>
        <v>2062.5</v>
      </c>
      <c r="D194" s="47">
        <v>44638</v>
      </c>
      <c r="E194" s="32" t="s">
        <v>73</v>
      </c>
      <c r="F194" s="32" t="s">
        <v>4574</v>
      </c>
      <c r="H194" s="32"/>
      <c r="I194" s="17"/>
      <c r="J194" s="32"/>
    </row>
    <row r="195" spans="1:10" ht="12.75">
      <c r="A195" s="16" t="s">
        <v>1553</v>
      </c>
      <c r="B195" s="17">
        <v>60000</v>
      </c>
      <c r="C195" s="17">
        <f t="shared" si="15"/>
        <v>1650</v>
      </c>
      <c r="D195" s="47">
        <v>44638</v>
      </c>
      <c r="E195" s="32" t="s">
        <v>4573</v>
      </c>
      <c r="F195" s="32" t="s">
        <v>4574</v>
      </c>
      <c r="H195" s="32"/>
      <c r="I195" s="17"/>
      <c r="J195" s="32"/>
    </row>
    <row r="196" spans="1:10" ht="12.75">
      <c r="A196" s="16" t="s">
        <v>1671</v>
      </c>
      <c r="B196" s="17">
        <v>75000</v>
      </c>
      <c r="C196" s="17">
        <f t="shared" si="15"/>
        <v>2062.5</v>
      </c>
      <c r="D196" s="47">
        <v>44638</v>
      </c>
      <c r="E196" s="32" t="s">
        <v>73</v>
      </c>
      <c r="F196" s="32" t="s">
        <v>4574</v>
      </c>
      <c r="H196" s="32"/>
      <c r="I196" s="17"/>
      <c r="J196" s="32"/>
    </row>
    <row r="197" spans="1:10" ht="12.75">
      <c r="A197" s="16" t="s">
        <v>1456</v>
      </c>
      <c r="B197" s="17">
        <v>215000</v>
      </c>
      <c r="C197" s="17">
        <f t="shared" si="15"/>
        <v>5912.5</v>
      </c>
      <c r="D197" s="47">
        <v>44638</v>
      </c>
      <c r="E197" s="32" t="s">
        <v>73</v>
      </c>
      <c r="F197" s="32" t="s">
        <v>4574</v>
      </c>
      <c r="H197" s="32"/>
      <c r="I197" s="17"/>
      <c r="J197" s="32"/>
    </row>
    <row r="198" spans="1:10" ht="12.75">
      <c r="A198" s="16" t="s">
        <v>1672</v>
      </c>
      <c r="B198" s="17">
        <v>50000</v>
      </c>
      <c r="C198" s="17">
        <f t="shared" si="15"/>
        <v>1375</v>
      </c>
      <c r="D198" s="47">
        <v>44638</v>
      </c>
      <c r="E198" s="32" t="s">
        <v>4573</v>
      </c>
      <c r="F198" s="32" t="s">
        <v>4574</v>
      </c>
      <c r="H198" s="32"/>
      <c r="I198" s="17"/>
      <c r="J198" s="32"/>
    </row>
    <row r="199" spans="1:10" ht="12.75">
      <c r="A199" s="16" t="s">
        <v>4575</v>
      </c>
      <c r="B199" s="17">
        <v>100000</v>
      </c>
      <c r="C199" s="17">
        <f t="shared" si="15"/>
        <v>2750</v>
      </c>
      <c r="D199" s="47">
        <v>44638</v>
      </c>
      <c r="E199" s="32" t="s">
        <v>4576</v>
      </c>
      <c r="F199" s="32" t="s">
        <v>4574</v>
      </c>
      <c r="G199" s="68" t="s">
        <v>4577</v>
      </c>
      <c r="H199" s="17" t="s">
        <v>4616</v>
      </c>
      <c r="I199" s="17"/>
      <c r="J199" s="32"/>
    </row>
    <row r="200" spans="1:10" ht="12.75">
      <c r="A200" s="16" t="s">
        <v>1461</v>
      </c>
      <c r="B200" s="17">
        <v>400000</v>
      </c>
      <c r="C200" s="17">
        <v>0</v>
      </c>
      <c r="D200" s="47">
        <v>44642</v>
      </c>
      <c r="E200" s="32" t="s">
        <v>4573</v>
      </c>
      <c r="F200" s="32" t="s">
        <v>4574</v>
      </c>
      <c r="H200" s="32"/>
      <c r="I200" s="17"/>
      <c r="J200" s="32"/>
    </row>
    <row r="201" spans="1:10" ht="12.75">
      <c r="A201" s="16" t="s">
        <v>1673</v>
      </c>
      <c r="B201" s="17">
        <v>350000</v>
      </c>
      <c r="C201" s="17">
        <f t="shared" ref="C201:C210" si="16">0.0275*B201</f>
        <v>9625</v>
      </c>
      <c r="D201" s="47">
        <v>44642</v>
      </c>
      <c r="E201" s="32" t="s">
        <v>4573</v>
      </c>
      <c r="F201" s="32" t="s">
        <v>4574</v>
      </c>
      <c r="H201" s="32"/>
      <c r="I201" s="17"/>
      <c r="J201" s="32"/>
    </row>
    <row r="202" spans="1:10" ht="12.75">
      <c r="A202" s="16" t="s">
        <v>1674</v>
      </c>
      <c r="B202" s="17">
        <v>17000</v>
      </c>
      <c r="C202" s="17">
        <f t="shared" si="16"/>
        <v>467.5</v>
      </c>
      <c r="D202" s="47">
        <v>44642</v>
      </c>
      <c r="E202" s="32" t="s">
        <v>73</v>
      </c>
      <c r="F202" s="32" t="s">
        <v>4574</v>
      </c>
      <c r="H202" s="32"/>
      <c r="I202" s="17"/>
      <c r="J202" s="32"/>
    </row>
    <row r="203" spans="1:10" ht="12.75">
      <c r="A203" s="16" t="s">
        <v>1596</v>
      </c>
      <c r="B203" s="17">
        <v>50000</v>
      </c>
      <c r="C203" s="17">
        <f t="shared" si="16"/>
        <v>1375</v>
      </c>
      <c r="D203" s="47">
        <v>44642</v>
      </c>
      <c r="E203" s="32" t="s">
        <v>4573</v>
      </c>
      <c r="F203" s="32" t="s">
        <v>4574</v>
      </c>
      <c r="H203" s="32"/>
      <c r="I203" s="17"/>
      <c r="J203" s="32"/>
    </row>
    <row r="204" spans="1:10" ht="12.75">
      <c r="A204" s="16" t="s">
        <v>1470</v>
      </c>
      <c r="B204" s="17">
        <v>40000</v>
      </c>
      <c r="C204" s="17">
        <f t="shared" si="16"/>
        <v>1100</v>
      </c>
      <c r="D204" s="47">
        <v>44643</v>
      </c>
      <c r="E204" s="32" t="s">
        <v>4573</v>
      </c>
      <c r="F204" s="32" t="s">
        <v>4574</v>
      </c>
      <c r="H204" s="32"/>
      <c r="I204" s="17"/>
      <c r="J204" s="32"/>
    </row>
    <row r="205" spans="1:10" ht="12.75">
      <c r="A205" s="16" t="s">
        <v>1675</v>
      </c>
      <c r="B205" s="17">
        <v>200000</v>
      </c>
      <c r="C205" s="17">
        <f t="shared" si="16"/>
        <v>5500</v>
      </c>
      <c r="D205" s="47">
        <v>44643</v>
      </c>
      <c r="E205" s="32" t="s">
        <v>4023</v>
      </c>
      <c r="F205" s="32" t="s">
        <v>28</v>
      </c>
      <c r="H205" s="32"/>
      <c r="I205" s="17"/>
      <c r="J205" s="21" t="s">
        <v>30</v>
      </c>
    </row>
    <row r="206" spans="1:10" ht="12.75">
      <c r="A206" s="16" t="s">
        <v>1561</v>
      </c>
      <c r="B206" s="17">
        <v>125000</v>
      </c>
      <c r="C206" s="17">
        <f t="shared" si="16"/>
        <v>3437.5</v>
      </c>
      <c r="D206" s="47">
        <v>44644</v>
      </c>
      <c r="E206" s="32" t="s">
        <v>4023</v>
      </c>
      <c r="F206" s="32" t="s">
        <v>4574</v>
      </c>
      <c r="H206" s="32"/>
      <c r="I206" s="17"/>
      <c r="J206" s="32"/>
    </row>
    <row r="207" spans="1:10" ht="12.75">
      <c r="A207" s="16" t="s">
        <v>1676</v>
      </c>
      <c r="B207" s="17">
        <v>30000</v>
      </c>
      <c r="C207" s="17">
        <f t="shared" si="16"/>
        <v>825</v>
      </c>
      <c r="D207" s="47">
        <v>44644</v>
      </c>
      <c r="E207" s="32" t="s">
        <v>4573</v>
      </c>
      <c r="F207" s="32" t="s">
        <v>28</v>
      </c>
      <c r="H207" s="32"/>
      <c r="I207" s="17"/>
      <c r="J207" s="32"/>
    </row>
    <row r="208" spans="1:10" ht="12.75">
      <c r="A208" s="31" t="s">
        <v>1677</v>
      </c>
      <c r="B208" s="17">
        <v>112500</v>
      </c>
      <c r="C208" s="17">
        <f t="shared" si="16"/>
        <v>3093.75</v>
      </c>
      <c r="D208" s="47">
        <v>44644</v>
      </c>
      <c r="E208" s="32" t="s">
        <v>4573</v>
      </c>
      <c r="F208" s="32" t="s">
        <v>4574</v>
      </c>
      <c r="H208" s="32"/>
      <c r="I208" s="17"/>
      <c r="J208" s="32"/>
    </row>
    <row r="209" spans="1:12" ht="12.75">
      <c r="A209" s="16" t="s">
        <v>1550</v>
      </c>
      <c r="B209" s="17">
        <v>550000</v>
      </c>
      <c r="C209" s="17">
        <f t="shared" si="16"/>
        <v>15125</v>
      </c>
      <c r="D209" s="47">
        <v>44645</v>
      </c>
      <c r="E209" s="32" t="s">
        <v>4594</v>
      </c>
      <c r="F209" s="32" t="s">
        <v>4574</v>
      </c>
      <c r="H209" s="32"/>
      <c r="I209" s="17"/>
      <c r="J209" s="32"/>
    </row>
    <row r="210" spans="1:12" ht="12.75">
      <c r="A210" s="16" t="s">
        <v>1678</v>
      </c>
      <c r="B210" s="17">
        <v>175000</v>
      </c>
      <c r="C210" s="17">
        <f t="shared" si="16"/>
        <v>4812.5</v>
      </c>
      <c r="D210" s="47">
        <v>44645</v>
      </c>
      <c r="E210" s="32" t="s">
        <v>4023</v>
      </c>
      <c r="F210" s="32" t="s">
        <v>28</v>
      </c>
      <c r="H210" s="32"/>
      <c r="I210" s="17"/>
      <c r="J210" s="21" t="s">
        <v>30</v>
      </c>
    </row>
    <row r="211" spans="1:12" ht="12.75">
      <c r="A211" s="16" t="s">
        <v>1679</v>
      </c>
      <c r="B211" s="17">
        <v>100000</v>
      </c>
      <c r="C211" s="17">
        <v>0</v>
      </c>
      <c r="D211" s="47">
        <v>44645</v>
      </c>
      <c r="E211" s="32" t="s">
        <v>4023</v>
      </c>
      <c r="F211" s="32" t="s">
        <v>28</v>
      </c>
      <c r="H211" s="32"/>
      <c r="I211" s="17" t="s">
        <v>4578</v>
      </c>
      <c r="J211" s="21" t="s">
        <v>30</v>
      </c>
    </row>
    <row r="212" spans="1:12" ht="12.75">
      <c r="A212" s="16" t="s">
        <v>1528</v>
      </c>
      <c r="B212" s="17">
        <v>400000</v>
      </c>
      <c r="C212" s="17">
        <f t="shared" ref="C212:C216" si="17">0.0275*B212</f>
        <v>11000</v>
      </c>
      <c r="D212" s="47">
        <v>44645</v>
      </c>
      <c r="E212" s="32" t="s">
        <v>4573</v>
      </c>
      <c r="F212" s="32" t="s">
        <v>4574</v>
      </c>
      <c r="H212" s="32"/>
      <c r="I212" s="17"/>
      <c r="J212" s="32"/>
    </row>
    <row r="213" spans="1:12" ht="12.75">
      <c r="A213" s="16" t="s">
        <v>1501</v>
      </c>
      <c r="B213" s="17">
        <v>385000</v>
      </c>
      <c r="C213" s="17">
        <f t="shared" si="17"/>
        <v>10587.5</v>
      </c>
      <c r="D213" s="47">
        <v>44649</v>
      </c>
      <c r="E213" s="32" t="s">
        <v>4573</v>
      </c>
      <c r="F213" s="32" t="s">
        <v>4574</v>
      </c>
      <c r="H213" s="32"/>
      <c r="I213" s="17"/>
      <c r="J213" s="32"/>
    </row>
    <row r="214" spans="1:12" ht="12.75">
      <c r="A214" s="16" t="s">
        <v>1680</v>
      </c>
      <c r="B214" s="17">
        <v>150000</v>
      </c>
      <c r="C214" s="17">
        <f t="shared" si="17"/>
        <v>4125</v>
      </c>
      <c r="D214" s="47">
        <v>44649</v>
      </c>
      <c r="E214" s="32" t="s">
        <v>4573</v>
      </c>
      <c r="F214" s="32" t="s">
        <v>4574</v>
      </c>
      <c r="H214" s="32"/>
      <c r="I214" s="17"/>
      <c r="J214" s="32"/>
    </row>
    <row r="215" spans="1:12" ht="12.75">
      <c r="A215" s="16" t="s">
        <v>1681</v>
      </c>
      <c r="B215" s="17">
        <v>150000</v>
      </c>
      <c r="C215" s="17">
        <f t="shared" si="17"/>
        <v>4125</v>
      </c>
      <c r="D215" s="47">
        <v>44649</v>
      </c>
      <c r="E215" s="32" t="s">
        <v>4023</v>
      </c>
      <c r="F215" s="32" t="s">
        <v>4574</v>
      </c>
      <c r="H215" s="32"/>
      <c r="I215" s="17"/>
      <c r="J215" s="32"/>
    </row>
    <row r="216" spans="1:12" ht="12.75">
      <c r="A216" s="16" t="s">
        <v>1555</v>
      </c>
      <c r="B216" s="17">
        <v>100000</v>
      </c>
      <c r="C216" s="17">
        <f t="shared" si="17"/>
        <v>2750</v>
      </c>
      <c r="D216" s="47">
        <v>44649</v>
      </c>
      <c r="E216" s="32" t="s">
        <v>4023</v>
      </c>
      <c r="F216" s="32" t="s">
        <v>4574</v>
      </c>
      <c r="H216" s="32"/>
      <c r="I216" s="17"/>
      <c r="J216" s="32"/>
    </row>
    <row r="217" spans="1:12" ht="12.75">
      <c r="A217" s="16" t="s">
        <v>1682</v>
      </c>
      <c r="B217" s="17">
        <v>375000</v>
      </c>
      <c r="C217" s="17">
        <f>0.0275*250000</f>
        <v>6875</v>
      </c>
      <c r="D217" s="47">
        <v>44649</v>
      </c>
      <c r="E217" s="32" t="s">
        <v>4573</v>
      </c>
      <c r="F217" s="32" t="s">
        <v>4574</v>
      </c>
      <c r="H217" s="32"/>
      <c r="I217" s="17" t="s">
        <v>4617</v>
      </c>
      <c r="J217" s="32"/>
    </row>
    <row r="218" spans="1:12" ht="12.75">
      <c r="A218" s="16" t="s">
        <v>1683</v>
      </c>
      <c r="B218" s="17">
        <v>10000</v>
      </c>
      <c r="C218" s="17">
        <v>275</v>
      </c>
      <c r="D218" s="47">
        <v>44649</v>
      </c>
      <c r="E218" s="32" t="s">
        <v>4573</v>
      </c>
      <c r="F218" s="32" t="s">
        <v>28</v>
      </c>
      <c r="H218" s="32"/>
      <c r="I218" s="17"/>
      <c r="J218" s="32"/>
    </row>
    <row r="219" spans="1:12" ht="12.75">
      <c r="A219" s="16" t="s">
        <v>1513</v>
      </c>
      <c r="B219" s="17">
        <v>255000</v>
      </c>
      <c r="C219" s="17">
        <f>0.0275*180000</f>
        <v>4950</v>
      </c>
      <c r="D219" s="47">
        <v>44650</v>
      </c>
      <c r="E219" s="32" t="s">
        <v>4573</v>
      </c>
      <c r="F219" s="32" t="s">
        <v>4574</v>
      </c>
      <c r="H219" s="32"/>
      <c r="I219" s="17" t="s">
        <v>4618</v>
      </c>
      <c r="J219" s="32"/>
    </row>
    <row r="220" spans="1:12" ht="12.75">
      <c r="A220" s="16" t="s">
        <v>1684</v>
      </c>
      <c r="B220" s="17">
        <v>300000</v>
      </c>
      <c r="C220" s="17">
        <f>0.0275*B220</f>
        <v>8250</v>
      </c>
      <c r="D220" s="47">
        <v>44650</v>
      </c>
      <c r="E220" s="32" t="s">
        <v>4023</v>
      </c>
      <c r="F220" s="32" t="s">
        <v>28</v>
      </c>
      <c r="H220" s="32"/>
      <c r="I220" s="17"/>
      <c r="J220" s="21" t="s">
        <v>30</v>
      </c>
    </row>
    <row r="221" spans="1:12" ht="12.75">
      <c r="A221" s="16" t="s">
        <v>1685</v>
      </c>
      <c r="B221" s="17">
        <v>200000</v>
      </c>
      <c r="C221" s="17">
        <v>5500</v>
      </c>
      <c r="D221" s="47">
        <v>44651</v>
      </c>
      <c r="E221" s="32" t="s">
        <v>4023</v>
      </c>
      <c r="F221" s="32" t="s">
        <v>28</v>
      </c>
      <c r="H221" s="32"/>
      <c r="I221" s="17"/>
      <c r="J221" s="32"/>
    </row>
    <row r="222" spans="1:12" ht="12.75">
      <c r="B222" s="17"/>
      <c r="C222" s="17"/>
      <c r="D222" s="32"/>
      <c r="E222" s="32"/>
      <c r="F222" s="32"/>
      <c r="H222" s="32"/>
      <c r="I222" s="17"/>
      <c r="J222" s="32"/>
    </row>
    <row r="223" spans="1:12" ht="12.75">
      <c r="A223" s="11">
        <v>44652</v>
      </c>
      <c r="B223" s="9">
        <f t="shared" ref="B223:C223" si="18">SUM(B224:B293)</f>
        <v>14092500</v>
      </c>
      <c r="C223" s="9">
        <f t="shared" si="18"/>
        <v>387544</v>
      </c>
      <c r="D223" s="59"/>
      <c r="E223" s="59"/>
      <c r="F223" s="59"/>
      <c r="G223" s="9"/>
      <c r="H223" s="9"/>
      <c r="I223" s="15"/>
      <c r="J223" s="67"/>
      <c r="K223" s="69">
        <f>SUM(B223)</f>
        <v>14092500</v>
      </c>
      <c r="L223" s="67"/>
    </row>
    <row r="224" spans="1:12" ht="12.75">
      <c r="A224" s="16" t="s">
        <v>1686</v>
      </c>
      <c r="B224" s="17">
        <v>130000</v>
      </c>
      <c r="C224" s="17">
        <f t="shared" ref="C224:C245" si="19">0.0275*B224</f>
        <v>3575</v>
      </c>
      <c r="D224" s="47">
        <v>44652</v>
      </c>
      <c r="E224" s="32" t="s">
        <v>4023</v>
      </c>
      <c r="F224" s="32" t="s">
        <v>28</v>
      </c>
      <c r="H224" s="32"/>
      <c r="I224" s="17"/>
      <c r="J224" s="21" t="s">
        <v>30</v>
      </c>
    </row>
    <row r="225" spans="1:10" ht="12.75">
      <c r="A225" s="16" t="s">
        <v>1687</v>
      </c>
      <c r="B225" s="17">
        <v>250000</v>
      </c>
      <c r="C225" s="17">
        <f t="shared" si="19"/>
        <v>6875</v>
      </c>
      <c r="D225" s="47">
        <v>44652</v>
      </c>
      <c r="E225" s="32" t="s">
        <v>4023</v>
      </c>
      <c r="F225" s="32" t="s">
        <v>28</v>
      </c>
      <c r="H225" s="32"/>
      <c r="I225" s="17"/>
      <c r="J225" s="21" t="s">
        <v>30</v>
      </c>
    </row>
    <row r="226" spans="1:10" ht="12.75">
      <c r="A226" s="16" t="s">
        <v>1688</v>
      </c>
      <c r="B226" s="17">
        <v>250000</v>
      </c>
      <c r="C226" s="17">
        <f t="shared" si="19"/>
        <v>6875</v>
      </c>
      <c r="D226" s="47">
        <v>44652</v>
      </c>
      <c r="E226" s="32" t="s">
        <v>11</v>
      </c>
      <c r="F226" s="32" t="s">
        <v>4574</v>
      </c>
      <c r="H226" s="32"/>
      <c r="I226" s="17"/>
      <c r="J226" s="32"/>
    </row>
    <row r="227" spans="1:10" ht="12.75">
      <c r="A227" s="16" t="s">
        <v>1689</v>
      </c>
      <c r="B227" s="17">
        <v>50000</v>
      </c>
      <c r="C227" s="17">
        <f t="shared" si="19"/>
        <v>1375</v>
      </c>
      <c r="D227" s="47">
        <v>44652</v>
      </c>
      <c r="E227" s="32" t="s">
        <v>4023</v>
      </c>
      <c r="F227" s="32" t="s">
        <v>28</v>
      </c>
      <c r="H227" s="32"/>
      <c r="I227" s="17"/>
      <c r="J227" s="21" t="s">
        <v>30</v>
      </c>
    </row>
    <row r="228" spans="1:10" ht="12.75">
      <c r="A228" s="24" t="s">
        <v>1690</v>
      </c>
      <c r="B228" s="25">
        <v>150000</v>
      </c>
      <c r="C228" s="17">
        <f t="shared" si="19"/>
        <v>4125</v>
      </c>
      <c r="D228" s="47">
        <v>44655</v>
      </c>
      <c r="E228" s="32" t="s">
        <v>4023</v>
      </c>
      <c r="F228" s="32" t="s">
        <v>28</v>
      </c>
      <c r="H228" s="32"/>
      <c r="I228" s="17"/>
      <c r="J228" s="21" t="s">
        <v>30</v>
      </c>
    </row>
    <row r="229" spans="1:10" ht="12.75">
      <c r="A229" s="16" t="s">
        <v>1484</v>
      </c>
      <c r="B229" s="17">
        <v>525000</v>
      </c>
      <c r="C229" s="17">
        <f t="shared" si="19"/>
        <v>14437.5</v>
      </c>
      <c r="D229" s="47">
        <v>44655</v>
      </c>
      <c r="E229" s="32" t="s">
        <v>73</v>
      </c>
      <c r="F229" s="32" t="s">
        <v>4574</v>
      </c>
      <c r="H229" s="32"/>
      <c r="I229" s="17"/>
      <c r="J229" s="32"/>
    </row>
    <row r="230" spans="1:10" ht="12.75">
      <c r="A230" s="16" t="s">
        <v>1691</v>
      </c>
      <c r="B230" s="17">
        <v>250000</v>
      </c>
      <c r="C230" s="17">
        <f t="shared" si="19"/>
        <v>6875</v>
      </c>
      <c r="D230" s="47">
        <v>44655</v>
      </c>
      <c r="E230" s="32" t="s">
        <v>4594</v>
      </c>
      <c r="F230" s="32" t="s">
        <v>28</v>
      </c>
      <c r="H230" s="32"/>
      <c r="I230" s="17"/>
      <c r="J230" s="21" t="s">
        <v>30</v>
      </c>
    </row>
    <row r="231" spans="1:10" ht="12.75">
      <c r="A231" s="16" t="s">
        <v>1500</v>
      </c>
      <c r="B231" s="17">
        <v>240000</v>
      </c>
      <c r="C231" s="17">
        <f t="shared" si="19"/>
        <v>6600</v>
      </c>
      <c r="D231" s="47">
        <v>44656</v>
      </c>
      <c r="E231" s="32" t="s">
        <v>11</v>
      </c>
      <c r="F231" s="32" t="s">
        <v>4574</v>
      </c>
      <c r="H231" s="32"/>
      <c r="I231" s="17"/>
      <c r="J231" s="32"/>
    </row>
    <row r="232" spans="1:10" ht="12.75">
      <c r="A232" s="16" t="s">
        <v>1692</v>
      </c>
      <c r="B232" s="17">
        <v>87500</v>
      </c>
      <c r="C232" s="17">
        <f t="shared" si="19"/>
        <v>2406.25</v>
      </c>
      <c r="D232" s="47">
        <v>44656</v>
      </c>
      <c r="E232" s="32" t="s">
        <v>11</v>
      </c>
      <c r="F232" s="32" t="s">
        <v>4574</v>
      </c>
      <c r="H232" s="32"/>
      <c r="I232" s="17"/>
      <c r="J232" s="32"/>
    </row>
    <row r="233" spans="1:10" ht="12.75">
      <c r="A233" s="16" t="s">
        <v>1693</v>
      </c>
      <c r="B233" s="17">
        <v>200000</v>
      </c>
      <c r="C233" s="17">
        <f t="shared" si="19"/>
        <v>5500</v>
      </c>
      <c r="D233" s="47">
        <v>44656</v>
      </c>
      <c r="E233" s="32" t="s">
        <v>11</v>
      </c>
      <c r="F233" s="32" t="s">
        <v>4574</v>
      </c>
      <c r="H233" s="32"/>
      <c r="I233" s="17"/>
      <c r="J233" s="32"/>
    </row>
    <row r="234" spans="1:10" ht="12.75">
      <c r="A234" s="16" t="s">
        <v>1615</v>
      </c>
      <c r="B234" s="17">
        <v>150000</v>
      </c>
      <c r="C234" s="17">
        <f t="shared" si="19"/>
        <v>4125</v>
      </c>
      <c r="D234" s="47">
        <v>44657</v>
      </c>
      <c r="E234" s="32" t="s">
        <v>11</v>
      </c>
      <c r="F234" s="32" t="s">
        <v>4574</v>
      </c>
      <c r="H234" s="32"/>
      <c r="I234" s="17"/>
      <c r="J234" s="32"/>
    </row>
    <row r="235" spans="1:10" ht="12.75">
      <c r="A235" s="16" t="s">
        <v>1694</v>
      </c>
      <c r="B235" s="17">
        <v>11000</v>
      </c>
      <c r="C235" s="17">
        <f t="shared" si="19"/>
        <v>302.5</v>
      </c>
      <c r="D235" s="47">
        <v>44657</v>
      </c>
      <c r="E235" s="32" t="s">
        <v>11</v>
      </c>
      <c r="F235" s="32" t="s">
        <v>4574</v>
      </c>
      <c r="H235" s="32"/>
      <c r="I235" s="17"/>
      <c r="J235" s="32"/>
    </row>
    <row r="236" spans="1:10" ht="12.75">
      <c r="A236" s="16" t="s">
        <v>1696</v>
      </c>
      <c r="B236" s="17">
        <v>575000</v>
      </c>
      <c r="C236" s="17">
        <f t="shared" si="19"/>
        <v>15812.5</v>
      </c>
      <c r="D236" s="47">
        <v>44658</v>
      </c>
      <c r="E236" s="32" t="s">
        <v>11</v>
      </c>
      <c r="F236" s="32" t="s">
        <v>4574</v>
      </c>
      <c r="H236" s="32"/>
      <c r="I236" s="17"/>
      <c r="J236" s="32"/>
    </row>
    <row r="237" spans="1:10" ht="12.75">
      <c r="A237" s="16" t="s">
        <v>1695</v>
      </c>
      <c r="B237" s="17">
        <v>62000</v>
      </c>
      <c r="C237" s="17">
        <f t="shared" si="19"/>
        <v>1705</v>
      </c>
      <c r="D237" s="47">
        <v>44658</v>
      </c>
      <c r="E237" s="32" t="s">
        <v>11</v>
      </c>
      <c r="F237" s="32" t="s">
        <v>28</v>
      </c>
      <c r="H237" s="32"/>
      <c r="I237" s="17"/>
      <c r="J237" s="32"/>
    </row>
    <row r="238" spans="1:10" ht="12.75">
      <c r="A238" s="16" t="s">
        <v>4619</v>
      </c>
      <c r="B238" s="17">
        <v>200000</v>
      </c>
      <c r="C238" s="17">
        <f t="shared" si="19"/>
        <v>5500</v>
      </c>
      <c r="D238" s="47">
        <v>44658</v>
      </c>
      <c r="E238" s="32" t="s">
        <v>4023</v>
      </c>
      <c r="F238" s="32" t="s">
        <v>28</v>
      </c>
      <c r="H238" s="32"/>
      <c r="I238" s="17"/>
      <c r="J238" s="21" t="s">
        <v>30</v>
      </c>
    </row>
    <row r="239" spans="1:10" ht="12.75">
      <c r="A239" s="16" t="s">
        <v>1697</v>
      </c>
      <c r="B239" s="17">
        <v>250000</v>
      </c>
      <c r="C239" s="17">
        <f t="shared" si="19"/>
        <v>6875</v>
      </c>
      <c r="D239" s="47">
        <v>44658</v>
      </c>
      <c r="E239" s="32" t="s">
        <v>11</v>
      </c>
      <c r="F239" s="32" t="s">
        <v>28</v>
      </c>
      <c r="H239" s="32"/>
      <c r="I239" s="17"/>
      <c r="J239" s="21" t="s">
        <v>30</v>
      </c>
    </row>
    <row r="240" spans="1:10" ht="12.75">
      <c r="A240" s="16" t="s">
        <v>1698</v>
      </c>
      <c r="B240" s="17">
        <v>60000</v>
      </c>
      <c r="C240" s="17">
        <f t="shared" si="19"/>
        <v>1650</v>
      </c>
      <c r="D240" s="47">
        <v>44659</v>
      </c>
      <c r="E240" s="32" t="s">
        <v>73</v>
      </c>
      <c r="F240" s="32" t="s">
        <v>4574</v>
      </c>
      <c r="H240" s="32"/>
      <c r="I240" s="17"/>
      <c r="J240" s="32"/>
    </row>
    <row r="241" spans="1:10" ht="12.75">
      <c r="A241" s="16" t="s">
        <v>1597</v>
      </c>
      <c r="B241" s="17">
        <v>820000</v>
      </c>
      <c r="C241" s="17">
        <f t="shared" si="19"/>
        <v>22550</v>
      </c>
      <c r="D241" s="47">
        <v>44659</v>
      </c>
      <c r="E241" s="32" t="s">
        <v>11</v>
      </c>
      <c r="F241" s="32" t="s">
        <v>4574</v>
      </c>
      <c r="H241" s="32"/>
      <c r="I241" s="17"/>
      <c r="J241" s="32"/>
    </row>
    <row r="242" spans="1:10" ht="12.75">
      <c r="A242" s="16" t="s">
        <v>1473</v>
      </c>
      <c r="B242" s="17">
        <v>180000</v>
      </c>
      <c r="C242" s="17">
        <f t="shared" si="19"/>
        <v>4950</v>
      </c>
      <c r="D242" s="47">
        <v>44659</v>
      </c>
      <c r="E242" s="32" t="s">
        <v>11</v>
      </c>
      <c r="F242" s="32" t="s">
        <v>4574</v>
      </c>
      <c r="H242" s="32"/>
      <c r="I242" s="17"/>
      <c r="J242" s="32"/>
    </row>
    <row r="243" spans="1:10" ht="12.75">
      <c r="A243" s="16" t="s">
        <v>1506</v>
      </c>
      <c r="B243" s="17">
        <v>250000</v>
      </c>
      <c r="C243" s="17">
        <f t="shared" si="19"/>
        <v>6875</v>
      </c>
      <c r="D243" s="47">
        <v>44662</v>
      </c>
      <c r="E243" s="32" t="s">
        <v>11</v>
      </c>
      <c r="F243" s="32" t="s">
        <v>4574</v>
      </c>
      <c r="H243" s="32"/>
      <c r="I243" s="17"/>
      <c r="J243" s="32"/>
    </row>
    <row r="244" spans="1:10" ht="12.75">
      <c r="A244" s="16" t="s">
        <v>1699</v>
      </c>
      <c r="B244" s="17">
        <v>70000</v>
      </c>
      <c r="C244" s="17">
        <f t="shared" si="19"/>
        <v>1925</v>
      </c>
      <c r="D244" s="47">
        <v>44662</v>
      </c>
      <c r="E244" s="32" t="s">
        <v>4620</v>
      </c>
      <c r="F244" s="32" t="s">
        <v>28</v>
      </c>
      <c r="H244" s="32"/>
      <c r="I244" s="17"/>
      <c r="J244" s="21" t="s">
        <v>30</v>
      </c>
    </row>
    <row r="245" spans="1:10" ht="12.75">
      <c r="A245" s="16" t="s">
        <v>1452</v>
      </c>
      <c r="B245" s="17">
        <v>1325000</v>
      </c>
      <c r="C245" s="17">
        <f t="shared" si="19"/>
        <v>36437.5</v>
      </c>
      <c r="D245" s="47">
        <v>44662</v>
      </c>
      <c r="E245" s="32" t="s">
        <v>11</v>
      </c>
      <c r="F245" s="32" t="s">
        <v>4574</v>
      </c>
      <c r="H245" s="32"/>
      <c r="I245" s="17"/>
      <c r="J245" s="32"/>
    </row>
    <row r="246" spans="1:10" ht="12.75">
      <c r="A246" s="16" t="s">
        <v>1700</v>
      </c>
      <c r="B246" s="17">
        <v>15000</v>
      </c>
      <c r="C246" s="17">
        <v>412.5</v>
      </c>
      <c r="D246" s="47">
        <v>44663</v>
      </c>
      <c r="E246" s="32" t="s">
        <v>11</v>
      </c>
      <c r="F246" s="32" t="s">
        <v>28</v>
      </c>
      <c r="H246" s="32"/>
      <c r="I246" s="17"/>
      <c r="J246" s="32"/>
    </row>
    <row r="247" spans="1:10" ht="12.75">
      <c r="A247" s="16" t="s">
        <v>1701</v>
      </c>
      <c r="B247" s="17">
        <v>140000</v>
      </c>
      <c r="C247" s="17">
        <f t="shared" ref="C247:C273" si="20">0.0275*B247</f>
        <v>3850</v>
      </c>
      <c r="D247" s="47">
        <v>44664</v>
      </c>
      <c r="E247" s="32" t="s">
        <v>73</v>
      </c>
      <c r="F247" s="32" t="s">
        <v>4574</v>
      </c>
      <c r="H247" s="32"/>
      <c r="I247" s="17"/>
      <c r="J247" s="32"/>
    </row>
    <row r="248" spans="1:10" ht="12.75">
      <c r="A248" s="16" t="s">
        <v>1454</v>
      </c>
      <c r="B248" s="17">
        <v>17500</v>
      </c>
      <c r="C248" s="17">
        <f t="shared" si="20"/>
        <v>481.25</v>
      </c>
      <c r="D248" s="47">
        <v>44664</v>
      </c>
      <c r="E248" s="32" t="s">
        <v>11</v>
      </c>
      <c r="F248" s="32" t="s">
        <v>4574</v>
      </c>
      <c r="H248" s="32"/>
      <c r="I248" s="17"/>
      <c r="J248" s="32"/>
    </row>
    <row r="249" spans="1:10" ht="12.75">
      <c r="A249" s="16" t="s">
        <v>1702</v>
      </c>
      <c r="B249" s="17">
        <v>735000</v>
      </c>
      <c r="C249" s="17">
        <f t="shared" si="20"/>
        <v>20212.5</v>
      </c>
      <c r="D249" s="47">
        <v>44664</v>
      </c>
      <c r="E249" s="32" t="s">
        <v>11</v>
      </c>
      <c r="F249" s="32" t="s">
        <v>4574</v>
      </c>
      <c r="H249" s="32"/>
      <c r="I249" s="17"/>
      <c r="J249" s="32"/>
    </row>
    <row r="250" spans="1:10" ht="12.75">
      <c r="A250" s="16" t="s">
        <v>1703</v>
      </c>
      <c r="B250" s="17">
        <v>650000</v>
      </c>
      <c r="C250" s="17">
        <f t="shared" si="20"/>
        <v>17875</v>
      </c>
      <c r="D250" s="47">
        <v>44664</v>
      </c>
      <c r="E250" s="32" t="s">
        <v>11</v>
      </c>
      <c r="F250" s="32" t="s">
        <v>28</v>
      </c>
      <c r="H250" s="32"/>
      <c r="I250" s="17"/>
      <c r="J250" s="32"/>
    </row>
    <row r="251" spans="1:10" ht="12.75">
      <c r="A251" s="16" t="s">
        <v>1689</v>
      </c>
      <c r="B251" s="17">
        <v>50000</v>
      </c>
      <c r="C251" s="17">
        <f t="shared" si="20"/>
        <v>1375</v>
      </c>
      <c r="D251" s="47">
        <v>44664</v>
      </c>
      <c r="E251" s="32" t="s">
        <v>4023</v>
      </c>
      <c r="F251" s="32" t="s">
        <v>28</v>
      </c>
      <c r="H251" s="32"/>
      <c r="I251" s="17"/>
      <c r="J251" s="21" t="s">
        <v>30</v>
      </c>
    </row>
    <row r="252" spans="1:10" ht="12.75">
      <c r="A252" s="16" t="s">
        <v>1704</v>
      </c>
      <c r="B252" s="17">
        <v>205000</v>
      </c>
      <c r="C252" s="17">
        <f t="shared" si="20"/>
        <v>5637.5</v>
      </c>
      <c r="D252" s="47">
        <v>44665</v>
      </c>
      <c r="E252" s="32" t="s">
        <v>3757</v>
      </c>
      <c r="F252" s="32" t="s">
        <v>4574</v>
      </c>
      <c r="H252" s="32"/>
      <c r="I252" s="17"/>
      <c r="J252" s="32"/>
    </row>
    <row r="253" spans="1:10" ht="12.75">
      <c r="A253" s="16" t="s">
        <v>1562</v>
      </c>
      <c r="B253" s="17">
        <v>30000</v>
      </c>
      <c r="C253" s="17">
        <f t="shared" si="20"/>
        <v>825</v>
      </c>
      <c r="D253" s="47">
        <v>44665</v>
      </c>
      <c r="E253" s="32" t="s">
        <v>11</v>
      </c>
      <c r="F253" s="32" t="s">
        <v>4574</v>
      </c>
      <c r="H253" s="32"/>
      <c r="I253" s="17"/>
      <c r="J253" s="32"/>
    </row>
    <row r="254" spans="1:10" ht="12.75">
      <c r="A254" s="16" t="s">
        <v>1558</v>
      </c>
      <c r="B254" s="17">
        <v>80000</v>
      </c>
      <c r="C254" s="17">
        <f t="shared" si="20"/>
        <v>2200</v>
      </c>
      <c r="D254" s="47">
        <v>44665</v>
      </c>
      <c r="E254" s="32" t="s">
        <v>11</v>
      </c>
      <c r="F254" s="32" t="s">
        <v>4574</v>
      </c>
      <c r="H254" s="32"/>
      <c r="I254" s="17"/>
      <c r="J254" s="32"/>
    </row>
    <row r="255" spans="1:10" ht="12.75">
      <c r="A255" s="16" t="s">
        <v>4621</v>
      </c>
      <c r="B255" s="17">
        <v>310000</v>
      </c>
      <c r="C255" s="17">
        <f t="shared" si="20"/>
        <v>8525</v>
      </c>
      <c r="D255" s="47">
        <v>44665</v>
      </c>
      <c r="E255" s="32" t="s">
        <v>4622</v>
      </c>
      <c r="F255" s="32" t="s">
        <v>4574</v>
      </c>
      <c r="H255" s="32"/>
      <c r="I255" s="17"/>
      <c r="J255" s="32"/>
    </row>
    <row r="256" spans="1:10" ht="12.75">
      <c r="A256" s="16" t="s">
        <v>1546</v>
      </c>
      <c r="B256" s="17">
        <v>130000</v>
      </c>
      <c r="C256" s="17">
        <f t="shared" si="20"/>
        <v>3575</v>
      </c>
      <c r="D256" s="47">
        <v>44665</v>
      </c>
      <c r="E256" s="32" t="s">
        <v>11</v>
      </c>
      <c r="F256" s="32" t="s">
        <v>4574</v>
      </c>
      <c r="H256" s="32"/>
      <c r="I256" s="17"/>
      <c r="J256" s="32"/>
    </row>
    <row r="257" spans="1:10" ht="12.75">
      <c r="A257" s="16" t="s">
        <v>1705</v>
      </c>
      <c r="B257" s="17">
        <v>250000</v>
      </c>
      <c r="C257" s="17">
        <f t="shared" si="20"/>
        <v>6875</v>
      </c>
      <c r="D257" s="47">
        <v>44666</v>
      </c>
      <c r="E257" s="32" t="s">
        <v>73</v>
      </c>
      <c r="F257" s="32" t="s">
        <v>4574</v>
      </c>
      <c r="H257" s="32"/>
      <c r="I257" s="17"/>
      <c r="J257" s="32"/>
    </row>
    <row r="258" spans="1:10" ht="12.75">
      <c r="A258" s="16" t="s">
        <v>1706</v>
      </c>
      <c r="B258" s="17">
        <v>25000</v>
      </c>
      <c r="C258" s="17">
        <f t="shared" si="20"/>
        <v>687.5</v>
      </c>
      <c r="D258" s="47">
        <v>44666</v>
      </c>
      <c r="E258" s="32" t="s">
        <v>73</v>
      </c>
      <c r="F258" s="32" t="s">
        <v>28</v>
      </c>
      <c r="H258" s="32"/>
      <c r="I258" s="17"/>
      <c r="J258" s="32"/>
    </row>
    <row r="259" spans="1:10" ht="12.75">
      <c r="A259" s="16" t="s">
        <v>1606</v>
      </c>
      <c r="B259" s="17">
        <v>200000</v>
      </c>
      <c r="C259" s="17">
        <f t="shared" si="20"/>
        <v>5500</v>
      </c>
      <c r="D259" s="47">
        <v>44669</v>
      </c>
      <c r="E259" s="32" t="s">
        <v>4594</v>
      </c>
      <c r="F259" s="32" t="s">
        <v>4574</v>
      </c>
      <c r="H259" s="32"/>
      <c r="I259" s="17"/>
      <c r="J259" s="32"/>
    </row>
    <row r="260" spans="1:10" ht="12.75">
      <c r="A260" s="16" t="s">
        <v>1563</v>
      </c>
      <c r="B260" s="17">
        <v>95000</v>
      </c>
      <c r="C260" s="17">
        <f t="shared" si="20"/>
        <v>2612.5</v>
      </c>
      <c r="D260" s="47">
        <v>44670</v>
      </c>
      <c r="E260" s="32" t="s">
        <v>11</v>
      </c>
      <c r="F260" s="32" t="s">
        <v>4574</v>
      </c>
      <c r="H260" s="32"/>
      <c r="I260" s="17"/>
      <c r="J260" s="32"/>
    </row>
    <row r="261" spans="1:10" ht="12.75">
      <c r="A261" s="16" t="s">
        <v>1486</v>
      </c>
      <c r="B261" s="17">
        <v>440000</v>
      </c>
      <c r="C261" s="17">
        <f t="shared" si="20"/>
        <v>12100</v>
      </c>
      <c r="D261" s="47">
        <v>44670</v>
      </c>
      <c r="E261" s="32" t="s">
        <v>11</v>
      </c>
      <c r="F261" s="32" t="s">
        <v>4574</v>
      </c>
      <c r="H261" s="32"/>
      <c r="I261" s="17"/>
      <c r="J261" s="32"/>
    </row>
    <row r="262" spans="1:10" ht="12.75">
      <c r="A262" s="16" t="s">
        <v>1459</v>
      </c>
      <c r="B262" s="17">
        <v>215000</v>
      </c>
      <c r="C262" s="17">
        <f t="shared" si="20"/>
        <v>5912.5</v>
      </c>
      <c r="D262" s="47">
        <v>44670</v>
      </c>
      <c r="E262" s="32" t="s">
        <v>11</v>
      </c>
      <c r="F262" s="32" t="s">
        <v>4574</v>
      </c>
      <c r="H262" s="32"/>
      <c r="I262" s="17"/>
      <c r="J262" s="32"/>
    </row>
    <row r="263" spans="1:10" ht="12.75">
      <c r="A263" s="16" t="s">
        <v>1707</v>
      </c>
      <c r="B263" s="17">
        <v>10000</v>
      </c>
      <c r="C263" s="17">
        <f t="shared" si="20"/>
        <v>275</v>
      </c>
      <c r="D263" s="47">
        <v>44671</v>
      </c>
      <c r="E263" s="32" t="s">
        <v>11</v>
      </c>
      <c r="F263" s="32" t="s">
        <v>28</v>
      </c>
      <c r="H263" s="32"/>
      <c r="I263" s="17"/>
      <c r="J263" s="32"/>
    </row>
    <row r="264" spans="1:10" ht="12.75">
      <c r="A264" s="16" t="s">
        <v>1708</v>
      </c>
      <c r="B264" s="17">
        <v>150000</v>
      </c>
      <c r="C264" s="17">
        <f t="shared" si="20"/>
        <v>4125</v>
      </c>
      <c r="D264" s="47">
        <v>44671</v>
      </c>
      <c r="E264" s="32" t="s">
        <v>197</v>
      </c>
      <c r="F264" s="32" t="s">
        <v>1448</v>
      </c>
      <c r="H264" s="32"/>
      <c r="I264" s="17"/>
      <c r="J264" s="32"/>
    </row>
    <row r="265" spans="1:10" ht="12.75">
      <c r="A265" s="16" t="s">
        <v>1710</v>
      </c>
      <c r="B265" s="17">
        <v>12000</v>
      </c>
      <c r="C265" s="17">
        <f t="shared" si="20"/>
        <v>330</v>
      </c>
      <c r="D265" s="47">
        <v>44671</v>
      </c>
      <c r="E265" s="32" t="s">
        <v>11</v>
      </c>
      <c r="F265" s="32" t="s">
        <v>28</v>
      </c>
      <c r="H265" s="32"/>
      <c r="I265" s="17"/>
      <c r="J265" s="32"/>
    </row>
    <row r="266" spans="1:10" ht="12.75">
      <c r="A266" s="16" t="s">
        <v>1540</v>
      </c>
      <c r="B266" s="17">
        <v>140000</v>
      </c>
      <c r="C266" s="17">
        <f t="shared" si="20"/>
        <v>3850</v>
      </c>
      <c r="D266" s="47">
        <v>44672</v>
      </c>
      <c r="E266" s="32" t="s">
        <v>4023</v>
      </c>
      <c r="F266" s="32" t="s">
        <v>1448</v>
      </c>
      <c r="H266" s="32"/>
      <c r="I266" s="17"/>
      <c r="J266" s="32"/>
    </row>
    <row r="267" spans="1:10" ht="12.75">
      <c r="A267" s="16" t="s">
        <v>1597</v>
      </c>
      <c r="B267" s="17">
        <v>485000</v>
      </c>
      <c r="C267" s="17">
        <f t="shared" si="20"/>
        <v>13337.5</v>
      </c>
      <c r="D267" s="47">
        <v>44672</v>
      </c>
      <c r="E267" s="32" t="s">
        <v>11</v>
      </c>
      <c r="F267" s="32" t="s">
        <v>1448</v>
      </c>
      <c r="H267" s="32"/>
      <c r="I267" s="17"/>
      <c r="J267" s="32"/>
    </row>
    <row r="268" spans="1:10" ht="12.75">
      <c r="A268" s="16" t="s">
        <v>1709</v>
      </c>
      <c r="B268" s="17">
        <v>75000</v>
      </c>
      <c r="C268" s="17">
        <f t="shared" si="20"/>
        <v>2062.5</v>
      </c>
      <c r="D268" s="47">
        <v>44672</v>
      </c>
      <c r="E268" s="32" t="s">
        <v>73</v>
      </c>
      <c r="F268" s="32" t="s">
        <v>1448</v>
      </c>
      <c r="H268" s="32"/>
      <c r="I268" s="17"/>
      <c r="J268" s="32"/>
    </row>
    <row r="269" spans="1:10" ht="12.75">
      <c r="A269" s="16" t="s">
        <v>1611</v>
      </c>
      <c r="B269" s="17">
        <v>180000</v>
      </c>
      <c r="C269" s="17">
        <f t="shared" si="20"/>
        <v>4950</v>
      </c>
      <c r="D269" s="47">
        <v>44672</v>
      </c>
      <c r="E269" s="32" t="s">
        <v>4023</v>
      </c>
      <c r="F269" s="32" t="s">
        <v>1448</v>
      </c>
      <c r="H269" s="32"/>
      <c r="I269" s="17"/>
      <c r="J269" s="32"/>
    </row>
    <row r="270" spans="1:10" ht="12.75">
      <c r="A270" s="16" t="s">
        <v>1535</v>
      </c>
      <c r="B270" s="17">
        <v>255000</v>
      </c>
      <c r="C270" s="17">
        <f t="shared" si="20"/>
        <v>7012.5</v>
      </c>
      <c r="D270" s="47">
        <v>44673</v>
      </c>
      <c r="E270" s="32" t="s">
        <v>4023</v>
      </c>
      <c r="F270" s="32" t="s">
        <v>1448</v>
      </c>
      <c r="H270" s="32"/>
      <c r="I270" s="17"/>
      <c r="J270" s="32"/>
    </row>
    <row r="271" spans="1:10" ht="12.75">
      <c r="A271" s="16" t="s">
        <v>1574</v>
      </c>
      <c r="B271" s="17">
        <v>70000</v>
      </c>
      <c r="C271" s="17">
        <f t="shared" si="20"/>
        <v>1925</v>
      </c>
      <c r="D271" s="47">
        <v>44673</v>
      </c>
      <c r="E271" s="32" t="s">
        <v>11</v>
      </c>
      <c r="F271" s="32" t="s">
        <v>1448</v>
      </c>
      <c r="H271" s="32"/>
      <c r="I271" s="17"/>
      <c r="J271" s="32"/>
    </row>
    <row r="272" spans="1:10" ht="12.75">
      <c r="A272" s="16" t="s">
        <v>1552</v>
      </c>
      <c r="B272" s="17">
        <v>75000</v>
      </c>
      <c r="C272" s="17">
        <f t="shared" si="20"/>
        <v>2062.5</v>
      </c>
      <c r="D272" s="47">
        <v>44673</v>
      </c>
      <c r="E272" s="32" t="s">
        <v>4573</v>
      </c>
      <c r="F272" s="32" t="s">
        <v>1448</v>
      </c>
      <c r="H272" s="32"/>
      <c r="I272" s="17"/>
      <c r="J272" s="32"/>
    </row>
    <row r="273" spans="1:10" ht="12.75">
      <c r="A273" s="16" t="s">
        <v>1711</v>
      </c>
      <c r="B273" s="17">
        <v>75000</v>
      </c>
      <c r="C273" s="17">
        <f t="shared" si="20"/>
        <v>2062.5</v>
      </c>
      <c r="D273" s="47">
        <v>44673</v>
      </c>
      <c r="E273" s="32" t="s">
        <v>11</v>
      </c>
      <c r="F273" s="32" t="s">
        <v>1448</v>
      </c>
      <c r="H273" s="32"/>
      <c r="I273" s="17"/>
      <c r="J273" s="32"/>
    </row>
    <row r="274" spans="1:10" ht="12.75">
      <c r="A274" s="16" t="s">
        <v>1712</v>
      </c>
      <c r="B274" s="17">
        <v>17500</v>
      </c>
      <c r="C274" s="17">
        <v>481.5</v>
      </c>
      <c r="D274" s="47">
        <v>44673</v>
      </c>
      <c r="E274" s="32" t="s">
        <v>11</v>
      </c>
      <c r="F274" s="32" t="s">
        <v>2631</v>
      </c>
      <c r="H274" s="32"/>
      <c r="I274" s="17"/>
      <c r="J274" s="32"/>
    </row>
    <row r="275" spans="1:10" ht="12.75">
      <c r="A275" s="16" t="s">
        <v>1675</v>
      </c>
      <c r="B275" s="17">
        <v>150000</v>
      </c>
      <c r="C275" s="17">
        <f t="shared" ref="C275:C293" si="21">0.0275*B275</f>
        <v>4125</v>
      </c>
      <c r="D275" s="47">
        <v>44673</v>
      </c>
      <c r="E275" s="32" t="s">
        <v>4023</v>
      </c>
      <c r="F275" s="32" t="s">
        <v>1448</v>
      </c>
      <c r="H275" s="32"/>
      <c r="I275" s="17"/>
      <c r="J275" s="32"/>
    </row>
    <row r="276" spans="1:10" ht="12.75">
      <c r="A276" s="16" t="s">
        <v>1515</v>
      </c>
      <c r="B276" s="17">
        <v>45000</v>
      </c>
      <c r="C276" s="17">
        <f t="shared" si="21"/>
        <v>1237.5</v>
      </c>
      <c r="D276" s="47">
        <v>44673</v>
      </c>
      <c r="E276" s="32" t="s">
        <v>2130</v>
      </c>
      <c r="F276" s="32" t="s">
        <v>1448</v>
      </c>
      <c r="H276" s="32"/>
      <c r="I276" s="17"/>
      <c r="J276" s="32"/>
    </row>
    <row r="277" spans="1:10" ht="12.75">
      <c r="A277" s="16" t="s">
        <v>1713</v>
      </c>
      <c r="B277" s="17">
        <v>20000</v>
      </c>
      <c r="C277" s="17">
        <f t="shared" si="21"/>
        <v>550</v>
      </c>
      <c r="D277" s="47">
        <v>44676</v>
      </c>
      <c r="E277" s="32" t="s">
        <v>11</v>
      </c>
      <c r="F277" s="32" t="s">
        <v>1448</v>
      </c>
      <c r="H277" s="32"/>
      <c r="I277" s="17"/>
      <c r="J277" s="32"/>
    </row>
    <row r="278" spans="1:10" ht="12.75">
      <c r="A278" s="16" t="s">
        <v>1714</v>
      </c>
      <c r="B278" s="17">
        <v>45000</v>
      </c>
      <c r="C278" s="17">
        <f t="shared" si="21"/>
        <v>1237.5</v>
      </c>
      <c r="D278" s="47">
        <v>44676</v>
      </c>
      <c r="E278" s="32" t="s">
        <v>73</v>
      </c>
      <c r="F278" s="32" t="s">
        <v>1448</v>
      </c>
      <c r="H278" s="32"/>
      <c r="I278" s="17"/>
      <c r="J278" s="32"/>
    </row>
    <row r="279" spans="1:10" ht="12.75">
      <c r="A279" s="16" t="s">
        <v>1715</v>
      </c>
      <c r="B279" s="17">
        <v>70000</v>
      </c>
      <c r="C279" s="17">
        <f t="shared" si="21"/>
        <v>1925</v>
      </c>
      <c r="D279" s="47">
        <v>44677</v>
      </c>
      <c r="E279" s="32" t="s">
        <v>11</v>
      </c>
      <c r="F279" s="32" t="s">
        <v>28</v>
      </c>
      <c r="H279" s="32"/>
      <c r="I279" s="17"/>
      <c r="J279" s="21" t="s">
        <v>30</v>
      </c>
    </row>
    <row r="280" spans="1:10" ht="12.75">
      <c r="A280" s="16" t="s">
        <v>1716</v>
      </c>
      <c r="B280" s="17">
        <v>200000</v>
      </c>
      <c r="C280" s="17">
        <f t="shared" si="21"/>
        <v>5500</v>
      </c>
      <c r="D280" s="47">
        <v>44677</v>
      </c>
      <c r="E280" s="32" t="s">
        <v>4023</v>
      </c>
      <c r="F280" s="32" t="s">
        <v>1448</v>
      </c>
      <c r="H280" s="32"/>
      <c r="I280" s="17"/>
      <c r="J280" s="32"/>
    </row>
    <row r="281" spans="1:10" ht="12.75">
      <c r="A281" s="16" t="s">
        <v>1717</v>
      </c>
      <c r="B281" s="17">
        <v>300000</v>
      </c>
      <c r="C281" s="17">
        <f t="shared" si="21"/>
        <v>8250</v>
      </c>
      <c r="D281" s="47">
        <v>44677</v>
      </c>
      <c r="E281" s="32" t="s">
        <v>11</v>
      </c>
      <c r="F281" s="32" t="s">
        <v>1448</v>
      </c>
      <c r="H281" s="32"/>
      <c r="I281" s="17"/>
      <c r="J281" s="32"/>
    </row>
    <row r="282" spans="1:10" ht="12.75">
      <c r="A282" s="16" t="s">
        <v>1718</v>
      </c>
      <c r="B282" s="17">
        <v>100000</v>
      </c>
      <c r="C282" s="17">
        <f t="shared" si="21"/>
        <v>2750</v>
      </c>
      <c r="D282" s="47">
        <v>44677</v>
      </c>
      <c r="E282" s="32" t="s">
        <v>11</v>
      </c>
      <c r="F282" s="32" t="s">
        <v>1448</v>
      </c>
      <c r="H282" s="32"/>
      <c r="I282" s="17"/>
      <c r="J282" s="32"/>
    </row>
    <row r="283" spans="1:10" ht="12.75">
      <c r="A283" s="16" t="s">
        <v>1549</v>
      </c>
      <c r="B283" s="17">
        <v>85000</v>
      </c>
      <c r="C283" s="17">
        <f t="shared" si="21"/>
        <v>2337.5</v>
      </c>
      <c r="D283" s="47">
        <v>44677</v>
      </c>
      <c r="E283" s="32" t="s">
        <v>11</v>
      </c>
      <c r="F283" s="32" t="s">
        <v>1448</v>
      </c>
      <c r="H283" s="32"/>
      <c r="I283" s="17"/>
      <c r="J283" s="32"/>
    </row>
    <row r="284" spans="1:10" ht="12.75">
      <c r="A284" s="16" t="s">
        <v>1485</v>
      </c>
      <c r="B284" s="17">
        <v>150000</v>
      </c>
      <c r="C284" s="17">
        <f t="shared" si="21"/>
        <v>4125</v>
      </c>
      <c r="D284" s="47">
        <v>44678</v>
      </c>
      <c r="E284" s="32" t="s">
        <v>11</v>
      </c>
      <c r="F284" s="32" t="s">
        <v>1448</v>
      </c>
      <c r="H284" s="32"/>
      <c r="I284" s="17"/>
      <c r="J284" s="32"/>
    </row>
    <row r="285" spans="1:10" ht="12.75">
      <c r="A285" s="16" t="s">
        <v>1597</v>
      </c>
      <c r="B285" s="17">
        <v>600000</v>
      </c>
      <c r="C285" s="17">
        <f t="shared" si="21"/>
        <v>16500</v>
      </c>
      <c r="D285" s="47">
        <v>44678</v>
      </c>
      <c r="E285" s="32" t="s">
        <v>11</v>
      </c>
      <c r="F285" s="32" t="s">
        <v>1448</v>
      </c>
      <c r="H285" s="32"/>
      <c r="I285" s="17"/>
      <c r="J285" s="32"/>
    </row>
    <row r="286" spans="1:10" ht="12.75">
      <c r="A286" s="16" t="s">
        <v>1719</v>
      </c>
      <c r="B286" s="17">
        <v>75000</v>
      </c>
      <c r="C286" s="17">
        <f t="shared" si="21"/>
        <v>2062.5</v>
      </c>
      <c r="D286" s="47">
        <v>44678</v>
      </c>
      <c r="E286" s="32" t="s">
        <v>4023</v>
      </c>
      <c r="F286" s="32" t="s">
        <v>1448</v>
      </c>
      <c r="H286" s="32"/>
      <c r="I286" s="17"/>
      <c r="J286" s="32"/>
    </row>
    <row r="287" spans="1:10" ht="12.75">
      <c r="A287" s="16" t="s">
        <v>1600</v>
      </c>
      <c r="B287" s="17">
        <v>135000</v>
      </c>
      <c r="C287" s="17">
        <f t="shared" si="21"/>
        <v>3712.5</v>
      </c>
      <c r="D287" s="47">
        <v>44678</v>
      </c>
      <c r="E287" s="32" t="s">
        <v>11</v>
      </c>
      <c r="F287" s="32" t="s">
        <v>1448</v>
      </c>
      <c r="H287" s="32"/>
      <c r="I287" s="17"/>
      <c r="J287" s="32"/>
    </row>
    <row r="288" spans="1:10" ht="12.75">
      <c r="A288" s="16" t="s">
        <v>1721</v>
      </c>
      <c r="B288" s="17">
        <v>375000</v>
      </c>
      <c r="C288" s="17">
        <f t="shared" si="21"/>
        <v>10312.5</v>
      </c>
      <c r="D288" s="47">
        <v>44679</v>
      </c>
      <c r="E288" s="32" t="s">
        <v>4594</v>
      </c>
      <c r="F288" s="32" t="s">
        <v>1448</v>
      </c>
      <c r="H288" s="32"/>
      <c r="I288" s="17"/>
      <c r="J288" s="32"/>
    </row>
    <row r="289" spans="1:12" ht="12.75">
      <c r="A289" s="16" t="s">
        <v>1722</v>
      </c>
      <c r="B289" s="17">
        <v>215000</v>
      </c>
      <c r="C289" s="17">
        <f t="shared" si="21"/>
        <v>5912.5</v>
      </c>
      <c r="D289" s="47">
        <v>44680</v>
      </c>
      <c r="E289" s="32" t="s">
        <v>11</v>
      </c>
      <c r="F289" s="32" t="s">
        <v>1448</v>
      </c>
      <c r="H289" s="32"/>
      <c r="I289" s="17"/>
      <c r="J289" s="32"/>
    </row>
    <row r="290" spans="1:12" ht="12.75">
      <c r="A290" s="16" t="s">
        <v>1723</v>
      </c>
      <c r="B290" s="17">
        <v>100000</v>
      </c>
      <c r="C290" s="17">
        <f t="shared" si="21"/>
        <v>2750</v>
      </c>
      <c r="D290" s="47">
        <v>44680</v>
      </c>
      <c r="E290" s="32" t="s">
        <v>11</v>
      </c>
      <c r="F290" s="32" t="s">
        <v>28</v>
      </c>
      <c r="H290" s="32"/>
      <c r="I290" s="17"/>
      <c r="J290" s="32"/>
    </row>
    <row r="291" spans="1:12" ht="12.75">
      <c r="A291" s="16" t="s">
        <v>1724</v>
      </c>
      <c r="B291" s="17">
        <v>135000</v>
      </c>
      <c r="C291" s="17">
        <f t="shared" si="21"/>
        <v>3712.5</v>
      </c>
      <c r="D291" s="47">
        <v>44680</v>
      </c>
      <c r="E291" s="32" t="s">
        <v>11</v>
      </c>
      <c r="F291" s="32" t="s">
        <v>1448</v>
      </c>
      <c r="H291" s="32"/>
      <c r="I291" s="17"/>
      <c r="J291" s="32"/>
    </row>
    <row r="292" spans="1:12" ht="12.75">
      <c r="A292" s="16" t="s">
        <v>1725</v>
      </c>
      <c r="B292" s="17">
        <v>40000</v>
      </c>
      <c r="C292" s="17">
        <f t="shared" si="21"/>
        <v>1100</v>
      </c>
      <c r="D292" s="47">
        <v>44680</v>
      </c>
      <c r="E292" s="32" t="s">
        <v>11</v>
      </c>
      <c r="F292" s="32" t="s">
        <v>28</v>
      </c>
      <c r="H292" s="32"/>
      <c r="I292" s="17"/>
      <c r="J292" s="32"/>
    </row>
    <row r="293" spans="1:12" ht="12.75">
      <c r="A293" s="16" t="s">
        <v>1720</v>
      </c>
      <c r="B293" s="17">
        <v>35000</v>
      </c>
      <c r="C293" s="17">
        <f t="shared" si="21"/>
        <v>962.5</v>
      </c>
      <c r="D293" s="47">
        <v>44680</v>
      </c>
      <c r="E293" s="32" t="s">
        <v>11</v>
      </c>
      <c r="F293" s="32" t="s">
        <v>1448</v>
      </c>
      <c r="H293" s="32"/>
      <c r="I293" s="17"/>
      <c r="J293" s="32"/>
    </row>
    <row r="294" spans="1:12" ht="12.75">
      <c r="A294" s="70"/>
      <c r="B294" s="65"/>
      <c r="C294" s="65"/>
      <c r="D294" s="61"/>
      <c r="E294" s="61"/>
      <c r="F294" s="61"/>
      <c r="G294" s="65"/>
      <c r="H294" s="65"/>
      <c r="I294" s="23"/>
      <c r="J294" s="35"/>
      <c r="K294" s="35"/>
      <c r="L294" s="35"/>
    </row>
    <row r="295" spans="1:12" ht="12.75">
      <c r="A295" s="11">
        <v>44682</v>
      </c>
      <c r="B295" s="9">
        <f t="shared" ref="B295:C295" si="22">SUM(B296:B381)</f>
        <v>17013000</v>
      </c>
      <c r="C295" s="9">
        <f t="shared" si="22"/>
        <v>434857.5</v>
      </c>
      <c r="D295" s="59"/>
      <c r="E295" s="59"/>
      <c r="F295" s="59"/>
      <c r="G295" s="9"/>
      <c r="H295" s="9"/>
      <c r="I295" s="15"/>
      <c r="J295" s="67"/>
      <c r="K295" s="69">
        <f>SUM(B295)</f>
        <v>17013000</v>
      </c>
      <c r="L295" s="67"/>
    </row>
    <row r="296" spans="1:12" ht="12.75">
      <c r="A296" s="16" t="s">
        <v>1726</v>
      </c>
      <c r="B296" s="17">
        <v>95000</v>
      </c>
      <c r="C296" s="17">
        <f t="shared" ref="C296:C312" si="23">0.0275*B296</f>
        <v>2612.5</v>
      </c>
      <c r="D296" s="47">
        <v>44683</v>
      </c>
      <c r="E296" s="32" t="s">
        <v>4023</v>
      </c>
      <c r="F296" s="32" t="s">
        <v>28</v>
      </c>
      <c r="H296" s="32"/>
      <c r="I296" s="17" t="s">
        <v>4623</v>
      </c>
      <c r="J296" s="21" t="s">
        <v>30</v>
      </c>
    </row>
    <row r="297" spans="1:12" ht="12.75">
      <c r="A297" s="16" t="s">
        <v>1487</v>
      </c>
      <c r="B297" s="17">
        <v>250000</v>
      </c>
      <c r="C297" s="17">
        <f t="shared" si="23"/>
        <v>6875</v>
      </c>
      <c r="D297" s="47">
        <v>44683</v>
      </c>
      <c r="E297" s="32" t="s">
        <v>11</v>
      </c>
      <c r="F297" s="32" t="s">
        <v>1448</v>
      </c>
      <c r="H297" s="32"/>
      <c r="I297" s="17"/>
      <c r="J297" s="32"/>
    </row>
    <row r="298" spans="1:12" ht="12.75">
      <c r="A298" s="16" t="s">
        <v>1727</v>
      </c>
      <c r="B298" s="17">
        <v>250000</v>
      </c>
      <c r="C298" s="17">
        <f t="shared" si="23"/>
        <v>6875</v>
      </c>
      <c r="D298" s="47">
        <v>44683</v>
      </c>
      <c r="E298" s="32" t="s">
        <v>11</v>
      </c>
      <c r="F298" s="32" t="s">
        <v>28</v>
      </c>
      <c r="H298" s="32"/>
      <c r="I298" s="17"/>
      <c r="J298" s="21" t="s">
        <v>30</v>
      </c>
    </row>
    <row r="299" spans="1:12" ht="12.75">
      <c r="A299" s="16" t="s">
        <v>1463</v>
      </c>
      <c r="B299" s="17">
        <v>155000</v>
      </c>
      <c r="C299" s="17">
        <f t="shared" si="23"/>
        <v>4262.5</v>
      </c>
      <c r="D299" s="47">
        <v>44683</v>
      </c>
      <c r="E299" s="32" t="s">
        <v>11</v>
      </c>
      <c r="F299" s="32" t="s">
        <v>1448</v>
      </c>
      <c r="H299" s="32"/>
      <c r="I299" s="17"/>
      <c r="J299" s="32"/>
    </row>
    <row r="300" spans="1:12" ht="12.75">
      <c r="A300" s="16" t="s">
        <v>4575</v>
      </c>
      <c r="B300" s="17">
        <v>1150000</v>
      </c>
      <c r="C300" s="17">
        <f t="shared" si="23"/>
        <v>31625</v>
      </c>
      <c r="D300" s="47">
        <v>44683</v>
      </c>
      <c r="E300" s="32" t="s">
        <v>4576</v>
      </c>
      <c r="F300" s="32" t="s">
        <v>1448</v>
      </c>
      <c r="G300" s="68" t="s">
        <v>4577</v>
      </c>
      <c r="H300" s="17" t="s">
        <v>4624</v>
      </c>
      <c r="I300" s="17" t="s">
        <v>4625</v>
      </c>
      <c r="J300" s="32"/>
    </row>
    <row r="301" spans="1:12" ht="12.75">
      <c r="A301" s="16" t="s">
        <v>1728</v>
      </c>
      <c r="B301" s="17">
        <v>100000</v>
      </c>
      <c r="C301" s="17">
        <f t="shared" si="23"/>
        <v>2750</v>
      </c>
      <c r="D301" s="47">
        <v>44683</v>
      </c>
      <c r="E301" s="32" t="s">
        <v>11</v>
      </c>
      <c r="F301" s="32" t="s">
        <v>1448</v>
      </c>
      <c r="H301" s="32"/>
      <c r="I301" s="17"/>
      <c r="J301" s="32"/>
    </row>
    <row r="302" spans="1:12" ht="12.75">
      <c r="A302" s="16" t="s">
        <v>1730</v>
      </c>
      <c r="B302" s="17">
        <v>285000</v>
      </c>
      <c r="C302" s="17">
        <f t="shared" si="23"/>
        <v>7837.5</v>
      </c>
      <c r="D302" s="47">
        <v>44685</v>
      </c>
      <c r="E302" s="32" t="s">
        <v>4023</v>
      </c>
      <c r="F302" s="32" t="s">
        <v>28</v>
      </c>
      <c r="H302" s="32"/>
      <c r="I302" s="17"/>
      <c r="J302" s="21" t="s">
        <v>30</v>
      </c>
    </row>
    <row r="303" spans="1:12" ht="12.75">
      <c r="A303" s="16" t="s">
        <v>1729</v>
      </c>
      <c r="B303" s="17">
        <v>175000</v>
      </c>
      <c r="C303" s="17">
        <f t="shared" si="23"/>
        <v>4812.5</v>
      </c>
      <c r="D303" s="47">
        <v>44685</v>
      </c>
      <c r="E303" s="32" t="s">
        <v>11</v>
      </c>
      <c r="F303" s="32" t="s">
        <v>28</v>
      </c>
      <c r="H303" s="32"/>
      <c r="I303" s="17"/>
      <c r="J303" s="21" t="s">
        <v>30</v>
      </c>
    </row>
    <row r="304" spans="1:12" ht="12.75">
      <c r="A304" s="16" t="s">
        <v>1731</v>
      </c>
      <c r="B304" s="17">
        <v>125000</v>
      </c>
      <c r="C304" s="17">
        <f t="shared" si="23"/>
        <v>3437.5</v>
      </c>
      <c r="D304" s="47">
        <v>44685</v>
      </c>
      <c r="E304" s="32" t="s">
        <v>11</v>
      </c>
      <c r="F304" s="32" t="s">
        <v>1448</v>
      </c>
      <c r="H304" s="32"/>
      <c r="I304" s="17"/>
      <c r="J304" s="32"/>
    </row>
    <row r="305" spans="1:10" ht="12.75">
      <c r="A305" s="16" t="s">
        <v>1605</v>
      </c>
      <c r="B305" s="17">
        <v>100000</v>
      </c>
      <c r="C305" s="17">
        <f t="shared" si="23"/>
        <v>2750</v>
      </c>
      <c r="D305" s="47">
        <v>44685</v>
      </c>
      <c r="E305" s="32" t="s">
        <v>11</v>
      </c>
      <c r="F305" s="32" t="s">
        <v>1448</v>
      </c>
      <c r="H305" s="32"/>
      <c r="I305" s="17"/>
      <c r="J305" s="32"/>
    </row>
    <row r="306" spans="1:10" ht="12.75">
      <c r="A306" s="16" t="s">
        <v>1732</v>
      </c>
      <c r="B306" s="17">
        <v>500000</v>
      </c>
      <c r="C306" s="17">
        <f t="shared" si="23"/>
        <v>13750</v>
      </c>
      <c r="D306" s="47">
        <v>44685</v>
      </c>
      <c r="E306" s="32" t="s">
        <v>11</v>
      </c>
      <c r="F306" s="32" t="s">
        <v>28</v>
      </c>
      <c r="H306" s="32"/>
      <c r="I306" s="17"/>
      <c r="J306" s="21" t="s">
        <v>30</v>
      </c>
    </row>
    <row r="307" spans="1:10" ht="12.75">
      <c r="A307" s="16" t="s">
        <v>1734</v>
      </c>
      <c r="B307" s="17">
        <v>200000</v>
      </c>
      <c r="C307" s="17">
        <f t="shared" si="23"/>
        <v>5500</v>
      </c>
      <c r="D307" s="47">
        <v>44685</v>
      </c>
      <c r="E307" s="32" t="s">
        <v>11</v>
      </c>
      <c r="F307" s="32" t="s">
        <v>1448</v>
      </c>
      <c r="H307" s="32"/>
      <c r="I307" s="17"/>
      <c r="J307" s="32"/>
    </row>
    <row r="308" spans="1:10" ht="12.75">
      <c r="A308" s="16" t="s">
        <v>1735</v>
      </c>
      <c r="B308" s="17">
        <v>210000</v>
      </c>
      <c r="C308" s="17">
        <f t="shared" si="23"/>
        <v>5775</v>
      </c>
      <c r="D308" s="47">
        <v>44685</v>
      </c>
      <c r="E308" s="32" t="s">
        <v>4023</v>
      </c>
      <c r="F308" s="32" t="s">
        <v>1448</v>
      </c>
      <c r="H308" s="32"/>
      <c r="I308" s="17"/>
      <c r="J308" s="32"/>
    </row>
    <row r="309" spans="1:10" ht="12.75">
      <c r="A309" s="16" t="s">
        <v>1733</v>
      </c>
      <c r="B309" s="17">
        <v>50000</v>
      </c>
      <c r="C309" s="17">
        <f t="shared" si="23"/>
        <v>1375</v>
      </c>
      <c r="D309" s="47">
        <v>44685</v>
      </c>
      <c r="E309" s="32" t="s">
        <v>4023</v>
      </c>
      <c r="F309" s="32" t="s">
        <v>1448</v>
      </c>
      <c r="H309" s="32"/>
      <c r="I309" s="17"/>
      <c r="J309" s="32"/>
    </row>
    <row r="310" spans="1:10" ht="12.75">
      <c r="A310" s="16" t="s">
        <v>1737</v>
      </c>
      <c r="B310" s="17">
        <v>75000</v>
      </c>
      <c r="C310" s="17">
        <f t="shared" si="23"/>
        <v>2062.5</v>
      </c>
      <c r="D310" s="47">
        <v>44685</v>
      </c>
      <c r="E310" s="32" t="s">
        <v>11</v>
      </c>
      <c r="F310" s="32" t="s">
        <v>1448</v>
      </c>
      <c r="H310" s="32"/>
      <c r="I310" s="17"/>
      <c r="J310" s="32"/>
    </row>
    <row r="311" spans="1:10" ht="12.75">
      <c r="A311" s="16" t="s">
        <v>1503</v>
      </c>
      <c r="B311" s="17">
        <v>60000</v>
      </c>
      <c r="C311" s="17">
        <f t="shared" si="23"/>
        <v>1650</v>
      </c>
      <c r="D311" s="47">
        <v>44686</v>
      </c>
      <c r="E311" s="32" t="s">
        <v>11</v>
      </c>
      <c r="F311" s="32" t="s">
        <v>1448</v>
      </c>
      <c r="H311" s="32"/>
      <c r="I311" s="17"/>
      <c r="J311" s="32"/>
    </row>
    <row r="312" spans="1:10" ht="12.75">
      <c r="A312" s="16" t="s">
        <v>1738</v>
      </c>
      <c r="B312" s="17">
        <v>380000</v>
      </c>
      <c r="C312" s="17">
        <f t="shared" si="23"/>
        <v>10450</v>
      </c>
      <c r="D312" s="47">
        <v>44686</v>
      </c>
      <c r="E312" s="32" t="s">
        <v>11</v>
      </c>
      <c r="F312" s="32" t="s">
        <v>1448</v>
      </c>
      <c r="H312" s="32"/>
      <c r="I312" s="17"/>
      <c r="J312" s="32"/>
    </row>
    <row r="313" spans="1:10" ht="12.75">
      <c r="A313" s="16" t="s">
        <v>1742</v>
      </c>
      <c r="B313" s="17">
        <v>200000</v>
      </c>
      <c r="C313" s="17">
        <v>0</v>
      </c>
      <c r="D313" s="47">
        <v>44686</v>
      </c>
      <c r="E313" s="32" t="s">
        <v>11</v>
      </c>
      <c r="F313" s="32" t="s">
        <v>28</v>
      </c>
      <c r="H313" s="32"/>
      <c r="I313" s="17"/>
      <c r="J313" s="21" t="s">
        <v>30</v>
      </c>
    </row>
    <row r="314" spans="1:10" ht="12.75">
      <c r="A314" s="16" t="s">
        <v>1739</v>
      </c>
      <c r="B314" s="17">
        <v>350000</v>
      </c>
      <c r="C314" s="17">
        <f t="shared" ref="C314:C318" si="24">0.0275*B314</f>
        <v>9625</v>
      </c>
      <c r="D314" s="47">
        <v>44686</v>
      </c>
      <c r="E314" s="32" t="s">
        <v>11</v>
      </c>
      <c r="F314" s="32" t="s">
        <v>1448</v>
      </c>
      <c r="H314" s="32"/>
      <c r="I314" s="17"/>
      <c r="J314" s="32"/>
    </row>
    <row r="315" spans="1:10" ht="12.75">
      <c r="A315" s="16" t="s">
        <v>1740</v>
      </c>
      <c r="B315" s="17">
        <v>100000</v>
      </c>
      <c r="C315" s="17">
        <f t="shared" si="24"/>
        <v>2750</v>
      </c>
      <c r="D315" s="47">
        <v>44687</v>
      </c>
      <c r="E315" s="32" t="s">
        <v>4023</v>
      </c>
      <c r="F315" s="32" t="s">
        <v>28</v>
      </c>
      <c r="H315" s="32"/>
      <c r="I315" s="17"/>
      <c r="J315" s="21" t="s">
        <v>30</v>
      </c>
    </row>
    <row r="316" spans="1:10" ht="12.75">
      <c r="A316" s="16" t="s">
        <v>1741</v>
      </c>
      <c r="B316" s="17">
        <v>310000</v>
      </c>
      <c r="C316" s="17">
        <f t="shared" si="24"/>
        <v>8525</v>
      </c>
      <c r="D316" s="47">
        <v>44687</v>
      </c>
      <c r="E316" s="32" t="s">
        <v>11</v>
      </c>
      <c r="F316" s="32" t="s">
        <v>28</v>
      </c>
      <c r="H316" s="32"/>
      <c r="I316" s="17"/>
      <c r="J316" s="32"/>
    </row>
    <row r="317" spans="1:10" ht="12.75">
      <c r="A317" s="24" t="s">
        <v>1690</v>
      </c>
      <c r="B317" s="17">
        <v>200000</v>
      </c>
      <c r="C317" s="17">
        <f t="shared" si="24"/>
        <v>5500</v>
      </c>
      <c r="D317" s="47">
        <v>44687</v>
      </c>
      <c r="E317" s="32" t="s">
        <v>4023</v>
      </c>
      <c r="F317" s="32" t="s">
        <v>1448</v>
      </c>
      <c r="H317" s="32"/>
      <c r="I317" s="17"/>
      <c r="J317" s="21" t="s">
        <v>30</v>
      </c>
    </row>
    <row r="318" spans="1:10" ht="12.75">
      <c r="A318" s="16" t="s">
        <v>1606</v>
      </c>
      <c r="B318" s="17">
        <v>500000</v>
      </c>
      <c r="C318" s="17">
        <f t="shared" si="24"/>
        <v>13750</v>
      </c>
      <c r="D318" s="47">
        <v>44690</v>
      </c>
      <c r="E318" s="32" t="s">
        <v>4594</v>
      </c>
      <c r="F318" s="32" t="s">
        <v>1448</v>
      </c>
      <c r="H318" s="32"/>
      <c r="I318" s="17"/>
      <c r="J318" s="32"/>
    </row>
    <row r="319" spans="1:10" ht="12.75">
      <c r="A319" s="16" t="s">
        <v>1743</v>
      </c>
      <c r="B319" s="17">
        <v>850000</v>
      </c>
      <c r="C319" s="17">
        <f>0.0275*250000</f>
        <v>6875</v>
      </c>
      <c r="D319" s="47">
        <v>44690</v>
      </c>
      <c r="E319" s="32" t="s">
        <v>11</v>
      </c>
      <c r="F319" s="32" t="s">
        <v>28</v>
      </c>
      <c r="H319" s="32"/>
      <c r="I319" s="17" t="s">
        <v>4626</v>
      </c>
      <c r="J319" s="21" t="s">
        <v>30</v>
      </c>
    </row>
    <row r="320" spans="1:10" ht="12.75">
      <c r="A320" s="16" t="s">
        <v>1736</v>
      </c>
      <c r="B320" s="17">
        <v>20000</v>
      </c>
      <c r="C320" s="17">
        <f t="shared" ref="C320:C360" si="25">0.0275*B320</f>
        <v>550</v>
      </c>
      <c r="D320" s="47">
        <v>44690</v>
      </c>
      <c r="E320" s="32" t="s">
        <v>11</v>
      </c>
      <c r="F320" s="32" t="s">
        <v>28</v>
      </c>
      <c r="H320" s="32"/>
      <c r="I320" s="17"/>
      <c r="J320" s="32"/>
    </row>
    <row r="321" spans="1:10" ht="12.75">
      <c r="A321" s="16" t="s">
        <v>1744</v>
      </c>
      <c r="B321" s="17">
        <v>185000</v>
      </c>
      <c r="C321" s="17">
        <f t="shared" si="25"/>
        <v>5087.5</v>
      </c>
      <c r="D321" s="47">
        <v>44691</v>
      </c>
      <c r="E321" s="32" t="s">
        <v>11</v>
      </c>
      <c r="F321" s="32" t="s">
        <v>1448</v>
      </c>
      <c r="H321" s="32"/>
      <c r="I321" s="17"/>
      <c r="J321" s="32"/>
    </row>
    <row r="322" spans="1:10" ht="12.75">
      <c r="A322" s="16" t="s">
        <v>1529</v>
      </c>
      <c r="B322" s="17">
        <v>250000</v>
      </c>
      <c r="C322" s="17">
        <f t="shared" si="25"/>
        <v>6875</v>
      </c>
      <c r="D322" s="47">
        <v>44692</v>
      </c>
      <c r="E322" s="32" t="s">
        <v>4023</v>
      </c>
      <c r="F322" s="32" t="s">
        <v>1448</v>
      </c>
      <c r="H322" s="32"/>
      <c r="I322" s="17"/>
      <c r="J322" s="32"/>
    </row>
    <row r="323" spans="1:10" ht="12.75">
      <c r="A323" s="16" t="s">
        <v>1745</v>
      </c>
      <c r="B323" s="17">
        <v>95000</v>
      </c>
      <c r="C323" s="17">
        <f t="shared" si="25"/>
        <v>2612.5</v>
      </c>
      <c r="D323" s="47">
        <v>44692</v>
      </c>
      <c r="E323" s="32" t="s">
        <v>4023</v>
      </c>
      <c r="F323" s="32" t="s">
        <v>1448</v>
      </c>
      <c r="H323" s="32"/>
      <c r="I323" s="17"/>
      <c r="J323" s="32"/>
    </row>
    <row r="324" spans="1:10" ht="12.75">
      <c r="A324" s="16" t="s">
        <v>1746</v>
      </c>
      <c r="B324" s="17">
        <v>100000</v>
      </c>
      <c r="C324" s="17">
        <f t="shared" si="25"/>
        <v>2750</v>
      </c>
      <c r="D324" s="47">
        <v>44692</v>
      </c>
      <c r="E324" s="32" t="s">
        <v>11</v>
      </c>
      <c r="F324" s="32" t="s">
        <v>28</v>
      </c>
      <c r="H324" s="32"/>
      <c r="I324" s="17"/>
      <c r="J324" s="21" t="s">
        <v>30</v>
      </c>
    </row>
    <row r="325" spans="1:10" ht="12.75">
      <c r="A325" s="16" t="s">
        <v>1747</v>
      </c>
      <c r="B325" s="17">
        <v>600000</v>
      </c>
      <c r="C325" s="17">
        <f t="shared" si="25"/>
        <v>16500</v>
      </c>
      <c r="D325" s="47">
        <v>44692</v>
      </c>
      <c r="E325" s="32" t="s">
        <v>11</v>
      </c>
      <c r="F325" s="32" t="s">
        <v>1448</v>
      </c>
      <c r="H325" s="32"/>
      <c r="I325" s="17"/>
      <c r="J325" s="32"/>
    </row>
    <row r="326" spans="1:10" ht="12.75">
      <c r="A326" s="16" t="s">
        <v>1564</v>
      </c>
      <c r="B326" s="17">
        <v>250000</v>
      </c>
      <c r="C326" s="17">
        <f t="shared" si="25"/>
        <v>6875</v>
      </c>
      <c r="D326" s="47">
        <v>44692</v>
      </c>
      <c r="E326" s="32" t="s">
        <v>11</v>
      </c>
      <c r="F326" s="32" t="s">
        <v>1448</v>
      </c>
      <c r="H326" s="32"/>
      <c r="I326" s="17"/>
      <c r="J326" s="32"/>
    </row>
    <row r="327" spans="1:10" ht="12.75">
      <c r="A327" s="16" t="s">
        <v>1748</v>
      </c>
      <c r="B327" s="17">
        <v>100000</v>
      </c>
      <c r="C327" s="17">
        <f t="shared" si="25"/>
        <v>2750</v>
      </c>
      <c r="D327" s="47">
        <v>44692</v>
      </c>
      <c r="E327" s="32" t="s">
        <v>11</v>
      </c>
      <c r="F327" s="32" t="s">
        <v>28</v>
      </c>
      <c r="H327" s="32"/>
      <c r="I327" s="17"/>
      <c r="J327" s="32"/>
    </row>
    <row r="328" spans="1:10" ht="12.75">
      <c r="A328" s="16" t="s">
        <v>1749</v>
      </c>
      <c r="B328" s="17">
        <v>10000</v>
      </c>
      <c r="C328" s="17">
        <f t="shared" si="25"/>
        <v>275</v>
      </c>
      <c r="D328" s="47">
        <v>44692</v>
      </c>
      <c r="E328" s="32" t="s">
        <v>11</v>
      </c>
      <c r="F328" s="32" t="s">
        <v>28</v>
      </c>
      <c r="H328" s="32"/>
      <c r="I328" s="17"/>
      <c r="J328" s="32"/>
    </row>
    <row r="329" spans="1:10" ht="12.75">
      <c r="A329" s="16" t="s">
        <v>1750</v>
      </c>
      <c r="B329" s="17">
        <v>10000</v>
      </c>
      <c r="C329" s="17">
        <f t="shared" si="25"/>
        <v>275</v>
      </c>
      <c r="D329" s="47">
        <v>44692</v>
      </c>
      <c r="E329" s="32" t="s">
        <v>11</v>
      </c>
      <c r="F329" s="32" t="s">
        <v>28</v>
      </c>
      <c r="H329" s="32"/>
      <c r="I329" s="17"/>
      <c r="J329" s="32"/>
    </row>
    <row r="330" spans="1:10" ht="12.75">
      <c r="A330" s="16" t="s">
        <v>1751</v>
      </c>
      <c r="B330" s="17">
        <v>20000</v>
      </c>
      <c r="C330" s="17">
        <f t="shared" si="25"/>
        <v>550</v>
      </c>
      <c r="D330" s="47">
        <v>44692</v>
      </c>
      <c r="E330" s="32" t="s">
        <v>11</v>
      </c>
      <c r="F330" s="32" t="s">
        <v>28</v>
      </c>
      <c r="H330" s="32"/>
      <c r="I330" s="17"/>
      <c r="J330" s="32"/>
    </row>
    <row r="331" spans="1:10" ht="12.75">
      <c r="A331" s="16" t="s">
        <v>1752</v>
      </c>
      <c r="B331" s="17">
        <v>40000</v>
      </c>
      <c r="C331" s="17">
        <f t="shared" si="25"/>
        <v>1100</v>
      </c>
      <c r="D331" s="47">
        <v>44692</v>
      </c>
      <c r="E331" s="32" t="s">
        <v>11</v>
      </c>
      <c r="F331" s="32" t="s">
        <v>28</v>
      </c>
      <c r="H331" s="32"/>
      <c r="I331" s="17"/>
      <c r="J331" s="32"/>
    </row>
    <row r="332" spans="1:10" ht="12.75">
      <c r="A332" s="16" t="s">
        <v>1753</v>
      </c>
      <c r="B332" s="17">
        <v>135000</v>
      </c>
      <c r="C332" s="17">
        <f t="shared" si="25"/>
        <v>3712.5</v>
      </c>
      <c r="D332" s="47">
        <v>44693</v>
      </c>
      <c r="E332" s="32" t="s">
        <v>11</v>
      </c>
      <c r="F332" s="32" t="s">
        <v>28</v>
      </c>
      <c r="H332" s="32"/>
      <c r="I332" s="17"/>
      <c r="J332" s="32"/>
    </row>
    <row r="333" spans="1:10" ht="12.75">
      <c r="A333" s="16" t="s">
        <v>1754</v>
      </c>
      <c r="B333" s="17">
        <v>170000</v>
      </c>
      <c r="C333" s="17">
        <f t="shared" si="25"/>
        <v>4675</v>
      </c>
      <c r="D333" s="47">
        <v>44693</v>
      </c>
      <c r="E333" s="32" t="s">
        <v>11</v>
      </c>
      <c r="F333" s="32" t="s">
        <v>28</v>
      </c>
      <c r="H333" s="32"/>
      <c r="I333" s="17"/>
      <c r="J333" s="32"/>
    </row>
    <row r="334" spans="1:10" ht="12.75">
      <c r="A334" s="16" t="s">
        <v>1755</v>
      </c>
      <c r="B334" s="17">
        <v>300000</v>
      </c>
      <c r="C334" s="17">
        <f t="shared" si="25"/>
        <v>8250</v>
      </c>
      <c r="D334" s="47">
        <v>44693</v>
      </c>
      <c r="E334" s="32" t="s">
        <v>11</v>
      </c>
      <c r="F334" s="32" t="s">
        <v>28</v>
      </c>
      <c r="H334" s="32"/>
      <c r="I334" s="17"/>
      <c r="J334" s="21" t="s">
        <v>30</v>
      </c>
    </row>
    <row r="335" spans="1:10" ht="12.75">
      <c r="A335" s="16" t="s">
        <v>1756</v>
      </c>
      <c r="B335" s="17">
        <v>500000</v>
      </c>
      <c r="C335" s="17">
        <f t="shared" si="25"/>
        <v>13750</v>
      </c>
      <c r="D335" s="47">
        <v>44694</v>
      </c>
      <c r="E335" s="32" t="s">
        <v>4023</v>
      </c>
      <c r="F335" s="32" t="s">
        <v>28</v>
      </c>
      <c r="H335" s="32"/>
      <c r="I335" s="17"/>
      <c r="J335" s="21" t="s">
        <v>30</v>
      </c>
    </row>
    <row r="336" spans="1:10" ht="12.75">
      <c r="A336" s="16" t="s">
        <v>1757</v>
      </c>
      <c r="B336" s="17">
        <v>55000</v>
      </c>
      <c r="C336" s="17">
        <f t="shared" si="25"/>
        <v>1512.5</v>
      </c>
      <c r="D336" s="47">
        <v>44694</v>
      </c>
      <c r="E336" s="32" t="s">
        <v>4023</v>
      </c>
      <c r="F336" s="32" t="s">
        <v>28</v>
      </c>
      <c r="H336" s="32"/>
      <c r="I336" s="17"/>
      <c r="J336" s="21" t="s">
        <v>30</v>
      </c>
    </row>
    <row r="337" spans="1:10" ht="12.75">
      <c r="A337" s="16" t="s">
        <v>1758</v>
      </c>
      <c r="B337" s="17">
        <v>60000</v>
      </c>
      <c r="C337" s="17">
        <f t="shared" si="25"/>
        <v>1650</v>
      </c>
      <c r="D337" s="47">
        <v>44694</v>
      </c>
      <c r="E337" s="32" t="s">
        <v>11</v>
      </c>
      <c r="F337" s="32" t="s">
        <v>28</v>
      </c>
      <c r="H337" s="32"/>
      <c r="I337" s="17"/>
      <c r="J337" s="32"/>
    </row>
    <row r="338" spans="1:10" ht="12.75">
      <c r="A338" s="16" t="s">
        <v>1759</v>
      </c>
      <c r="B338" s="17">
        <v>30000</v>
      </c>
      <c r="C338" s="17">
        <f t="shared" si="25"/>
        <v>825</v>
      </c>
      <c r="D338" s="47">
        <v>44694</v>
      </c>
      <c r="E338" s="32" t="s">
        <v>11</v>
      </c>
      <c r="F338" s="32" t="s">
        <v>28</v>
      </c>
      <c r="H338" s="32"/>
      <c r="I338" s="17"/>
      <c r="J338" s="32"/>
    </row>
    <row r="339" spans="1:10" ht="12.75">
      <c r="A339" s="16" t="s">
        <v>2093</v>
      </c>
      <c r="B339" s="17">
        <v>265000</v>
      </c>
      <c r="C339" s="17">
        <f t="shared" si="25"/>
        <v>7287.5</v>
      </c>
      <c r="D339" s="47">
        <v>44697</v>
      </c>
      <c r="E339" s="32" t="s">
        <v>2120</v>
      </c>
      <c r="F339" s="32" t="s">
        <v>28</v>
      </c>
      <c r="H339" s="32"/>
      <c r="I339" s="17"/>
      <c r="J339" s="21" t="s">
        <v>30</v>
      </c>
    </row>
    <row r="340" spans="1:10" ht="12.75">
      <c r="A340" s="16" t="s">
        <v>1507</v>
      </c>
      <c r="B340" s="17">
        <v>55000</v>
      </c>
      <c r="C340" s="17">
        <f t="shared" si="25"/>
        <v>1512.5</v>
      </c>
      <c r="D340" s="47">
        <v>44697</v>
      </c>
      <c r="E340" s="32" t="s">
        <v>11</v>
      </c>
      <c r="F340" s="32" t="s">
        <v>1448</v>
      </c>
      <c r="H340" s="32"/>
      <c r="I340" s="17"/>
      <c r="J340" s="32"/>
    </row>
    <row r="341" spans="1:10" ht="12.75">
      <c r="A341" s="16" t="s">
        <v>4627</v>
      </c>
      <c r="B341" s="17">
        <v>100000</v>
      </c>
      <c r="C341" s="17">
        <f t="shared" si="25"/>
        <v>2750</v>
      </c>
      <c r="D341" s="47">
        <v>44698</v>
      </c>
      <c r="E341" s="32" t="s">
        <v>4628</v>
      </c>
      <c r="F341" s="32" t="s">
        <v>28</v>
      </c>
      <c r="H341" s="32"/>
      <c r="I341" s="17"/>
      <c r="J341" s="21" t="s">
        <v>30</v>
      </c>
    </row>
    <row r="342" spans="1:10" ht="12.75">
      <c r="A342" s="16" t="s">
        <v>2088</v>
      </c>
      <c r="B342" s="17">
        <v>100000</v>
      </c>
      <c r="C342" s="17">
        <f t="shared" si="25"/>
        <v>2750</v>
      </c>
      <c r="D342" s="47">
        <v>44698</v>
      </c>
      <c r="E342" s="32" t="s">
        <v>461</v>
      </c>
      <c r="F342" s="32" t="s">
        <v>28</v>
      </c>
      <c r="H342" s="32"/>
      <c r="I342" s="17"/>
      <c r="J342" s="21" t="s">
        <v>30</v>
      </c>
    </row>
    <row r="343" spans="1:10" ht="12.75">
      <c r="A343" s="16" t="s">
        <v>1479</v>
      </c>
      <c r="B343" s="17">
        <v>140000</v>
      </c>
      <c r="C343" s="17">
        <f t="shared" si="25"/>
        <v>3850</v>
      </c>
      <c r="D343" s="47">
        <v>44698</v>
      </c>
      <c r="E343" s="32" t="s">
        <v>73</v>
      </c>
      <c r="F343" s="32" t="s">
        <v>1448</v>
      </c>
      <c r="H343" s="32"/>
      <c r="I343" s="17"/>
      <c r="J343" s="32"/>
    </row>
    <row r="344" spans="1:10" ht="12.75">
      <c r="A344" s="16" t="s">
        <v>1760</v>
      </c>
      <c r="B344" s="17">
        <v>125000</v>
      </c>
      <c r="C344" s="17">
        <f t="shared" si="25"/>
        <v>3437.5</v>
      </c>
      <c r="D344" s="47">
        <v>44699</v>
      </c>
      <c r="E344" s="32" t="s">
        <v>11</v>
      </c>
      <c r="F344" s="32" t="s">
        <v>28</v>
      </c>
      <c r="H344" s="32"/>
      <c r="I344" s="17"/>
      <c r="J344" s="32"/>
    </row>
    <row r="345" spans="1:10" ht="12.75">
      <c r="A345" s="16" t="s">
        <v>1761</v>
      </c>
      <c r="B345" s="17">
        <v>100000</v>
      </c>
      <c r="C345" s="17">
        <f t="shared" si="25"/>
        <v>2750</v>
      </c>
      <c r="D345" s="47">
        <v>44699</v>
      </c>
      <c r="E345" s="32" t="s">
        <v>11</v>
      </c>
      <c r="F345" s="32" t="s">
        <v>28</v>
      </c>
      <c r="H345" s="32"/>
      <c r="I345" s="17"/>
      <c r="J345" s="32"/>
    </row>
    <row r="346" spans="1:10" ht="12.75">
      <c r="A346" s="16" t="s">
        <v>1763</v>
      </c>
      <c r="B346" s="17">
        <v>90000</v>
      </c>
      <c r="C346" s="17">
        <f t="shared" si="25"/>
        <v>2475</v>
      </c>
      <c r="D346" s="47">
        <v>44699</v>
      </c>
      <c r="E346" s="32" t="s">
        <v>11</v>
      </c>
      <c r="F346" s="32" t="s">
        <v>1448</v>
      </c>
      <c r="H346" s="32"/>
      <c r="I346" s="17"/>
      <c r="J346" s="32"/>
    </row>
    <row r="347" spans="1:10" ht="12.75">
      <c r="A347" s="16" t="s">
        <v>4629</v>
      </c>
      <c r="B347" s="17">
        <v>50000</v>
      </c>
      <c r="C347" s="17">
        <f t="shared" si="25"/>
        <v>1375</v>
      </c>
      <c r="D347" s="47">
        <v>44699</v>
      </c>
      <c r="E347" s="32" t="s">
        <v>4009</v>
      </c>
      <c r="F347" s="32" t="s">
        <v>28</v>
      </c>
      <c r="H347" s="32"/>
      <c r="I347" s="17"/>
      <c r="J347" s="21" t="s">
        <v>30</v>
      </c>
    </row>
    <row r="348" spans="1:10" ht="12.75">
      <c r="A348" s="16" t="s">
        <v>1764</v>
      </c>
      <c r="B348" s="17">
        <v>50000</v>
      </c>
      <c r="C348" s="17">
        <f t="shared" si="25"/>
        <v>1375</v>
      </c>
      <c r="D348" s="47">
        <v>44699</v>
      </c>
      <c r="E348" s="32" t="s">
        <v>11</v>
      </c>
      <c r="F348" s="32" t="s">
        <v>28</v>
      </c>
      <c r="H348" s="32"/>
      <c r="I348" s="17"/>
      <c r="J348" s="21" t="s">
        <v>30</v>
      </c>
    </row>
    <row r="349" spans="1:10" ht="12.75">
      <c r="A349" s="16" t="s">
        <v>1769</v>
      </c>
      <c r="B349" s="17">
        <v>100000</v>
      </c>
      <c r="C349" s="17">
        <f t="shared" si="25"/>
        <v>2750</v>
      </c>
      <c r="D349" s="47">
        <v>44699</v>
      </c>
      <c r="E349" s="32" t="s">
        <v>4023</v>
      </c>
      <c r="F349" s="32" t="s">
        <v>28</v>
      </c>
      <c r="H349" s="32"/>
      <c r="I349" s="17"/>
      <c r="J349" s="21" t="s">
        <v>30</v>
      </c>
    </row>
    <row r="350" spans="1:10" ht="12.75">
      <c r="A350" s="16" t="s">
        <v>1767</v>
      </c>
      <c r="B350" s="17">
        <v>70000</v>
      </c>
      <c r="C350" s="17">
        <f t="shared" si="25"/>
        <v>1925</v>
      </c>
      <c r="D350" s="47">
        <v>44699</v>
      </c>
      <c r="E350" s="32" t="s">
        <v>11</v>
      </c>
      <c r="F350" s="32" t="s">
        <v>28</v>
      </c>
      <c r="H350" s="32"/>
      <c r="I350" s="17"/>
      <c r="J350" s="21" t="s">
        <v>30</v>
      </c>
    </row>
    <row r="351" spans="1:10" ht="12.75">
      <c r="A351" s="16" t="s">
        <v>1768</v>
      </c>
      <c r="B351" s="17">
        <v>500000</v>
      </c>
      <c r="C351" s="17">
        <f t="shared" si="25"/>
        <v>13750</v>
      </c>
      <c r="D351" s="47">
        <v>44700</v>
      </c>
      <c r="E351" s="32" t="s">
        <v>73</v>
      </c>
      <c r="F351" s="32" t="s">
        <v>1448</v>
      </c>
      <c r="H351" s="32"/>
      <c r="I351" s="17"/>
      <c r="J351" s="32"/>
    </row>
    <row r="352" spans="1:10" ht="12.75">
      <c r="A352" s="16" t="s">
        <v>1765</v>
      </c>
      <c r="B352" s="17">
        <v>65000</v>
      </c>
      <c r="C352" s="17">
        <f t="shared" si="25"/>
        <v>1787.5</v>
      </c>
      <c r="D352" s="47">
        <v>44700</v>
      </c>
      <c r="E352" s="32" t="s">
        <v>11</v>
      </c>
      <c r="F352" s="32" t="s">
        <v>1448</v>
      </c>
      <c r="H352" s="32"/>
      <c r="I352" s="17"/>
      <c r="J352" s="32"/>
    </row>
    <row r="353" spans="1:10" ht="12.75">
      <c r="A353" s="16" t="s">
        <v>1766</v>
      </c>
      <c r="B353" s="17">
        <v>20000</v>
      </c>
      <c r="C353" s="17">
        <f t="shared" si="25"/>
        <v>550</v>
      </c>
      <c r="D353" s="47">
        <v>44700</v>
      </c>
      <c r="E353" s="32" t="s">
        <v>11</v>
      </c>
      <c r="F353" s="32" t="s">
        <v>1448</v>
      </c>
      <c r="H353" s="32"/>
      <c r="I353" s="17"/>
      <c r="J353" s="32"/>
    </row>
    <row r="354" spans="1:10" ht="12.75">
      <c r="A354" s="16" t="s">
        <v>1762</v>
      </c>
      <c r="B354" s="17">
        <v>55000</v>
      </c>
      <c r="C354" s="17">
        <f t="shared" si="25"/>
        <v>1512.5</v>
      </c>
      <c r="D354" s="47">
        <v>44700</v>
      </c>
      <c r="E354" s="32" t="s">
        <v>11</v>
      </c>
      <c r="F354" s="32" t="s">
        <v>1448</v>
      </c>
      <c r="H354" s="32"/>
      <c r="I354" s="17"/>
      <c r="J354" s="32"/>
    </row>
    <row r="355" spans="1:10" ht="12.75">
      <c r="A355" s="16" t="s">
        <v>1460</v>
      </c>
      <c r="B355" s="17">
        <v>105000</v>
      </c>
      <c r="C355" s="17">
        <f t="shared" si="25"/>
        <v>2887.5</v>
      </c>
      <c r="D355" s="47">
        <v>44700</v>
      </c>
      <c r="E355" s="32" t="s">
        <v>11</v>
      </c>
      <c r="F355" s="32" t="s">
        <v>1448</v>
      </c>
      <c r="H355" s="32"/>
      <c r="I355" s="17"/>
      <c r="J355" s="32"/>
    </row>
    <row r="356" spans="1:10" ht="12.75">
      <c r="A356" s="16" t="s">
        <v>1770</v>
      </c>
      <c r="B356" s="17">
        <v>400000</v>
      </c>
      <c r="C356" s="17">
        <f t="shared" si="25"/>
        <v>11000</v>
      </c>
      <c r="D356" s="47">
        <v>44700</v>
      </c>
      <c r="E356" s="32" t="s">
        <v>4630</v>
      </c>
      <c r="F356" s="32" t="s">
        <v>28</v>
      </c>
      <c r="H356" s="32"/>
      <c r="I356" s="17"/>
      <c r="J356" s="32"/>
    </row>
    <row r="357" spans="1:10" ht="12.75">
      <c r="A357" s="16" t="s">
        <v>2099</v>
      </c>
      <c r="B357" s="17">
        <v>20000</v>
      </c>
      <c r="C357" s="17">
        <f t="shared" si="25"/>
        <v>550</v>
      </c>
      <c r="D357" s="47">
        <v>44700</v>
      </c>
      <c r="E357" s="32" t="s">
        <v>4630</v>
      </c>
      <c r="F357" s="32" t="s">
        <v>28</v>
      </c>
      <c r="H357" s="32"/>
      <c r="I357" s="17"/>
      <c r="J357" s="32"/>
    </row>
    <row r="358" spans="1:10" ht="12.75">
      <c r="A358" s="16" t="s">
        <v>1771</v>
      </c>
      <c r="B358" s="17">
        <v>300000</v>
      </c>
      <c r="C358" s="17">
        <f t="shared" si="25"/>
        <v>8250</v>
      </c>
      <c r="D358" s="47">
        <v>44700</v>
      </c>
      <c r="E358" s="32" t="s">
        <v>4023</v>
      </c>
      <c r="F358" s="32" t="s">
        <v>28</v>
      </c>
      <c r="H358" s="32"/>
      <c r="I358" s="17"/>
      <c r="J358" s="21" t="s">
        <v>30</v>
      </c>
    </row>
    <row r="359" spans="1:10" ht="12.75">
      <c r="A359" s="16" t="s">
        <v>1772</v>
      </c>
      <c r="B359" s="17">
        <v>275000</v>
      </c>
      <c r="C359" s="17">
        <f t="shared" si="25"/>
        <v>7562.5</v>
      </c>
      <c r="D359" s="47">
        <v>44704</v>
      </c>
      <c r="E359" s="32" t="s">
        <v>4023</v>
      </c>
      <c r="F359" s="32" t="s">
        <v>28</v>
      </c>
      <c r="H359" s="32"/>
      <c r="I359" s="17"/>
      <c r="J359" s="21" t="s">
        <v>30</v>
      </c>
    </row>
    <row r="360" spans="1:10" ht="12.75">
      <c r="A360" s="16" t="s">
        <v>1773</v>
      </c>
      <c r="B360" s="17">
        <v>250000</v>
      </c>
      <c r="C360" s="17">
        <f t="shared" si="25"/>
        <v>6875</v>
      </c>
      <c r="D360" s="47">
        <v>44705</v>
      </c>
      <c r="E360" s="32" t="s">
        <v>4023</v>
      </c>
      <c r="F360" s="32" t="s">
        <v>28</v>
      </c>
      <c r="H360" s="32"/>
      <c r="I360" s="17"/>
      <c r="J360" s="21" t="s">
        <v>30</v>
      </c>
    </row>
    <row r="361" spans="1:10" ht="12.75">
      <c r="A361" s="16" t="s">
        <v>1492</v>
      </c>
      <c r="B361" s="17">
        <v>625000</v>
      </c>
      <c r="C361" s="17">
        <f>0.0275*525000</f>
        <v>14437.5</v>
      </c>
      <c r="D361" s="47">
        <v>44705</v>
      </c>
      <c r="E361" s="32" t="s">
        <v>11</v>
      </c>
      <c r="F361" s="32" t="s">
        <v>1448</v>
      </c>
      <c r="H361" s="32"/>
      <c r="I361" s="17" t="s">
        <v>4631</v>
      </c>
      <c r="J361" s="32"/>
    </row>
    <row r="362" spans="1:10" ht="12.75">
      <c r="A362" s="16" t="s">
        <v>1774</v>
      </c>
      <c r="B362" s="17">
        <v>75000</v>
      </c>
      <c r="C362" s="17">
        <f t="shared" ref="C362:C375" si="26">0.0275*B362</f>
        <v>2062.5</v>
      </c>
      <c r="D362" s="47">
        <v>44705</v>
      </c>
      <c r="E362" s="32" t="s">
        <v>11</v>
      </c>
      <c r="F362" s="32" t="s">
        <v>28</v>
      </c>
      <c r="H362" s="32"/>
      <c r="I362" s="17"/>
      <c r="J362" s="21" t="s">
        <v>30</v>
      </c>
    </row>
    <row r="363" spans="1:10" ht="12.75">
      <c r="A363" s="16" t="s">
        <v>1775</v>
      </c>
      <c r="B363" s="17">
        <v>150000</v>
      </c>
      <c r="C363" s="17">
        <f t="shared" si="26"/>
        <v>4125</v>
      </c>
      <c r="D363" s="47">
        <v>44707</v>
      </c>
      <c r="E363" s="32" t="s">
        <v>11</v>
      </c>
      <c r="F363" s="32" t="s">
        <v>28</v>
      </c>
      <c r="H363" s="32"/>
      <c r="I363" s="17"/>
      <c r="J363" s="21" t="s">
        <v>30</v>
      </c>
    </row>
    <row r="364" spans="1:10" ht="12.75">
      <c r="A364" s="16" t="s">
        <v>1589</v>
      </c>
      <c r="B364" s="17">
        <v>600000</v>
      </c>
      <c r="C364" s="17">
        <f t="shared" si="26"/>
        <v>16500</v>
      </c>
      <c r="D364" s="47">
        <v>44707</v>
      </c>
      <c r="E364" s="32" t="s">
        <v>11</v>
      </c>
      <c r="F364" s="32" t="s">
        <v>1448</v>
      </c>
      <c r="H364" s="32"/>
      <c r="I364" s="17"/>
      <c r="J364" s="32"/>
    </row>
    <row r="365" spans="1:10" ht="12.75">
      <c r="A365" s="16" t="s">
        <v>1670</v>
      </c>
      <c r="B365" s="17">
        <v>275000</v>
      </c>
      <c r="C365" s="17">
        <f t="shared" si="26"/>
        <v>7562.5</v>
      </c>
      <c r="D365" s="47">
        <v>44708</v>
      </c>
      <c r="E365" s="32" t="s">
        <v>11</v>
      </c>
      <c r="F365" s="32" t="s">
        <v>1448</v>
      </c>
      <c r="H365" s="32"/>
      <c r="I365" s="17"/>
      <c r="J365" s="32"/>
    </row>
    <row r="366" spans="1:10" ht="12.75">
      <c r="A366" s="16" t="s">
        <v>1776</v>
      </c>
      <c r="B366" s="17">
        <v>18000</v>
      </c>
      <c r="C366" s="17">
        <f t="shared" si="26"/>
        <v>495</v>
      </c>
      <c r="D366" s="47">
        <v>44708</v>
      </c>
      <c r="E366" s="32" t="s">
        <v>11</v>
      </c>
      <c r="F366" s="32" t="s">
        <v>1448</v>
      </c>
      <c r="H366" s="32"/>
      <c r="I366" s="17"/>
      <c r="J366" s="32"/>
    </row>
    <row r="367" spans="1:10" ht="12.75">
      <c r="A367" s="16" t="s">
        <v>1777</v>
      </c>
      <c r="B367" s="17">
        <v>40000</v>
      </c>
      <c r="C367" s="17">
        <f t="shared" si="26"/>
        <v>1100</v>
      </c>
      <c r="D367" s="47">
        <v>44708</v>
      </c>
      <c r="E367" s="32" t="s">
        <v>11</v>
      </c>
      <c r="F367" s="32" t="s">
        <v>1448</v>
      </c>
      <c r="H367" s="32"/>
      <c r="I367" s="17"/>
      <c r="J367" s="32"/>
    </row>
    <row r="368" spans="1:10" ht="12.75">
      <c r="A368" s="16" t="s">
        <v>1778</v>
      </c>
      <c r="B368" s="17">
        <v>65000</v>
      </c>
      <c r="C368" s="17">
        <f t="shared" si="26"/>
        <v>1787.5</v>
      </c>
      <c r="D368" s="47">
        <v>44708</v>
      </c>
      <c r="E368" s="32" t="s">
        <v>11</v>
      </c>
      <c r="F368" s="32" t="s">
        <v>1448</v>
      </c>
      <c r="H368" s="32"/>
      <c r="I368" s="17"/>
      <c r="J368" s="32"/>
    </row>
    <row r="369" spans="1:10" ht="12.75">
      <c r="A369" s="16" t="s">
        <v>1640</v>
      </c>
      <c r="B369" s="17">
        <v>60000</v>
      </c>
      <c r="C369" s="17">
        <f t="shared" si="26"/>
        <v>1650</v>
      </c>
      <c r="D369" s="47">
        <v>44708</v>
      </c>
      <c r="E369" s="32" t="s">
        <v>11</v>
      </c>
      <c r="F369" s="32" t="s">
        <v>1448</v>
      </c>
      <c r="H369" s="32"/>
      <c r="I369" s="17"/>
      <c r="J369" s="32"/>
    </row>
    <row r="370" spans="1:10" ht="12.75">
      <c r="A370" s="16" t="s">
        <v>1779</v>
      </c>
      <c r="B370" s="17">
        <v>50000</v>
      </c>
      <c r="C370" s="17">
        <f t="shared" si="26"/>
        <v>1375</v>
      </c>
      <c r="D370" s="47">
        <v>44708</v>
      </c>
      <c r="E370" s="32" t="s">
        <v>11</v>
      </c>
      <c r="F370" s="32" t="s">
        <v>28</v>
      </c>
      <c r="H370" s="32"/>
      <c r="I370" s="17"/>
      <c r="J370" s="32"/>
    </row>
    <row r="371" spans="1:10" ht="12.75">
      <c r="A371" s="16" t="s">
        <v>1780</v>
      </c>
      <c r="B371" s="17">
        <v>40000</v>
      </c>
      <c r="C371" s="17">
        <f t="shared" si="26"/>
        <v>1100</v>
      </c>
      <c r="D371" s="47">
        <v>44708</v>
      </c>
      <c r="E371" s="32" t="s">
        <v>11</v>
      </c>
      <c r="F371" s="32" t="s">
        <v>28</v>
      </c>
      <c r="H371" s="32"/>
      <c r="I371" s="17"/>
      <c r="J371" s="32"/>
    </row>
    <row r="372" spans="1:10" ht="12.75">
      <c r="A372" s="16" t="s">
        <v>1781</v>
      </c>
      <c r="B372" s="17">
        <v>45000</v>
      </c>
      <c r="C372" s="17">
        <f t="shared" si="26"/>
        <v>1237.5</v>
      </c>
      <c r="D372" s="47">
        <v>44708</v>
      </c>
      <c r="E372" s="32" t="s">
        <v>11</v>
      </c>
      <c r="F372" s="32" t="s">
        <v>28</v>
      </c>
      <c r="H372" s="32"/>
      <c r="I372" s="17"/>
      <c r="J372" s="32"/>
    </row>
    <row r="373" spans="1:10" ht="12.75">
      <c r="A373" s="16" t="s">
        <v>1782</v>
      </c>
      <c r="B373" s="17">
        <v>530000</v>
      </c>
      <c r="C373" s="17">
        <f t="shared" si="26"/>
        <v>14575</v>
      </c>
      <c r="D373" s="47">
        <v>44712</v>
      </c>
      <c r="E373" s="32" t="s">
        <v>73</v>
      </c>
      <c r="F373" s="32" t="s">
        <v>1448</v>
      </c>
      <c r="H373" s="32"/>
      <c r="I373" s="17"/>
      <c r="J373" s="32"/>
    </row>
    <row r="374" spans="1:10" ht="12.75">
      <c r="A374" s="16" t="s">
        <v>1606</v>
      </c>
      <c r="B374" s="17">
        <v>415000</v>
      </c>
      <c r="C374" s="17">
        <f t="shared" si="26"/>
        <v>11412.5</v>
      </c>
      <c r="D374" s="47">
        <v>44712</v>
      </c>
      <c r="E374" s="32" t="s">
        <v>11</v>
      </c>
      <c r="F374" s="32" t="s">
        <v>1448</v>
      </c>
      <c r="H374" s="32"/>
      <c r="I374" s="17"/>
      <c r="J374" s="32"/>
    </row>
    <row r="375" spans="1:10" ht="12.75">
      <c r="A375" s="16" t="s">
        <v>4632</v>
      </c>
      <c r="B375" s="17">
        <v>750000</v>
      </c>
      <c r="C375" s="17">
        <f t="shared" si="26"/>
        <v>20625</v>
      </c>
      <c r="D375" s="47">
        <v>44712</v>
      </c>
      <c r="E375" s="32" t="s">
        <v>4633</v>
      </c>
      <c r="F375" s="32" t="s">
        <v>28</v>
      </c>
      <c r="H375" s="17" t="s">
        <v>4634</v>
      </c>
      <c r="I375" s="17" t="s">
        <v>4635</v>
      </c>
      <c r="J375" s="21" t="s">
        <v>30</v>
      </c>
    </row>
    <row r="376" spans="1:10" ht="12.75">
      <c r="A376" s="16" t="s">
        <v>2094</v>
      </c>
      <c r="B376" s="17">
        <v>300000</v>
      </c>
      <c r="C376" s="17">
        <v>0</v>
      </c>
      <c r="D376" s="47">
        <v>44712</v>
      </c>
      <c r="E376" s="32" t="s">
        <v>11</v>
      </c>
      <c r="F376" s="32" t="s">
        <v>28</v>
      </c>
      <c r="H376" s="32"/>
      <c r="I376" s="17" t="s">
        <v>4636</v>
      </c>
      <c r="J376" s="21" t="s">
        <v>30</v>
      </c>
    </row>
    <row r="377" spans="1:10" ht="12.75">
      <c r="A377" s="16" t="s">
        <v>1783</v>
      </c>
      <c r="B377" s="17">
        <v>70000</v>
      </c>
      <c r="C377" s="17">
        <f t="shared" ref="C377:C381" si="27">0.0275*B377</f>
        <v>1925</v>
      </c>
      <c r="D377" s="47">
        <v>44712</v>
      </c>
      <c r="E377" s="32" t="s">
        <v>11</v>
      </c>
      <c r="F377" s="32" t="s">
        <v>1448</v>
      </c>
      <c r="H377" s="32"/>
      <c r="I377" s="17"/>
      <c r="J377" s="32"/>
    </row>
    <row r="378" spans="1:10" ht="12.75">
      <c r="A378" s="16" t="s">
        <v>1784</v>
      </c>
      <c r="B378" s="17">
        <v>20000</v>
      </c>
      <c r="C378" s="17">
        <f t="shared" si="27"/>
        <v>550</v>
      </c>
      <c r="D378" s="47">
        <v>44712</v>
      </c>
      <c r="E378" s="32" t="s">
        <v>11</v>
      </c>
      <c r="F378" s="32" t="s">
        <v>28</v>
      </c>
      <c r="H378" s="32"/>
      <c r="I378" s="17"/>
      <c r="J378" s="32"/>
    </row>
    <row r="379" spans="1:10" ht="12.75">
      <c r="A379" s="16" t="s">
        <v>1785</v>
      </c>
      <c r="B379" s="17">
        <v>20000</v>
      </c>
      <c r="C379" s="17">
        <f t="shared" si="27"/>
        <v>550</v>
      </c>
      <c r="D379" s="47">
        <v>44712</v>
      </c>
      <c r="E379" s="32" t="s">
        <v>11</v>
      </c>
      <c r="F379" s="32" t="s">
        <v>28</v>
      </c>
      <c r="H379" s="32"/>
      <c r="I379" s="17"/>
      <c r="J379" s="32"/>
    </row>
    <row r="380" spans="1:10" ht="12.75">
      <c r="A380" s="16" t="s">
        <v>1786</v>
      </c>
      <c r="B380" s="17">
        <v>20000</v>
      </c>
      <c r="C380" s="17">
        <f t="shared" si="27"/>
        <v>550</v>
      </c>
      <c r="D380" s="47">
        <v>44712</v>
      </c>
      <c r="E380" s="32" t="s">
        <v>11</v>
      </c>
      <c r="F380" s="32" t="s">
        <v>28</v>
      </c>
      <c r="H380" s="32"/>
      <c r="I380" s="17"/>
      <c r="J380" s="32"/>
    </row>
    <row r="381" spans="1:10" ht="12.75">
      <c r="A381" s="16" t="s">
        <v>1787</v>
      </c>
      <c r="B381" s="17">
        <v>10000</v>
      </c>
      <c r="C381" s="17">
        <f t="shared" si="27"/>
        <v>275</v>
      </c>
      <c r="D381" s="47">
        <v>44712</v>
      </c>
      <c r="E381" s="32" t="s">
        <v>11</v>
      </c>
      <c r="F381" s="32" t="s">
        <v>28</v>
      </c>
      <c r="H381" s="32"/>
      <c r="I381" s="17"/>
      <c r="J381" s="32"/>
    </row>
    <row r="382" spans="1:10" ht="12.75">
      <c r="B382" s="17"/>
      <c r="C382" s="17"/>
      <c r="D382" s="32"/>
      <c r="E382" s="32"/>
      <c r="F382" s="32"/>
      <c r="H382" s="32"/>
      <c r="I382" s="17"/>
      <c r="J382" s="32"/>
    </row>
    <row r="383" spans="1:10" ht="12.75">
      <c r="B383" s="17"/>
      <c r="C383" s="17"/>
      <c r="D383" s="32"/>
      <c r="E383" s="32"/>
      <c r="F383" s="32"/>
      <c r="H383" s="32"/>
      <c r="I383" s="17"/>
      <c r="J383" s="32"/>
    </row>
    <row r="384" spans="1:10" ht="12.75">
      <c r="B384" s="17"/>
      <c r="C384" s="17"/>
      <c r="D384" s="32"/>
      <c r="E384" s="32"/>
      <c r="F384" s="32"/>
      <c r="H384" s="32"/>
      <c r="I384" s="17"/>
      <c r="J384" s="32"/>
    </row>
    <row r="385" spans="1:12" ht="12.75">
      <c r="A385" s="11">
        <v>44713</v>
      </c>
      <c r="B385" s="9">
        <f t="shared" ref="B385:C385" si="28">SUM(B386:B487)</f>
        <v>28925500</v>
      </c>
      <c r="C385" s="9">
        <f t="shared" si="28"/>
        <v>785482.5</v>
      </c>
      <c r="D385" s="59"/>
      <c r="E385" s="59"/>
      <c r="F385" s="59"/>
      <c r="G385" s="9"/>
      <c r="H385" s="9">
        <f>SUM(H386:H476)</f>
        <v>11193.25</v>
      </c>
      <c r="I385" s="15"/>
      <c r="J385" s="67"/>
      <c r="K385" s="69">
        <f>SUM(B385)</f>
        <v>28925500</v>
      </c>
      <c r="L385" s="67"/>
    </row>
    <row r="386" spans="1:12" ht="12.75">
      <c r="A386" s="16" t="s">
        <v>1559</v>
      </c>
      <c r="B386" s="17">
        <v>1400000</v>
      </c>
      <c r="C386" s="17">
        <f t="shared" ref="C386:C420" si="29">0.0275*B386</f>
        <v>38500</v>
      </c>
      <c r="D386" s="47">
        <v>44713</v>
      </c>
      <c r="E386" s="32" t="s">
        <v>4637</v>
      </c>
      <c r="F386" s="32" t="s">
        <v>1448</v>
      </c>
      <c r="H386" s="71">
        <v>1050</v>
      </c>
      <c r="I386" s="16" t="s">
        <v>4638</v>
      </c>
      <c r="J386" s="32"/>
    </row>
    <row r="387" spans="1:12" ht="12.75">
      <c r="A387" s="16" t="s">
        <v>1539</v>
      </c>
      <c r="B387" s="17">
        <v>500000</v>
      </c>
      <c r="C387" s="17">
        <f t="shared" si="29"/>
        <v>13750</v>
      </c>
      <c r="D387" s="47">
        <v>44713</v>
      </c>
      <c r="E387" s="32" t="s">
        <v>3601</v>
      </c>
      <c r="F387" s="32" t="s">
        <v>1448</v>
      </c>
      <c r="H387" s="32"/>
      <c r="I387" s="17"/>
      <c r="J387" s="32"/>
    </row>
    <row r="388" spans="1:12" ht="12.75">
      <c r="A388" s="16" t="s">
        <v>1789</v>
      </c>
      <c r="B388" s="17">
        <v>75000</v>
      </c>
      <c r="C388" s="17">
        <f t="shared" si="29"/>
        <v>2062.5</v>
      </c>
      <c r="D388" s="47">
        <v>44714</v>
      </c>
      <c r="E388" s="32" t="s">
        <v>4023</v>
      </c>
      <c r="F388" s="32" t="s">
        <v>28</v>
      </c>
      <c r="H388" s="32"/>
      <c r="I388" s="17"/>
      <c r="J388" s="21" t="s">
        <v>30</v>
      </c>
    </row>
    <row r="389" spans="1:12" ht="12.75">
      <c r="A389" s="16" t="s">
        <v>1501</v>
      </c>
      <c r="B389" s="17">
        <v>100000</v>
      </c>
      <c r="C389" s="17">
        <f t="shared" si="29"/>
        <v>2750</v>
      </c>
      <c r="D389" s="47">
        <v>44714</v>
      </c>
      <c r="E389" s="32" t="s">
        <v>11</v>
      </c>
      <c r="F389" s="32" t="s">
        <v>1448</v>
      </c>
      <c r="H389" s="32"/>
      <c r="I389" s="17"/>
      <c r="J389" s="32"/>
    </row>
    <row r="390" spans="1:12" ht="12.75">
      <c r="A390" s="16" t="s">
        <v>4639</v>
      </c>
      <c r="B390" s="17">
        <v>15000</v>
      </c>
      <c r="C390" s="17">
        <f t="shared" si="29"/>
        <v>412.5</v>
      </c>
      <c r="D390" s="47">
        <v>44714</v>
      </c>
      <c r="E390" s="32" t="s">
        <v>73</v>
      </c>
      <c r="F390" s="32" t="s">
        <v>1448</v>
      </c>
      <c r="H390" s="32"/>
      <c r="I390" s="17"/>
      <c r="J390" s="32"/>
    </row>
    <row r="391" spans="1:12" ht="12.75">
      <c r="A391" s="16" t="s">
        <v>1464</v>
      </c>
      <c r="B391" s="17">
        <v>500000</v>
      </c>
      <c r="C391" s="17">
        <f t="shared" si="29"/>
        <v>13750</v>
      </c>
      <c r="D391" s="47">
        <v>44714</v>
      </c>
      <c r="E391" s="32" t="s">
        <v>73</v>
      </c>
      <c r="F391" s="32" t="s">
        <v>1448</v>
      </c>
      <c r="H391" s="32"/>
      <c r="I391" s="17"/>
      <c r="J391" s="32"/>
    </row>
    <row r="392" spans="1:12" ht="12.75">
      <c r="A392" s="16" t="s">
        <v>1790</v>
      </c>
      <c r="B392" s="17">
        <v>200000</v>
      </c>
      <c r="C392" s="17">
        <f t="shared" si="29"/>
        <v>5500</v>
      </c>
      <c r="D392" s="47">
        <v>44714</v>
      </c>
      <c r="E392" s="32" t="s">
        <v>11</v>
      </c>
      <c r="F392" s="32" t="s">
        <v>28</v>
      </c>
      <c r="H392" s="32"/>
      <c r="I392" s="17"/>
      <c r="J392" s="21" t="s">
        <v>30</v>
      </c>
    </row>
    <row r="393" spans="1:12" ht="12.75">
      <c r="A393" s="16" t="s">
        <v>1788</v>
      </c>
      <c r="B393" s="17">
        <v>70000</v>
      </c>
      <c r="C393" s="17">
        <f t="shared" si="29"/>
        <v>1925</v>
      </c>
      <c r="D393" s="47">
        <v>44714</v>
      </c>
      <c r="E393" s="32" t="s">
        <v>11</v>
      </c>
      <c r="F393" s="32" t="s">
        <v>28</v>
      </c>
      <c r="H393" s="32"/>
      <c r="I393" s="17"/>
      <c r="J393" s="32"/>
    </row>
    <row r="394" spans="1:12" ht="12.75">
      <c r="A394" s="16" t="s">
        <v>1791</v>
      </c>
      <c r="B394" s="17">
        <v>150000</v>
      </c>
      <c r="C394" s="17">
        <f t="shared" si="29"/>
        <v>4125</v>
      </c>
      <c r="D394" s="47">
        <v>44715</v>
      </c>
      <c r="E394" s="32" t="s">
        <v>4023</v>
      </c>
      <c r="F394" s="32" t="s">
        <v>28</v>
      </c>
      <c r="H394" s="32"/>
      <c r="I394" s="17"/>
      <c r="J394" s="32"/>
    </row>
    <row r="395" spans="1:12" ht="12.75">
      <c r="A395" s="16" t="s">
        <v>1792</v>
      </c>
      <c r="B395" s="17">
        <v>400000</v>
      </c>
      <c r="C395" s="17">
        <f t="shared" si="29"/>
        <v>11000</v>
      </c>
      <c r="D395" s="47">
        <v>44715</v>
      </c>
      <c r="E395" s="32" t="s">
        <v>11</v>
      </c>
      <c r="F395" s="32" t="s">
        <v>28</v>
      </c>
      <c r="H395" s="32"/>
      <c r="I395" s="17"/>
      <c r="J395" s="21" t="s">
        <v>30</v>
      </c>
    </row>
    <row r="396" spans="1:12" ht="12.75">
      <c r="A396" s="16" t="s">
        <v>1793</v>
      </c>
      <c r="B396" s="17">
        <v>50000</v>
      </c>
      <c r="C396" s="17">
        <f t="shared" si="29"/>
        <v>1375</v>
      </c>
      <c r="D396" s="47">
        <v>44715</v>
      </c>
      <c r="E396" s="32" t="s">
        <v>11</v>
      </c>
      <c r="F396" s="32" t="s">
        <v>28</v>
      </c>
      <c r="H396" s="32"/>
      <c r="I396" s="17"/>
      <c r="J396" s="21" t="s">
        <v>30</v>
      </c>
    </row>
    <row r="397" spans="1:12" ht="12.75">
      <c r="A397" s="16" t="s">
        <v>1794</v>
      </c>
      <c r="B397" s="17">
        <v>215000</v>
      </c>
      <c r="C397" s="17">
        <f t="shared" si="29"/>
        <v>5912.5</v>
      </c>
      <c r="D397" s="47">
        <v>44715</v>
      </c>
      <c r="E397" s="32" t="s">
        <v>11</v>
      </c>
      <c r="F397" s="32" t="s">
        <v>1448</v>
      </c>
      <c r="H397" s="32"/>
      <c r="I397" s="17"/>
      <c r="J397" s="32"/>
    </row>
    <row r="398" spans="1:12" ht="12.75">
      <c r="A398" s="16" t="s">
        <v>4640</v>
      </c>
      <c r="B398" s="17">
        <v>50000</v>
      </c>
      <c r="C398" s="17">
        <f t="shared" si="29"/>
        <v>1375</v>
      </c>
      <c r="D398" s="47">
        <v>44718</v>
      </c>
      <c r="E398" s="32" t="s">
        <v>4641</v>
      </c>
      <c r="F398" s="32" t="s">
        <v>28</v>
      </c>
      <c r="H398" s="17">
        <v>337.5</v>
      </c>
      <c r="I398" s="17" t="s">
        <v>4642</v>
      </c>
      <c r="J398" s="21" t="s">
        <v>30</v>
      </c>
    </row>
    <row r="399" spans="1:12" ht="12.75">
      <c r="A399" s="16" t="s">
        <v>1795</v>
      </c>
      <c r="B399" s="17">
        <v>150000</v>
      </c>
      <c r="C399" s="17">
        <f t="shared" si="29"/>
        <v>4125</v>
      </c>
      <c r="D399" s="47">
        <v>44718</v>
      </c>
      <c r="E399" s="32" t="s">
        <v>11</v>
      </c>
      <c r="F399" s="32" t="s">
        <v>28</v>
      </c>
      <c r="H399" s="32"/>
      <c r="I399" s="17"/>
      <c r="J399" s="32"/>
    </row>
    <row r="400" spans="1:12" ht="12.75">
      <c r="A400" s="16" t="s">
        <v>1796</v>
      </c>
      <c r="B400" s="17">
        <v>200000</v>
      </c>
      <c r="C400" s="17">
        <f t="shared" si="29"/>
        <v>5500</v>
      </c>
      <c r="D400" s="47">
        <v>44718</v>
      </c>
      <c r="E400" s="32" t="s">
        <v>40</v>
      </c>
      <c r="F400" s="32" t="s">
        <v>1448</v>
      </c>
      <c r="H400" s="32"/>
      <c r="I400" s="17"/>
      <c r="J400" s="32"/>
    </row>
    <row r="401" spans="1:10" ht="12.75">
      <c r="A401" s="16" t="s">
        <v>1797</v>
      </c>
      <c r="B401" s="17">
        <v>125000</v>
      </c>
      <c r="C401" s="17">
        <f t="shared" si="29"/>
        <v>3437.5</v>
      </c>
      <c r="D401" s="47">
        <v>44718</v>
      </c>
      <c r="E401" s="32" t="s">
        <v>4602</v>
      </c>
      <c r="F401" s="32" t="s">
        <v>1448</v>
      </c>
      <c r="H401" s="32"/>
      <c r="I401" s="17" t="s">
        <v>4643</v>
      </c>
      <c r="J401" s="32"/>
    </row>
    <row r="402" spans="1:10" ht="12.75">
      <c r="A402" s="16" t="s">
        <v>1798</v>
      </c>
      <c r="B402" s="17">
        <v>305000</v>
      </c>
      <c r="C402" s="17">
        <f t="shared" si="29"/>
        <v>8387.5</v>
      </c>
      <c r="D402" s="47">
        <v>44719</v>
      </c>
      <c r="E402" s="32" t="s">
        <v>11</v>
      </c>
      <c r="F402" s="32" t="s">
        <v>1448</v>
      </c>
      <c r="H402" s="32"/>
      <c r="I402" s="17"/>
      <c r="J402" s="32"/>
    </row>
    <row r="403" spans="1:10" ht="12.75">
      <c r="A403" s="16" t="s">
        <v>1663</v>
      </c>
      <c r="B403" s="17">
        <v>815000</v>
      </c>
      <c r="C403" s="17">
        <f t="shared" si="29"/>
        <v>22412.5</v>
      </c>
      <c r="D403" s="47">
        <v>44719</v>
      </c>
      <c r="E403" s="32" t="s">
        <v>11</v>
      </c>
      <c r="F403" s="32" t="s">
        <v>1448</v>
      </c>
      <c r="H403" s="32"/>
      <c r="I403" s="17"/>
      <c r="J403" s="32"/>
    </row>
    <row r="404" spans="1:10" ht="12.75">
      <c r="A404" s="16" t="s">
        <v>1471</v>
      </c>
      <c r="B404" s="17">
        <v>70000</v>
      </c>
      <c r="C404" s="17">
        <f t="shared" si="29"/>
        <v>1925</v>
      </c>
      <c r="D404" s="47">
        <v>44719</v>
      </c>
      <c r="E404" s="32" t="s">
        <v>4023</v>
      </c>
      <c r="F404" s="32" t="s">
        <v>1448</v>
      </c>
      <c r="H404" s="32"/>
      <c r="I404" s="17"/>
      <c r="J404" s="32"/>
    </row>
    <row r="405" spans="1:10" ht="12.75">
      <c r="A405" s="16" t="s">
        <v>1799</v>
      </c>
      <c r="B405" s="17">
        <v>150000</v>
      </c>
      <c r="C405" s="17">
        <f t="shared" si="29"/>
        <v>4125</v>
      </c>
      <c r="D405" s="47">
        <v>44719</v>
      </c>
      <c r="E405" s="32" t="s">
        <v>11</v>
      </c>
      <c r="F405" s="32" t="s">
        <v>28</v>
      </c>
      <c r="H405" s="32"/>
      <c r="I405" s="17"/>
      <c r="J405" s="32"/>
    </row>
    <row r="406" spans="1:10" ht="12.75">
      <c r="A406" s="16" t="s">
        <v>1800</v>
      </c>
      <c r="B406" s="17">
        <v>67000</v>
      </c>
      <c r="C406" s="17">
        <f t="shared" si="29"/>
        <v>1842.5</v>
      </c>
      <c r="D406" s="47">
        <v>44719</v>
      </c>
      <c r="E406" s="32" t="s">
        <v>73</v>
      </c>
      <c r="F406" s="32" t="s">
        <v>1448</v>
      </c>
      <c r="H406" s="32"/>
      <c r="I406" s="17"/>
      <c r="J406" s="32"/>
    </row>
    <row r="407" spans="1:10" ht="12.75">
      <c r="A407" s="16" t="s">
        <v>1801</v>
      </c>
      <c r="B407" s="17">
        <v>225000</v>
      </c>
      <c r="C407" s="17">
        <f t="shared" si="29"/>
        <v>6187.5</v>
      </c>
      <c r="D407" s="47">
        <v>44719</v>
      </c>
      <c r="E407" s="32" t="s">
        <v>11</v>
      </c>
      <c r="F407" s="32" t="s">
        <v>1448</v>
      </c>
      <c r="H407" s="32"/>
      <c r="I407" s="17"/>
      <c r="J407" s="32"/>
    </row>
    <row r="408" spans="1:10" ht="12.75">
      <c r="A408" s="16" t="s">
        <v>1802</v>
      </c>
      <c r="B408" s="17">
        <v>675000</v>
      </c>
      <c r="C408" s="17">
        <f t="shared" si="29"/>
        <v>18562.5</v>
      </c>
      <c r="D408" s="47">
        <v>44720</v>
      </c>
      <c r="E408" s="32" t="s">
        <v>4023</v>
      </c>
      <c r="F408" s="32" t="s">
        <v>28</v>
      </c>
      <c r="H408" s="32"/>
      <c r="I408" s="17"/>
      <c r="J408" s="21" t="s">
        <v>30</v>
      </c>
    </row>
    <row r="409" spans="1:10" ht="12.75">
      <c r="A409" s="16" t="s">
        <v>1505</v>
      </c>
      <c r="B409" s="17">
        <v>150000</v>
      </c>
      <c r="C409" s="17">
        <f t="shared" si="29"/>
        <v>4125</v>
      </c>
      <c r="D409" s="47">
        <v>44720</v>
      </c>
      <c r="E409" s="32" t="s">
        <v>11</v>
      </c>
      <c r="F409" s="32" t="s">
        <v>1448</v>
      </c>
      <c r="H409" s="32"/>
      <c r="I409" s="17"/>
      <c r="J409" s="32"/>
    </row>
    <row r="410" spans="1:10" ht="12.75">
      <c r="A410" s="16" t="s">
        <v>1803</v>
      </c>
      <c r="B410" s="17">
        <v>200000</v>
      </c>
      <c r="C410" s="17">
        <f t="shared" si="29"/>
        <v>5500</v>
      </c>
      <c r="D410" s="47">
        <v>44720</v>
      </c>
      <c r="E410" s="32" t="s">
        <v>4023</v>
      </c>
      <c r="F410" s="32" t="s">
        <v>28</v>
      </c>
      <c r="H410" s="32"/>
      <c r="I410" s="17"/>
      <c r="J410" s="21" t="s">
        <v>30</v>
      </c>
    </row>
    <row r="411" spans="1:10" ht="12.75">
      <c r="A411" s="16" t="s">
        <v>1804</v>
      </c>
      <c r="B411" s="17">
        <v>300000</v>
      </c>
      <c r="C411" s="17">
        <f t="shared" si="29"/>
        <v>8250</v>
      </c>
      <c r="D411" s="47">
        <v>44720</v>
      </c>
      <c r="E411" s="32" t="s">
        <v>11</v>
      </c>
      <c r="F411" s="32" t="s">
        <v>1448</v>
      </c>
      <c r="H411" s="32"/>
      <c r="I411" s="17"/>
      <c r="J411" s="32"/>
    </row>
    <row r="412" spans="1:10" ht="12.75">
      <c r="A412" s="16" t="s">
        <v>1808</v>
      </c>
      <c r="B412" s="17">
        <v>10000</v>
      </c>
      <c r="C412" s="17">
        <f t="shared" si="29"/>
        <v>275</v>
      </c>
      <c r="D412" s="47">
        <v>44720</v>
      </c>
      <c r="E412" s="32" t="s">
        <v>11</v>
      </c>
      <c r="F412" s="32" t="s">
        <v>1448</v>
      </c>
      <c r="H412" s="32"/>
      <c r="I412" s="17"/>
      <c r="J412" s="32"/>
    </row>
    <row r="413" spans="1:10" ht="12.75">
      <c r="A413" s="16" t="s">
        <v>1467</v>
      </c>
      <c r="B413" s="17">
        <v>1520000</v>
      </c>
      <c r="C413" s="17">
        <f t="shared" si="29"/>
        <v>41800</v>
      </c>
      <c r="D413" s="47">
        <v>44721</v>
      </c>
      <c r="E413" s="32" t="s">
        <v>11</v>
      </c>
      <c r="F413" s="32" t="s">
        <v>1448</v>
      </c>
      <c r="H413" s="32"/>
      <c r="I413" s="17"/>
      <c r="J413" s="32"/>
    </row>
    <row r="414" spans="1:10" ht="12.75">
      <c r="A414" s="16" t="s">
        <v>1809</v>
      </c>
      <c r="B414" s="17">
        <v>270000</v>
      </c>
      <c r="C414" s="17">
        <f t="shared" si="29"/>
        <v>7425</v>
      </c>
      <c r="D414" s="47">
        <v>44721</v>
      </c>
      <c r="E414" s="32" t="s">
        <v>73</v>
      </c>
      <c r="F414" s="32" t="s">
        <v>1448</v>
      </c>
      <c r="H414" s="32"/>
      <c r="I414" s="17"/>
      <c r="J414" s="32"/>
    </row>
    <row r="415" spans="1:10" ht="12.75">
      <c r="A415" s="16" t="s">
        <v>4644</v>
      </c>
      <c r="B415" s="17">
        <v>325000</v>
      </c>
      <c r="C415" s="17">
        <f t="shared" si="29"/>
        <v>8937.5</v>
      </c>
      <c r="D415" s="47">
        <v>44721</v>
      </c>
      <c r="E415" s="32" t="s">
        <v>4645</v>
      </c>
      <c r="F415" s="32" t="s">
        <v>28</v>
      </c>
      <c r="H415" s="32"/>
      <c r="I415" s="17"/>
      <c r="J415" s="21" t="s">
        <v>30</v>
      </c>
    </row>
    <row r="416" spans="1:10" ht="12.75">
      <c r="A416" s="16" t="s">
        <v>1810</v>
      </c>
      <c r="B416" s="17">
        <v>40000</v>
      </c>
      <c r="C416" s="17">
        <f t="shared" si="29"/>
        <v>1100</v>
      </c>
      <c r="D416" s="47">
        <v>44721</v>
      </c>
      <c r="E416" s="32" t="s">
        <v>11</v>
      </c>
      <c r="F416" s="32" t="s">
        <v>28</v>
      </c>
      <c r="H416" s="32"/>
      <c r="I416" s="17"/>
      <c r="J416" s="32"/>
    </row>
    <row r="417" spans="1:10" ht="12.75">
      <c r="A417" s="16" t="s">
        <v>1805</v>
      </c>
      <c r="B417" s="17">
        <v>40000</v>
      </c>
      <c r="C417" s="17">
        <f t="shared" si="29"/>
        <v>1100</v>
      </c>
      <c r="D417" s="47">
        <v>44721</v>
      </c>
      <c r="E417" s="32" t="s">
        <v>11</v>
      </c>
      <c r="F417" s="32" t="s">
        <v>28</v>
      </c>
      <c r="H417" s="32"/>
      <c r="I417" s="17"/>
      <c r="J417" s="32"/>
    </row>
    <row r="418" spans="1:10" ht="12.75">
      <c r="A418" s="16" t="s">
        <v>1806</v>
      </c>
      <c r="B418" s="17">
        <v>20000</v>
      </c>
      <c r="C418" s="17">
        <f t="shared" si="29"/>
        <v>550</v>
      </c>
      <c r="D418" s="47">
        <v>44721</v>
      </c>
      <c r="E418" s="32" t="s">
        <v>11</v>
      </c>
      <c r="F418" s="32" t="s">
        <v>28</v>
      </c>
      <c r="H418" s="32"/>
      <c r="I418" s="17"/>
      <c r="J418" s="32"/>
    </row>
    <row r="419" spans="1:10" ht="12.75">
      <c r="A419" s="16" t="s">
        <v>1807</v>
      </c>
      <c r="B419" s="17">
        <v>5000</v>
      </c>
      <c r="C419" s="17">
        <f t="shared" si="29"/>
        <v>137.5</v>
      </c>
      <c r="D419" s="47">
        <v>44721</v>
      </c>
      <c r="E419" s="32" t="s">
        <v>11</v>
      </c>
      <c r="F419" s="32" t="s">
        <v>1448</v>
      </c>
      <c r="H419" s="32"/>
      <c r="I419" s="17"/>
      <c r="J419" s="32"/>
    </row>
    <row r="420" spans="1:10" ht="12.75">
      <c r="A420" s="16" t="s">
        <v>1579</v>
      </c>
      <c r="B420" s="17">
        <v>28000</v>
      </c>
      <c r="C420" s="17">
        <f t="shared" si="29"/>
        <v>770</v>
      </c>
      <c r="D420" s="47">
        <v>44721</v>
      </c>
      <c r="E420" s="32" t="s">
        <v>11</v>
      </c>
      <c r="F420" s="32" t="s">
        <v>1448</v>
      </c>
      <c r="H420" s="32"/>
      <c r="I420" s="17"/>
      <c r="J420" s="32"/>
    </row>
    <row r="421" spans="1:10" ht="12.75">
      <c r="A421" s="16" t="s">
        <v>1480</v>
      </c>
      <c r="B421" s="17">
        <v>300000</v>
      </c>
      <c r="C421" s="17">
        <v>0</v>
      </c>
      <c r="D421" s="47">
        <v>44721</v>
      </c>
      <c r="E421" s="32" t="s">
        <v>11</v>
      </c>
      <c r="F421" s="32" t="s">
        <v>1448</v>
      </c>
      <c r="H421" s="32"/>
      <c r="I421" s="17" t="s">
        <v>4636</v>
      </c>
      <c r="J421" s="32"/>
    </row>
    <row r="422" spans="1:10" ht="12.75">
      <c r="A422" s="16" t="s">
        <v>1811</v>
      </c>
      <c r="B422" s="17">
        <v>122000</v>
      </c>
      <c r="C422" s="17">
        <f>0.0275*B422</f>
        <v>3355</v>
      </c>
      <c r="D422" s="47">
        <v>44721</v>
      </c>
      <c r="E422" s="32" t="s">
        <v>73</v>
      </c>
      <c r="F422" s="32" t="s">
        <v>1448</v>
      </c>
      <c r="H422" s="32"/>
      <c r="I422" s="17"/>
      <c r="J422" s="32"/>
    </row>
    <row r="423" spans="1:10" ht="12.75">
      <c r="A423" s="16" t="s">
        <v>1814</v>
      </c>
      <c r="B423" s="17">
        <v>250000</v>
      </c>
      <c r="C423" s="17">
        <f>0.0275*187500</f>
        <v>5156.25</v>
      </c>
      <c r="D423" s="47">
        <v>44721</v>
      </c>
      <c r="E423" s="32" t="s">
        <v>11</v>
      </c>
      <c r="F423" s="32" t="s">
        <v>28</v>
      </c>
      <c r="H423" s="32"/>
      <c r="I423" s="17"/>
      <c r="J423" s="32"/>
    </row>
    <row r="424" spans="1:10" ht="12.75">
      <c r="A424" s="16" t="s">
        <v>1818</v>
      </c>
      <c r="B424" s="17">
        <v>30000</v>
      </c>
      <c r="C424" s="17">
        <f t="shared" ref="C424:C487" si="30">0.0275*B424</f>
        <v>825</v>
      </c>
      <c r="D424" s="47">
        <v>44721</v>
      </c>
      <c r="E424" s="32" t="s">
        <v>11</v>
      </c>
      <c r="F424" s="32" t="s">
        <v>28</v>
      </c>
      <c r="H424" s="32"/>
      <c r="I424" s="17"/>
      <c r="J424" s="32"/>
    </row>
    <row r="425" spans="1:10" ht="12.75">
      <c r="A425" s="16" t="s">
        <v>1819</v>
      </c>
      <c r="B425" s="17">
        <v>1300000</v>
      </c>
      <c r="C425" s="17">
        <f t="shared" si="30"/>
        <v>35750</v>
      </c>
      <c r="D425" s="47">
        <v>44722</v>
      </c>
      <c r="E425" s="32" t="s">
        <v>4023</v>
      </c>
      <c r="F425" s="32" t="s">
        <v>28</v>
      </c>
      <c r="H425" s="32"/>
      <c r="I425" s="17"/>
      <c r="J425" s="32"/>
    </row>
    <row r="426" spans="1:10" ht="12.75">
      <c r="A426" s="16" t="s">
        <v>1820</v>
      </c>
      <c r="B426" s="17">
        <v>200000</v>
      </c>
      <c r="C426" s="17">
        <f t="shared" si="30"/>
        <v>5500</v>
      </c>
      <c r="D426" s="47">
        <v>44722</v>
      </c>
      <c r="E426" s="32" t="s">
        <v>4023</v>
      </c>
      <c r="F426" s="32" t="s">
        <v>28</v>
      </c>
      <c r="H426" s="32"/>
      <c r="I426" s="17"/>
      <c r="J426" s="21" t="s">
        <v>30</v>
      </c>
    </row>
    <row r="427" spans="1:10" ht="12.75">
      <c r="A427" s="16" t="s">
        <v>1821</v>
      </c>
      <c r="B427" s="17">
        <v>215000</v>
      </c>
      <c r="C427" s="17">
        <f t="shared" si="30"/>
        <v>5912.5</v>
      </c>
      <c r="D427" s="47">
        <v>44722</v>
      </c>
      <c r="E427" s="32" t="s">
        <v>11</v>
      </c>
      <c r="F427" s="32" t="s">
        <v>28</v>
      </c>
      <c r="H427" s="32"/>
      <c r="I427" s="17"/>
      <c r="J427" s="32"/>
    </row>
    <row r="428" spans="1:10" ht="12.75">
      <c r="A428" s="16" t="s">
        <v>1822</v>
      </c>
      <c r="B428" s="17">
        <v>125000</v>
      </c>
      <c r="C428" s="17">
        <f t="shared" si="30"/>
        <v>3437.5</v>
      </c>
      <c r="D428" s="47">
        <v>44722</v>
      </c>
      <c r="E428" s="32" t="s">
        <v>197</v>
      </c>
      <c r="F428" s="32" t="s">
        <v>1448</v>
      </c>
      <c r="H428" s="32"/>
      <c r="I428" s="17"/>
      <c r="J428" s="32"/>
    </row>
    <row r="429" spans="1:10" ht="12.75">
      <c r="A429" s="16" t="s">
        <v>1823</v>
      </c>
      <c r="B429" s="17">
        <v>225000</v>
      </c>
      <c r="C429" s="17">
        <f t="shared" si="30"/>
        <v>6187.5</v>
      </c>
      <c r="D429" s="47">
        <v>44722</v>
      </c>
      <c r="E429" s="32" t="s">
        <v>11</v>
      </c>
      <c r="F429" s="32" t="s">
        <v>1448</v>
      </c>
      <c r="H429" s="32"/>
      <c r="I429" s="17"/>
      <c r="J429" s="32"/>
    </row>
    <row r="430" spans="1:10" ht="12.75">
      <c r="A430" s="16" t="s">
        <v>1824</v>
      </c>
      <c r="B430" s="17">
        <v>100000</v>
      </c>
      <c r="C430" s="17">
        <f t="shared" si="30"/>
        <v>2750</v>
      </c>
      <c r="D430" s="47">
        <v>44725</v>
      </c>
      <c r="E430" s="32" t="s">
        <v>11</v>
      </c>
      <c r="F430" s="32" t="s">
        <v>28</v>
      </c>
      <c r="H430" s="32"/>
      <c r="I430" s="17"/>
      <c r="J430" s="21" t="s">
        <v>30</v>
      </c>
    </row>
    <row r="431" spans="1:10" ht="12.75">
      <c r="A431" s="16" t="s">
        <v>1661</v>
      </c>
      <c r="B431" s="17">
        <v>1100000</v>
      </c>
      <c r="C431" s="17">
        <f t="shared" si="30"/>
        <v>30250</v>
      </c>
      <c r="D431" s="47">
        <v>44725</v>
      </c>
      <c r="E431" s="32" t="s">
        <v>11</v>
      </c>
      <c r="F431" s="32" t="s">
        <v>1448</v>
      </c>
      <c r="H431" s="32"/>
      <c r="I431" s="17"/>
      <c r="J431" s="32"/>
    </row>
    <row r="432" spans="1:10" ht="12.75">
      <c r="A432" s="16" t="s">
        <v>4575</v>
      </c>
      <c r="B432" s="17">
        <v>300000</v>
      </c>
      <c r="C432" s="17">
        <f t="shared" si="30"/>
        <v>8250</v>
      </c>
      <c r="D432" s="47">
        <v>44726</v>
      </c>
      <c r="E432" s="32" t="s">
        <v>4576</v>
      </c>
      <c r="F432" s="32" t="s">
        <v>1448</v>
      </c>
      <c r="H432" s="17">
        <v>2775</v>
      </c>
      <c r="I432" s="17" t="s">
        <v>4646</v>
      </c>
      <c r="J432" s="32"/>
    </row>
    <row r="433" spans="1:10" ht="12.75">
      <c r="A433" s="16" t="s">
        <v>1833</v>
      </c>
      <c r="B433" s="17">
        <v>500000</v>
      </c>
      <c r="C433" s="17">
        <f t="shared" si="30"/>
        <v>13750</v>
      </c>
      <c r="D433" s="47">
        <v>44726</v>
      </c>
      <c r="E433" s="32" t="s">
        <v>11</v>
      </c>
      <c r="F433" s="32" t="s">
        <v>28</v>
      </c>
      <c r="H433" s="32"/>
      <c r="I433" s="17"/>
      <c r="J433" s="21" t="s">
        <v>30</v>
      </c>
    </row>
    <row r="434" spans="1:10" ht="12.75">
      <c r="A434" s="16" t="s">
        <v>1651</v>
      </c>
      <c r="B434" s="17">
        <v>55000</v>
      </c>
      <c r="C434" s="17">
        <f t="shared" si="30"/>
        <v>1512.5</v>
      </c>
      <c r="D434" s="47">
        <v>44726</v>
      </c>
      <c r="E434" s="32" t="s">
        <v>11</v>
      </c>
      <c r="F434" s="32" t="s">
        <v>1448</v>
      </c>
      <c r="H434" s="32"/>
      <c r="I434" s="17"/>
      <c r="J434" s="32"/>
    </row>
    <row r="435" spans="1:10" ht="12.75">
      <c r="A435" s="16" t="s">
        <v>1825</v>
      </c>
      <c r="B435" s="17">
        <v>1000000</v>
      </c>
      <c r="C435" s="17">
        <f t="shared" si="30"/>
        <v>27500</v>
      </c>
      <c r="D435" s="47">
        <v>44726</v>
      </c>
      <c r="E435" s="32" t="s">
        <v>11</v>
      </c>
      <c r="F435" s="32" t="s">
        <v>28</v>
      </c>
      <c r="H435" s="32"/>
      <c r="I435" s="17"/>
      <c r="J435" s="21" t="s">
        <v>30</v>
      </c>
    </row>
    <row r="436" spans="1:10" ht="12.75">
      <c r="A436" s="16" t="s">
        <v>1659</v>
      </c>
      <c r="B436" s="17">
        <v>25000</v>
      </c>
      <c r="C436" s="17">
        <f t="shared" si="30"/>
        <v>687.5</v>
      </c>
      <c r="D436" s="47">
        <v>44726</v>
      </c>
      <c r="E436" s="32" t="s">
        <v>11</v>
      </c>
      <c r="F436" s="32" t="s">
        <v>1448</v>
      </c>
      <c r="H436" s="32"/>
      <c r="I436" s="17"/>
      <c r="J436" s="32"/>
    </row>
    <row r="437" spans="1:10" ht="12.75">
      <c r="A437" s="16" t="s">
        <v>1826</v>
      </c>
      <c r="B437" s="17">
        <v>100000</v>
      </c>
      <c r="C437" s="17">
        <f t="shared" si="30"/>
        <v>2750</v>
      </c>
      <c r="D437" s="47">
        <v>44727</v>
      </c>
      <c r="E437" s="32" t="s">
        <v>11</v>
      </c>
      <c r="F437" s="32" t="s">
        <v>1448</v>
      </c>
      <c r="H437" s="32"/>
      <c r="I437" s="17"/>
      <c r="J437" s="32"/>
    </row>
    <row r="438" spans="1:10" ht="12.75">
      <c r="A438" s="16" t="s">
        <v>1827</v>
      </c>
      <c r="B438" s="17">
        <v>125000</v>
      </c>
      <c r="C438" s="17">
        <f t="shared" si="30"/>
        <v>3437.5</v>
      </c>
      <c r="D438" s="47">
        <v>44727</v>
      </c>
      <c r="E438" s="32" t="s">
        <v>11</v>
      </c>
      <c r="F438" s="32" t="s">
        <v>28</v>
      </c>
      <c r="H438" s="32"/>
      <c r="I438" s="17"/>
      <c r="J438" s="21" t="s">
        <v>30</v>
      </c>
    </row>
    <row r="439" spans="1:10" ht="12.75">
      <c r="A439" s="16" t="s">
        <v>1828</v>
      </c>
      <c r="B439" s="17">
        <v>100000</v>
      </c>
      <c r="C439" s="17">
        <f t="shared" si="30"/>
        <v>2750</v>
      </c>
      <c r="D439" s="47">
        <v>44727</v>
      </c>
      <c r="E439" s="32" t="s">
        <v>73</v>
      </c>
      <c r="F439" s="32" t="s">
        <v>1448</v>
      </c>
      <c r="H439" s="32"/>
      <c r="I439" s="17"/>
      <c r="J439" s="32"/>
    </row>
    <row r="440" spans="1:10" ht="12.75">
      <c r="A440" s="16" t="s">
        <v>1829</v>
      </c>
      <c r="B440" s="17">
        <v>112500</v>
      </c>
      <c r="C440" s="17">
        <f t="shared" si="30"/>
        <v>3093.75</v>
      </c>
      <c r="D440" s="47">
        <v>44728</v>
      </c>
      <c r="E440" s="32" t="s">
        <v>11</v>
      </c>
      <c r="F440" s="32" t="s">
        <v>1448</v>
      </c>
      <c r="H440" s="32"/>
      <c r="I440" s="17"/>
      <c r="J440" s="32"/>
    </row>
    <row r="441" spans="1:10" ht="12.75">
      <c r="A441" s="16" t="s">
        <v>1587</v>
      </c>
      <c r="B441" s="17">
        <v>88000</v>
      </c>
      <c r="C441" s="17">
        <f t="shared" si="30"/>
        <v>2420</v>
      </c>
      <c r="D441" s="47">
        <v>44728</v>
      </c>
      <c r="E441" s="32" t="s">
        <v>11</v>
      </c>
      <c r="F441" s="32" t="s">
        <v>1448</v>
      </c>
      <c r="H441" s="32"/>
      <c r="I441" s="17"/>
      <c r="J441" s="32"/>
    </row>
    <row r="442" spans="1:10" ht="12.75">
      <c r="A442" s="16" t="s">
        <v>1830</v>
      </c>
      <c r="B442" s="17">
        <v>50000</v>
      </c>
      <c r="C442" s="17">
        <f t="shared" si="30"/>
        <v>1375</v>
      </c>
      <c r="D442" s="47">
        <v>44728</v>
      </c>
      <c r="E442" s="32" t="s">
        <v>11</v>
      </c>
      <c r="F442" s="32" t="s">
        <v>28</v>
      </c>
      <c r="H442" s="32"/>
      <c r="I442" s="17"/>
      <c r="J442" s="21" t="s">
        <v>30</v>
      </c>
    </row>
    <row r="443" spans="1:10" ht="12.75">
      <c r="A443" s="16" t="s">
        <v>1831</v>
      </c>
      <c r="B443" s="17">
        <v>65000</v>
      </c>
      <c r="C443" s="17">
        <f t="shared" si="30"/>
        <v>1787.5</v>
      </c>
      <c r="D443" s="47">
        <v>44728</v>
      </c>
      <c r="E443" s="32" t="s">
        <v>11</v>
      </c>
      <c r="F443" s="32" t="s">
        <v>1448</v>
      </c>
      <c r="H443" s="32"/>
      <c r="I443" s="17"/>
      <c r="J443" s="32"/>
    </row>
    <row r="444" spans="1:10" ht="12.75">
      <c r="A444" s="16" t="s">
        <v>1832</v>
      </c>
      <c r="B444" s="17">
        <v>400000</v>
      </c>
      <c r="C444" s="17">
        <f t="shared" si="30"/>
        <v>11000</v>
      </c>
      <c r="D444" s="47">
        <v>44728</v>
      </c>
      <c r="E444" s="32" t="s">
        <v>11</v>
      </c>
      <c r="F444" s="32" t="s">
        <v>1448</v>
      </c>
      <c r="H444" s="32"/>
      <c r="I444" s="17"/>
      <c r="J444" s="32"/>
    </row>
    <row r="445" spans="1:10" ht="12.75">
      <c r="A445" s="16" t="s">
        <v>1721</v>
      </c>
      <c r="B445" s="17">
        <v>505000</v>
      </c>
      <c r="C445" s="17">
        <f t="shared" si="30"/>
        <v>13887.5</v>
      </c>
      <c r="D445" s="47">
        <v>44729</v>
      </c>
      <c r="E445" s="32" t="s">
        <v>11</v>
      </c>
      <c r="F445" s="32" t="s">
        <v>1448</v>
      </c>
      <c r="H445" s="32"/>
      <c r="I445" s="17"/>
      <c r="J445" s="32"/>
    </row>
    <row r="446" spans="1:10" ht="12.75">
      <c r="A446" s="16" t="s">
        <v>1812</v>
      </c>
      <c r="B446" s="17">
        <v>10000</v>
      </c>
      <c r="C446" s="17">
        <f t="shared" si="30"/>
        <v>275</v>
      </c>
      <c r="D446" s="47">
        <v>44721</v>
      </c>
      <c r="E446" s="32" t="s">
        <v>11</v>
      </c>
      <c r="F446" s="32" t="s">
        <v>1448</v>
      </c>
      <c r="H446" s="32"/>
      <c r="I446" s="17"/>
      <c r="J446" s="32"/>
    </row>
    <row r="447" spans="1:10" ht="12.75">
      <c r="A447" s="16" t="s">
        <v>1813</v>
      </c>
      <c r="B447" s="17">
        <v>15000</v>
      </c>
      <c r="C447" s="17">
        <f t="shared" si="30"/>
        <v>412.5</v>
      </c>
      <c r="D447" s="47">
        <v>44721</v>
      </c>
      <c r="E447" s="32" t="s">
        <v>11</v>
      </c>
      <c r="F447" s="32" t="s">
        <v>1448</v>
      </c>
      <c r="H447" s="32"/>
      <c r="I447" s="17"/>
      <c r="J447" s="32"/>
    </row>
    <row r="448" spans="1:10" ht="12.75">
      <c r="A448" s="16" t="s">
        <v>1560</v>
      </c>
      <c r="B448" s="17">
        <v>33000</v>
      </c>
      <c r="C448" s="17">
        <f t="shared" si="30"/>
        <v>907.5</v>
      </c>
      <c r="D448" s="47">
        <v>44721</v>
      </c>
      <c r="E448" s="32" t="s">
        <v>11</v>
      </c>
      <c r="F448" s="32" t="s">
        <v>1448</v>
      </c>
      <c r="H448" s="32"/>
      <c r="I448" s="17"/>
      <c r="J448" s="32"/>
    </row>
    <row r="449" spans="1:10" ht="12.75">
      <c r="A449" s="16" t="s">
        <v>1815</v>
      </c>
      <c r="B449" s="17">
        <v>55000</v>
      </c>
      <c r="C449" s="17">
        <f t="shared" si="30"/>
        <v>1512.5</v>
      </c>
      <c r="D449" s="47">
        <v>44721</v>
      </c>
      <c r="E449" s="32" t="s">
        <v>11</v>
      </c>
      <c r="F449" s="32" t="s">
        <v>1448</v>
      </c>
      <c r="H449" s="32"/>
      <c r="I449" s="17"/>
      <c r="J449" s="32"/>
    </row>
    <row r="450" spans="1:10" ht="12.75">
      <c r="A450" s="16" t="s">
        <v>1816</v>
      </c>
      <c r="B450" s="17">
        <v>120000</v>
      </c>
      <c r="C450" s="17">
        <f t="shared" si="30"/>
        <v>3300</v>
      </c>
      <c r="D450" s="47">
        <v>44721</v>
      </c>
      <c r="E450" s="32" t="s">
        <v>11</v>
      </c>
      <c r="F450" s="32" t="s">
        <v>1448</v>
      </c>
      <c r="H450" s="32"/>
      <c r="I450" s="17"/>
      <c r="J450" s="32"/>
    </row>
    <row r="451" spans="1:10" ht="12.75">
      <c r="A451" s="16" t="s">
        <v>1817</v>
      </c>
      <c r="B451" s="17">
        <v>40000</v>
      </c>
      <c r="C451" s="17">
        <f t="shared" si="30"/>
        <v>1100</v>
      </c>
      <c r="D451" s="47">
        <v>44721</v>
      </c>
      <c r="E451" s="32" t="s">
        <v>11</v>
      </c>
      <c r="F451" s="32" t="s">
        <v>1448</v>
      </c>
      <c r="H451" s="32"/>
      <c r="I451" s="17"/>
      <c r="J451" s="32"/>
    </row>
    <row r="452" spans="1:10" ht="12.75">
      <c r="A452" s="16" t="s">
        <v>1834</v>
      </c>
      <c r="B452" s="17">
        <v>50000</v>
      </c>
      <c r="C452" s="17">
        <f t="shared" si="30"/>
        <v>1375</v>
      </c>
      <c r="D452" s="47">
        <v>44733</v>
      </c>
      <c r="E452" s="32" t="s">
        <v>11</v>
      </c>
      <c r="F452" s="32" t="s">
        <v>1448</v>
      </c>
      <c r="H452" s="32"/>
      <c r="I452" s="17"/>
      <c r="J452" s="32"/>
    </row>
    <row r="453" spans="1:10" ht="12.75">
      <c r="A453" s="16" t="s">
        <v>1779</v>
      </c>
      <c r="B453" s="17">
        <v>20000</v>
      </c>
      <c r="C453" s="17">
        <f t="shared" si="30"/>
        <v>550</v>
      </c>
      <c r="D453" s="47">
        <v>44733</v>
      </c>
      <c r="E453" s="32" t="s">
        <v>11</v>
      </c>
      <c r="F453" s="32" t="s">
        <v>28</v>
      </c>
      <c r="H453" s="32"/>
      <c r="I453" s="17"/>
      <c r="J453" s="32"/>
    </row>
    <row r="454" spans="1:10" ht="12.75">
      <c r="A454" s="16" t="s">
        <v>1463</v>
      </c>
      <c r="B454" s="17">
        <v>220000</v>
      </c>
      <c r="C454" s="17">
        <f t="shared" si="30"/>
        <v>6050</v>
      </c>
      <c r="D454" s="47">
        <v>44733</v>
      </c>
      <c r="E454" s="32" t="s">
        <v>11</v>
      </c>
      <c r="F454" s="32" t="s">
        <v>1448</v>
      </c>
      <c r="H454" s="32"/>
      <c r="I454" s="17"/>
      <c r="J454" s="32"/>
    </row>
    <row r="455" spans="1:10" ht="12.75">
      <c r="A455" s="16" t="s">
        <v>1506</v>
      </c>
      <c r="B455" s="17">
        <v>250000</v>
      </c>
      <c r="C455" s="17">
        <f t="shared" si="30"/>
        <v>6875</v>
      </c>
      <c r="D455" s="47">
        <v>44734</v>
      </c>
      <c r="E455" s="32" t="s">
        <v>11</v>
      </c>
      <c r="F455" s="32" t="s">
        <v>1448</v>
      </c>
      <c r="H455" s="32"/>
      <c r="I455" s="17"/>
      <c r="J455" s="32"/>
    </row>
    <row r="456" spans="1:10" ht="12.75">
      <c r="A456" s="16" t="s">
        <v>1835</v>
      </c>
      <c r="B456" s="17">
        <v>200000</v>
      </c>
      <c r="C456" s="17">
        <f t="shared" si="30"/>
        <v>5500</v>
      </c>
      <c r="D456" s="47">
        <v>44734</v>
      </c>
      <c r="E456" s="32" t="s">
        <v>11</v>
      </c>
      <c r="F456" s="32" t="s">
        <v>28</v>
      </c>
      <c r="H456" s="32"/>
      <c r="I456" s="17"/>
      <c r="J456" s="21" t="s">
        <v>30</v>
      </c>
    </row>
    <row r="457" spans="1:10" ht="12.75">
      <c r="A457" s="16" t="s">
        <v>4647</v>
      </c>
      <c r="B457" s="17">
        <v>1500000</v>
      </c>
      <c r="C457" s="17">
        <f t="shared" si="30"/>
        <v>41250</v>
      </c>
      <c r="D457" s="47">
        <v>44734</v>
      </c>
      <c r="E457" s="32" t="s">
        <v>4637</v>
      </c>
      <c r="F457" s="32" t="s">
        <v>28</v>
      </c>
      <c r="H457" s="17">
        <v>5625</v>
      </c>
      <c r="I457" s="17" t="s">
        <v>4648</v>
      </c>
      <c r="J457" s="21" t="s">
        <v>30</v>
      </c>
    </row>
    <row r="458" spans="1:10" ht="12.75">
      <c r="A458" s="16" t="s">
        <v>1836</v>
      </c>
      <c r="B458" s="17">
        <v>300000</v>
      </c>
      <c r="C458" s="17">
        <f t="shared" si="30"/>
        <v>8250</v>
      </c>
      <c r="D458" s="47">
        <v>44734</v>
      </c>
      <c r="E458" s="32" t="s">
        <v>11</v>
      </c>
      <c r="F458" s="32" t="s">
        <v>28</v>
      </c>
      <c r="H458" s="32"/>
      <c r="I458" s="17"/>
      <c r="J458" s="21" t="s">
        <v>30</v>
      </c>
    </row>
    <row r="459" spans="1:10" ht="12.75">
      <c r="A459" s="16" t="s">
        <v>1837</v>
      </c>
      <c r="B459" s="17">
        <v>100000</v>
      </c>
      <c r="C459" s="17">
        <f t="shared" si="30"/>
        <v>2750</v>
      </c>
      <c r="D459" s="47">
        <v>44734</v>
      </c>
      <c r="E459" s="32" t="s">
        <v>4023</v>
      </c>
      <c r="F459" s="32" t="s">
        <v>28</v>
      </c>
      <c r="H459" s="32"/>
      <c r="I459" s="17"/>
      <c r="J459" s="21" t="s">
        <v>30</v>
      </c>
    </row>
    <row r="460" spans="1:10" ht="12.75">
      <c r="A460" s="16" t="s">
        <v>1839</v>
      </c>
      <c r="B460" s="17">
        <v>25000</v>
      </c>
      <c r="C460" s="17">
        <f t="shared" si="30"/>
        <v>687.5</v>
      </c>
      <c r="D460" s="47">
        <v>44734</v>
      </c>
      <c r="E460" s="32" t="s">
        <v>11</v>
      </c>
      <c r="F460" s="32" t="s">
        <v>28</v>
      </c>
      <c r="H460" s="32"/>
      <c r="I460" s="17"/>
      <c r="J460" s="32"/>
    </row>
    <row r="461" spans="1:10" ht="12.75">
      <c r="A461" s="16" t="s">
        <v>4649</v>
      </c>
      <c r="B461" s="17">
        <v>375000</v>
      </c>
      <c r="C461" s="17">
        <f t="shared" si="30"/>
        <v>10312.5</v>
      </c>
      <c r="D461" s="47">
        <v>44734</v>
      </c>
      <c r="E461" s="32" t="s">
        <v>4650</v>
      </c>
      <c r="F461" s="32" t="s">
        <v>28</v>
      </c>
      <c r="H461" s="72">
        <v>1405.75</v>
      </c>
      <c r="I461" s="17" t="s">
        <v>4651</v>
      </c>
      <c r="J461" s="21" t="s">
        <v>30</v>
      </c>
    </row>
    <row r="462" spans="1:10" ht="12.75">
      <c r="A462" s="16" t="s">
        <v>1486</v>
      </c>
      <c r="B462" s="17">
        <v>575000</v>
      </c>
      <c r="C462" s="17">
        <f t="shared" si="30"/>
        <v>15812.5</v>
      </c>
      <c r="D462" s="47">
        <v>44735</v>
      </c>
      <c r="E462" s="32" t="s">
        <v>11</v>
      </c>
      <c r="F462" s="32" t="s">
        <v>1448</v>
      </c>
      <c r="H462" s="32"/>
      <c r="I462" s="17"/>
      <c r="J462" s="32"/>
    </row>
    <row r="463" spans="1:10" ht="12.75">
      <c r="A463" s="16" t="s">
        <v>1838</v>
      </c>
      <c r="B463" s="17">
        <v>30000</v>
      </c>
      <c r="C463" s="17">
        <f t="shared" si="30"/>
        <v>825</v>
      </c>
      <c r="D463" s="47">
        <v>44735</v>
      </c>
      <c r="E463" s="32" t="s">
        <v>11</v>
      </c>
      <c r="F463" s="32" t="s">
        <v>28</v>
      </c>
      <c r="H463" s="32"/>
      <c r="I463" s="17"/>
      <c r="J463" s="32"/>
    </row>
    <row r="464" spans="1:10" ht="12.75">
      <c r="A464" s="16" t="s">
        <v>1840</v>
      </c>
      <c r="B464" s="17">
        <v>157500</v>
      </c>
      <c r="C464" s="17">
        <f t="shared" si="30"/>
        <v>4331.25</v>
      </c>
      <c r="D464" s="47">
        <v>44735</v>
      </c>
      <c r="E464" s="32" t="s">
        <v>11</v>
      </c>
      <c r="F464" s="32" t="s">
        <v>1448</v>
      </c>
      <c r="H464" s="32"/>
      <c r="I464" s="17"/>
      <c r="J464" s="32"/>
    </row>
    <row r="465" spans="1:10" ht="12.75">
      <c r="A465" s="16" t="s">
        <v>1841</v>
      </c>
      <c r="B465" s="17">
        <v>200000</v>
      </c>
      <c r="C465" s="17">
        <f t="shared" si="30"/>
        <v>5500</v>
      </c>
      <c r="D465" s="47">
        <v>44736</v>
      </c>
      <c r="E465" s="32" t="s">
        <v>4023</v>
      </c>
      <c r="F465" s="32" t="s">
        <v>28</v>
      </c>
      <c r="H465" s="32"/>
      <c r="I465" s="17"/>
      <c r="J465" s="21" t="s">
        <v>30</v>
      </c>
    </row>
    <row r="466" spans="1:10" ht="12.75">
      <c r="A466" s="16" t="s">
        <v>1842</v>
      </c>
      <c r="B466" s="17">
        <v>60000</v>
      </c>
      <c r="C466" s="17">
        <f t="shared" si="30"/>
        <v>1650</v>
      </c>
      <c r="D466" s="47">
        <v>44736</v>
      </c>
      <c r="E466" s="32" t="s">
        <v>11</v>
      </c>
      <c r="F466" s="32" t="s">
        <v>28</v>
      </c>
      <c r="H466" s="32"/>
      <c r="I466" s="17"/>
      <c r="J466" s="21" t="s">
        <v>30</v>
      </c>
    </row>
    <row r="467" spans="1:10" ht="12.75">
      <c r="A467" s="16" t="s">
        <v>1843</v>
      </c>
      <c r="B467" s="17">
        <v>27500</v>
      </c>
      <c r="C467" s="17">
        <f t="shared" si="30"/>
        <v>756.25</v>
      </c>
      <c r="D467" s="47">
        <v>44736</v>
      </c>
      <c r="E467" s="32" t="s">
        <v>11</v>
      </c>
      <c r="F467" s="32" t="s">
        <v>1448</v>
      </c>
      <c r="H467" s="32"/>
      <c r="I467" s="17"/>
      <c r="J467" s="32"/>
    </row>
    <row r="468" spans="1:10" ht="12.75">
      <c r="A468" s="16" t="s">
        <v>1592</v>
      </c>
      <c r="B468" s="17">
        <v>160000</v>
      </c>
      <c r="C468" s="17">
        <f t="shared" si="30"/>
        <v>4400</v>
      </c>
      <c r="D468" s="47">
        <v>44736</v>
      </c>
      <c r="E468" s="32" t="s">
        <v>11</v>
      </c>
      <c r="F468" s="32" t="s">
        <v>1448</v>
      </c>
      <c r="H468" s="32"/>
      <c r="I468" s="17"/>
      <c r="J468" s="32"/>
    </row>
    <row r="469" spans="1:10" ht="12.75">
      <c r="A469" s="16" t="s">
        <v>1844</v>
      </c>
      <c r="B469" s="17">
        <v>60000</v>
      </c>
      <c r="C469" s="17">
        <f t="shared" si="30"/>
        <v>1650</v>
      </c>
      <c r="D469" s="47">
        <v>44736</v>
      </c>
      <c r="E469" s="32" t="s">
        <v>11</v>
      </c>
      <c r="F469" s="32" t="s">
        <v>28</v>
      </c>
      <c r="H469" s="32"/>
      <c r="I469" s="17"/>
      <c r="J469" s="32"/>
    </row>
    <row r="470" spans="1:10" ht="12.75">
      <c r="A470" s="16" t="s">
        <v>1550</v>
      </c>
      <c r="B470" s="17">
        <v>1000000</v>
      </c>
      <c r="C470" s="17">
        <f t="shared" si="30"/>
        <v>27500</v>
      </c>
      <c r="D470" s="47">
        <v>44739</v>
      </c>
      <c r="E470" s="32" t="s">
        <v>3901</v>
      </c>
      <c r="F470" s="32" t="s">
        <v>1448</v>
      </c>
      <c r="H470" s="32"/>
      <c r="I470" s="17"/>
      <c r="J470" s="32"/>
    </row>
    <row r="471" spans="1:10" ht="12.75">
      <c r="A471" s="16" t="s">
        <v>1673</v>
      </c>
      <c r="B471" s="17">
        <v>650000</v>
      </c>
      <c r="C471" s="17">
        <f t="shared" si="30"/>
        <v>17875</v>
      </c>
      <c r="D471" s="47">
        <v>44740</v>
      </c>
      <c r="E471" s="32" t="s">
        <v>11</v>
      </c>
      <c r="F471" s="32" t="s">
        <v>1448</v>
      </c>
      <c r="H471" s="32"/>
      <c r="I471" s="17"/>
      <c r="J471" s="32"/>
    </row>
    <row r="472" spans="1:10" ht="12.75">
      <c r="A472" s="16" t="s">
        <v>1544</v>
      </c>
      <c r="B472" s="17">
        <v>270000</v>
      </c>
      <c r="C472" s="17">
        <f t="shared" si="30"/>
        <v>7425</v>
      </c>
      <c r="D472" s="47">
        <v>44740</v>
      </c>
      <c r="E472" s="32" t="s">
        <v>11</v>
      </c>
      <c r="F472" s="32" t="s">
        <v>1448</v>
      </c>
      <c r="H472" s="32"/>
      <c r="I472" s="17"/>
      <c r="J472" s="32"/>
    </row>
    <row r="473" spans="1:10" ht="12.75">
      <c r="A473" s="16" t="s">
        <v>1536</v>
      </c>
      <c r="B473" s="17">
        <v>65000</v>
      </c>
      <c r="C473" s="17">
        <f t="shared" si="30"/>
        <v>1787.5</v>
      </c>
      <c r="D473" s="47">
        <v>44741</v>
      </c>
      <c r="E473" s="32" t="s">
        <v>4641</v>
      </c>
      <c r="F473" s="32" t="s">
        <v>1448</v>
      </c>
      <c r="H473" s="32"/>
      <c r="I473" s="17"/>
      <c r="J473" s="32"/>
    </row>
    <row r="474" spans="1:10" ht="12.75">
      <c r="A474" s="16" t="s">
        <v>1845</v>
      </c>
      <c r="B474" s="17">
        <v>90000</v>
      </c>
      <c r="C474" s="17">
        <f t="shared" si="30"/>
        <v>2475</v>
      </c>
      <c r="D474" s="47">
        <v>44741</v>
      </c>
      <c r="E474" s="32" t="s">
        <v>2851</v>
      </c>
      <c r="F474" s="32" t="s">
        <v>28</v>
      </c>
      <c r="H474" s="32"/>
      <c r="I474" s="17"/>
      <c r="J474" s="21" t="s">
        <v>30</v>
      </c>
    </row>
    <row r="475" spans="1:10" ht="12.75">
      <c r="A475" s="16" t="s">
        <v>1846</v>
      </c>
      <c r="B475" s="17">
        <v>600000</v>
      </c>
      <c r="C475" s="17">
        <f t="shared" si="30"/>
        <v>16500</v>
      </c>
      <c r="D475" s="47">
        <v>44741</v>
      </c>
      <c r="E475" s="32" t="s">
        <v>11</v>
      </c>
      <c r="F475" s="32" t="s">
        <v>1448</v>
      </c>
      <c r="H475" s="32"/>
      <c r="I475" s="17"/>
      <c r="J475" s="32"/>
    </row>
    <row r="476" spans="1:10" ht="12.75">
      <c r="A476" s="16" t="s">
        <v>1847</v>
      </c>
      <c r="B476" s="17">
        <v>640000</v>
      </c>
      <c r="C476" s="17">
        <f t="shared" si="30"/>
        <v>17600</v>
      </c>
      <c r="D476" s="47">
        <v>44741</v>
      </c>
      <c r="E476" s="32" t="s">
        <v>11</v>
      </c>
      <c r="F476" s="32" t="s">
        <v>1448</v>
      </c>
      <c r="H476" s="32"/>
      <c r="I476" s="17"/>
      <c r="J476" s="32"/>
    </row>
    <row r="477" spans="1:10" ht="12.75">
      <c r="A477" s="16" t="s">
        <v>1848</v>
      </c>
      <c r="B477" s="17">
        <v>150000</v>
      </c>
      <c r="C477" s="17">
        <f t="shared" si="30"/>
        <v>4125</v>
      </c>
      <c r="D477" s="47">
        <v>44741</v>
      </c>
      <c r="E477" s="32" t="s">
        <v>4023</v>
      </c>
      <c r="F477" s="32" t="s">
        <v>28</v>
      </c>
      <c r="H477" s="32"/>
      <c r="I477" s="17"/>
      <c r="J477" s="21" t="s">
        <v>30</v>
      </c>
    </row>
    <row r="478" spans="1:10" ht="12.75">
      <c r="A478" s="16" t="s">
        <v>1850</v>
      </c>
      <c r="B478" s="17">
        <v>150000</v>
      </c>
      <c r="C478" s="17">
        <f t="shared" si="30"/>
        <v>4125</v>
      </c>
      <c r="D478" s="47">
        <v>44741</v>
      </c>
      <c r="E478" s="32" t="s">
        <v>11</v>
      </c>
      <c r="F478" s="32" t="s">
        <v>1448</v>
      </c>
      <c r="H478" s="32"/>
      <c r="I478" s="17"/>
      <c r="J478" s="32"/>
    </row>
    <row r="479" spans="1:10" ht="12.75">
      <c r="A479" s="16" t="s">
        <v>1546</v>
      </c>
      <c r="B479" s="17">
        <v>145000</v>
      </c>
      <c r="C479" s="17">
        <f t="shared" si="30"/>
        <v>3987.5</v>
      </c>
      <c r="D479" s="47">
        <v>44741</v>
      </c>
      <c r="E479" s="32" t="s">
        <v>11</v>
      </c>
      <c r="F479" s="32" t="s">
        <v>1448</v>
      </c>
      <c r="H479" s="32"/>
      <c r="I479" s="17"/>
      <c r="J479" s="32"/>
    </row>
    <row r="480" spans="1:10" ht="12.75">
      <c r="A480" s="16" t="s">
        <v>1851</v>
      </c>
      <c r="B480" s="17">
        <v>100000</v>
      </c>
      <c r="C480" s="17">
        <f t="shared" si="30"/>
        <v>2750</v>
      </c>
      <c r="D480" s="47">
        <v>44742</v>
      </c>
      <c r="E480" s="32" t="s">
        <v>11</v>
      </c>
      <c r="F480" s="32" t="s">
        <v>28</v>
      </c>
      <c r="H480" s="32"/>
      <c r="I480" s="17"/>
      <c r="J480" s="32"/>
    </row>
    <row r="481" spans="1:12" ht="12.75">
      <c r="A481" s="16" t="s">
        <v>1852</v>
      </c>
      <c r="B481" s="17">
        <v>3000000</v>
      </c>
      <c r="C481" s="17">
        <f t="shared" si="30"/>
        <v>82500</v>
      </c>
      <c r="D481" s="47">
        <v>44742</v>
      </c>
      <c r="E481" s="32" t="s">
        <v>4023</v>
      </c>
      <c r="F481" s="32" t="s">
        <v>28</v>
      </c>
      <c r="H481" s="32"/>
      <c r="I481" s="17"/>
      <c r="J481" s="21" t="s">
        <v>30</v>
      </c>
    </row>
    <row r="482" spans="1:12" ht="12.75">
      <c r="A482" s="16" t="s">
        <v>1849</v>
      </c>
      <c r="B482" s="17">
        <v>110000</v>
      </c>
      <c r="C482" s="17">
        <f t="shared" si="30"/>
        <v>3025</v>
      </c>
      <c r="D482" s="47">
        <v>44742</v>
      </c>
      <c r="E482" s="32" t="s">
        <v>11</v>
      </c>
      <c r="F482" s="32" t="s">
        <v>1448</v>
      </c>
      <c r="H482" s="32"/>
      <c r="I482" s="17"/>
      <c r="J482" s="32"/>
    </row>
    <row r="483" spans="1:12" ht="12.75">
      <c r="A483" s="16" t="s">
        <v>1853</v>
      </c>
      <c r="B483" s="17">
        <v>15000</v>
      </c>
      <c r="C483" s="17">
        <f t="shared" si="30"/>
        <v>412.5</v>
      </c>
      <c r="D483" s="47">
        <v>44742</v>
      </c>
      <c r="E483" s="32" t="s">
        <v>11</v>
      </c>
      <c r="F483" s="32" t="s">
        <v>28</v>
      </c>
      <c r="H483" s="32"/>
      <c r="I483" s="17"/>
      <c r="J483" s="32"/>
    </row>
    <row r="484" spans="1:12" ht="12.75">
      <c r="A484" s="16" t="s">
        <v>1854</v>
      </c>
      <c r="B484" s="17">
        <v>20000</v>
      </c>
      <c r="C484" s="17">
        <f t="shared" si="30"/>
        <v>550</v>
      </c>
      <c r="D484" s="47">
        <v>44742</v>
      </c>
      <c r="E484" s="32" t="s">
        <v>11</v>
      </c>
      <c r="F484" s="32" t="s">
        <v>28</v>
      </c>
      <c r="H484" s="32"/>
      <c r="I484" s="17"/>
      <c r="J484" s="32"/>
    </row>
    <row r="485" spans="1:12" ht="12.75">
      <c r="A485" s="16" t="s">
        <v>1855</v>
      </c>
      <c r="B485" s="17">
        <v>275000</v>
      </c>
      <c r="C485" s="17">
        <f t="shared" si="30"/>
        <v>7562.5</v>
      </c>
      <c r="D485" s="47">
        <v>44742</v>
      </c>
      <c r="E485" s="32" t="s">
        <v>11</v>
      </c>
      <c r="F485" s="32" t="s">
        <v>1448</v>
      </c>
      <c r="H485" s="32"/>
      <c r="I485" s="17"/>
      <c r="J485" s="32"/>
    </row>
    <row r="486" spans="1:12" ht="12.75">
      <c r="A486" s="16" t="s">
        <v>1563</v>
      </c>
      <c r="B486" s="17">
        <v>135000</v>
      </c>
      <c r="C486" s="17">
        <f t="shared" si="30"/>
        <v>3712.5</v>
      </c>
      <c r="D486" s="47">
        <v>44742</v>
      </c>
      <c r="E486" s="32" t="s">
        <v>11</v>
      </c>
      <c r="F486" s="32" t="s">
        <v>1448</v>
      </c>
      <c r="H486" s="32"/>
      <c r="I486" s="17"/>
      <c r="J486" s="32"/>
    </row>
    <row r="487" spans="1:12" ht="12.75">
      <c r="A487" s="16" t="s">
        <v>1856</v>
      </c>
      <c r="B487" s="17">
        <v>120000</v>
      </c>
      <c r="C487" s="17">
        <f t="shared" si="30"/>
        <v>3300</v>
      </c>
      <c r="D487" s="47">
        <v>44742</v>
      </c>
      <c r="E487" s="32" t="s">
        <v>73</v>
      </c>
      <c r="F487" s="32" t="s">
        <v>1448</v>
      </c>
      <c r="H487" s="32"/>
      <c r="I487" s="17"/>
      <c r="J487" s="32"/>
    </row>
    <row r="488" spans="1:12" ht="12.75">
      <c r="A488" s="11">
        <v>44743</v>
      </c>
      <c r="B488" s="9">
        <f t="shared" ref="B488:C488" si="31">SUM(B489:B561)</f>
        <v>19360000</v>
      </c>
      <c r="C488" s="9">
        <f t="shared" si="31"/>
        <v>529100</v>
      </c>
      <c r="D488" s="59"/>
      <c r="E488" s="59"/>
      <c r="F488" s="59"/>
      <c r="G488" s="9">
        <f>SUM(G489:G532)</f>
        <v>58281</v>
      </c>
      <c r="H488" s="9"/>
      <c r="I488" s="15"/>
      <c r="J488" s="67"/>
      <c r="K488" s="69">
        <f>SUM(B488)</f>
        <v>19360000</v>
      </c>
      <c r="L488" s="67"/>
    </row>
    <row r="489" spans="1:12" ht="12.75">
      <c r="A489" s="16" t="s">
        <v>1677</v>
      </c>
      <c r="B489" s="17">
        <v>142500</v>
      </c>
      <c r="C489" s="17">
        <f t="shared" ref="C489:C504" si="32">0.0275*B489</f>
        <v>3918.75</v>
      </c>
      <c r="D489" s="47">
        <v>44748</v>
      </c>
      <c r="E489" s="32" t="s">
        <v>11</v>
      </c>
      <c r="F489" s="32" t="s">
        <v>1448</v>
      </c>
      <c r="H489" s="32"/>
      <c r="I489" s="17"/>
      <c r="J489" s="32"/>
    </row>
    <row r="490" spans="1:12" ht="12.75">
      <c r="A490" s="16" t="s">
        <v>1859</v>
      </c>
      <c r="B490" s="17">
        <v>50000</v>
      </c>
      <c r="C490" s="17">
        <f t="shared" si="32"/>
        <v>1375</v>
      </c>
      <c r="D490" s="47">
        <v>44748</v>
      </c>
      <c r="E490" s="32" t="s">
        <v>772</v>
      </c>
      <c r="F490" s="32" t="s">
        <v>28</v>
      </c>
      <c r="H490" s="32"/>
      <c r="I490" s="17"/>
      <c r="J490" s="21" t="s">
        <v>30</v>
      </c>
    </row>
    <row r="491" spans="1:12" ht="12.75">
      <c r="A491" s="16" t="s">
        <v>1860</v>
      </c>
      <c r="B491" s="17">
        <v>100000</v>
      </c>
      <c r="C491" s="17">
        <f t="shared" si="32"/>
        <v>2750</v>
      </c>
      <c r="D491" s="47">
        <v>44749</v>
      </c>
      <c r="E491" s="32" t="s">
        <v>11</v>
      </c>
      <c r="F491" s="32" t="s">
        <v>28</v>
      </c>
      <c r="H491" s="32"/>
      <c r="I491" s="17"/>
      <c r="J491" s="21" t="s">
        <v>30</v>
      </c>
    </row>
    <row r="492" spans="1:12" ht="12.75">
      <c r="A492" s="16" t="s">
        <v>1464</v>
      </c>
      <c r="B492" s="17">
        <v>300000</v>
      </c>
      <c r="C492" s="17">
        <f t="shared" si="32"/>
        <v>8250</v>
      </c>
      <c r="D492" s="47">
        <v>44749</v>
      </c>
      <c r="E492" s="32" t="s">
        <v>73</v>
      </c>
      <c r="F492" s="32" t="s">
        <v>1448</v>
      </c>
      <c r="H492" s="32"/>
      <c r="I492" s="17"/>
      <c r="J492" s="32"/>
    </row>
    <row r="493" spans="1:12" ht="12.75">
      <c r="A493" s="16" t="s">
        <v>1604</v>
      </c>
      <c r="B493" s="17">
        <v>75000</v>
      </c>
      <c r="C493" s="17">
        <f t="shared" si="32"/>
        <v>2062.5</v>
      </c>
      <c r="D493" s="47">
        <v>44749</v>
      </c>
      <c r="E493" s="32" t="s">
        <v>73</v>
      </c>
      <c r="F493" s="32" t="s">
        <v>1448</v>
      </c>
      <c r="H493" s="32"/>
      <c r="I493" s="17"/>
      <c r="J493" s="32"/>
    </row>
    <row r="494" spans="1:12" ht="12.75">
      <c r="A494" s="16" t="s">
        <v>4652</v>
      </c>
      <c r="B494" s="17">
        <v>180000</v>
      </c>
      <c r="C494" s="17">
        <f t="shared" si="32"/>
        <v>4950</v>
      </c>
      <c r="D494" s="47">
        <v>44749</v>
      </c>
      <c r="E494" s="32" t="s">
        <v>4023</v>
      </c>
      <c r="F494" s="32" t="s">
        <v>1448</v>
      </c>
      <c r="H494" s="32"/>
      <c r="I494" s="17"/>
      <c r="J494" s="32"/>
    </row>
    <row r="495" spans="1:12" ht="12.75">
      <c r="A495" s="16" t="s">
        <v>4653</v>
      </c>
      <c r="B495" s="17">
        <v>77500</v>
      </c>
      <c r="C495" s="17">
        <f t="shared" si="32"/>
        <v>2131.25</v>
      </c>
      <c r="D495" s="47">
        <v>44749</v>
      </c>
      <c r="E495" s="32" t="s">
        <v>4023</v>
      </c>
      <c r="F495" s="32" t="s">
        <v>1448</v>
      </c>
      <c r="H495" s="32"/>
      <c r="I495" s="17"/>
      <c r="J495" s="32"/>
    </row>
    <row r="496" spans="1:12" ht="12.75">
      <c r="A496" s="16" t="s">
        <v>1520</v>
      </c>
      <c r="B496" s="17">
        <v>100000</v>
      </c>
      <c r="C496" s="17">
        <f t="shared" si="32"/>
        <v>2750</v>
      </c>
      <c r="D496" s="47">
        <v>44743</v>
      </c>
      <c r="E496" s="32" t="s">
        <v>73</v>
      </c>
      <c r="F496" s="32" t="s">
        <v>1448</v>
      </c>
      <c r="H496" s="32"/>
      <c r="I496" s="17"/>
      <c r="J496" s="32"/>
    </row>
    <row r="497" spans="1:10" ht="12.75">
      <c r="A497" s="16" t="s">
        <v>1858</v>
      </c>
      <c r="B497" s="17">
        <v>40000</v>
      </c>
      <c r="C497" s="17">
        <f t="shared" si="32"/>
        <v>1100</v>
      </c>
      <c r="D497" s="47">
        <v>44743</v>
      </c>
      <c r="E497" s="32" t="s">
        <v>11</v>
      </c>
      <c r="F497" s="32" t="s">
        <v>1448</v>
      </c>
      <c r="H497" s="32"/>
      <c r="I497" s="17"/>
      <c r="J497" s="32"/>
    </row>
    <row r="498" spans="1:10" ht="12.75">
      <c r="A498" s="16" t="s">
        <v>1861</v>
      </c>
      <c r="B498" s="17">
        <v>40000</v>
      </c>
      <c r="C498" s="17">
        <f t="shared" si="32"/>
        <v>1100</v>
      </c>
      <c r="D498" s="47">
        <v>44749</v>
      </c>
      <c r="E498" s="32" t="s">
        <v>11</v>
      </c>
      <c r="F498" s="32" t="s">
        <v>28</v>
      </c>
      <c r="H498" s="32"/>
      <c r="I498" s="17"/>
      <c r="J498" s="32"/>
    </row>
    <row r="499" spans="1:10" ht="12.75">
      <c r="A499" s="16" t="s">
        <v>1862</v>
      </c>
      <c r="B499" s="17">
        <v>100000</v>
      </c>
      <c r="C499" s="17">
        <f t="shared" si="32"/>
        <v>2750</v>
      </c>
      <c r="D499" s="47">
        <v>44750</v>
      </c>
      <c r="E499" s="32" t="s">
        <v>4023</v>
      </c>
      <c r="F499" s="32" t="s">
        <v>28</v>
      </c>
      <c r="H499" s="32"/>
      <c r="I499" s="17"/>
      <c r="J499" s="32"/>
    </row>
    <row r="500" spans="1:10" ht="12.75">
      <c r="A500" s="16" t="s">
        <v>1677</v>
      </c>
      <c r="B500" s="17">
        <v>50000</v>
      </c>
      <c r="C500" s="17">
        <f t="shared" si="32"/>
        <v>1375</v>
      </c>
      <c r="D500" s="47">
        <v>44750</v>
      </c>
      <c r="E500" s="32" t="s">
        <v>11</v>
      </c>
      <c r="F500" s="32" t="s">
        <v>1448</v>
      </c>
      <c r="H500" s="32"/>
      <c r="I500" s="17"/>
      <c r="J500" s="32"/>
    </row>
    <row r="501" spans="1:10" ht="12.75">
      <c r="A501" s="16" t="s">
        <v>1863</v>
      </c>
      <c r="B501" s="17">
        <v>250000</v>
      </c>
      <c r="C501" s="17">
        <f t="shared" si="32"/>
        <v>6875</v>
      </c>
      <c r="D501" s="47">
        <v>44750</v>
      </c>
      <c r="E501" s="32" t="s">
        <v>4654</v>
      </c>
      <c r="F501" s="32" t="s">
        <v>28</v>
      </c>
      <c r="H501" s="32"/>
      <c r="I501" s="17"/>
      <c r="J501" s="32"/>
    </row>
    <row r="502" spans="1:10" ht="12.75">
      <c r="A502" s="16" t="s">
        <v>1864</v>
      </c>
      <c r="B502" s="17">
        <v>150000</v>
      </c>
      <c r="C502" s="17">
        <f t="shared" si="32"/>
        <v>4125</v>
      </c>
      <c r="D502" s="47">
        <v>44750</v>
      </c>
      <c r="E502" s="32" t="s">
        <v>2120</v>
      </c>
      <c r="F502" s="32" t="s">
        <v>28</v>
      </c>
      <c r="H502" s="32"/>
      <c r="I502" s="17"/>
      <c r="J502" s="21" t="s">
        <v>30</v>
      </c>
    </row>
    <row r="503" spans="1:10" ht="12.75">
      <c r="A503" s="16" t="s">
        <v>1865</v>
      </c>
      <c r="B503" s="17">
        <v>315000</v>
      </c>
      <c r="C503" s="17">
        <f t="shared" si="32"/>
        <v>8662.5</v>
      </c>
      <c r="D503" s="47">
        <v>44753</v>
      </c>
      <c r="E503" s="32" t="s">
        <v>11</v>
      </c>
      <c r="F503" s="32" t="s">
        <v>1448</v>
      </c>
      <c r="H503" s="32"/>
      <c r="I503" s="17"/>
      <c r="J503" s="32"/>
    </row>
    <row r="504" spans="1:10" ht="12.75">
      <c r="A504" s="16" t="s">
        <v>1455</v>
      </c>
      <c r="B504" s="17">
        <v>190000</v>
      </c>
      <c r="C504" s="17">
        <f t="shared" si="32"/>
        <v>5225</v>
      </c>
      <c r="D504" s="47">
        <v>44753</v>
      </c>
      <c r="E504" s="32" t="s">
        <v>11</v>
      </c>
      <c r="F504" s="32" t="s">
        <v>1448</v>
      </c>
      <c r="H504" s="32"/>
      <c r="I504" s="17"/>
      <c r="J504" s="32"/>
    </row>
    <row r="505" spans="1:10" ht="12.75">
      <c r="A505" s="16" t="s">
        <v>1866</v>
      </c>
      <c r="B505" s="17">
        <v>120000</v>
      </c>
      <c r="C505" s="17">
        <v>0</v>
      </c>
      <c r="D505" s="47">
        <v>44754</v>
      </c>
      <c r="E505" s="32" t="s">
        <v>11</v>
      </c>
      <c r="F505" s="32" t="s">
        <v>1448</v>
      </c>
      <c r="H505" s="32"/>
      <c r="I505" s="17" t="s">
        <v>4636</v>
      </c>
      <c r="J505" s="32"/>
    </row>
    <row r="506" spans="1:10" ht="12.75">
      <c r="A506" s="16" t="s">
        <v>4655</v>
      </c>
      <c r="B506" s="17">
        <v>600000</v>
      </c>
      <c r="C506" s="17">
        <f t="shared" ref="C506:C561" si="33">0.0275*B506</f>
        <v>16500</v>
      </c>
      <c r="D506" s="47">
        <v>44754</v>
      </c>
      <c r="E506" s="32" t="s">
        <v>4656</v>
      </c>
      <c r="F506" s="32" t="s">
        <v>28</v>
      </c>
      <c r="G506" s="31">
        <v>2250</v>
      </c>
      <c r="H506" s="32" t="s">
        <v>4657</v>
      </c>
      <c r="I506" s="17" t="s">
        <v>4658</v>
      </c>
      <c r="J506" s="21" t="s">
        <v>30</v>
      </c>
    </row>
    <row r="507" spans="1:10" ht="12.75">
      <c r="A507" s="16" t="s">
        <v>1867</v>
      </c>
      <c r="B507" s="17">
        <v>750000</v>
      </c>
      <c r="C507" s="17">
        <f t="shared" si="33"/>
        <v>20625</v>
      </c>
      <c r="D507" s="47">
        <v>44754</v>
      </c>
      <c r="E507" s="32" t="s">
        <v>4023</v>
      </c>
      <c r="F507" s="32" t="s">
        <v>28</v>
      </c>
      <c r="H507" s="32"/>
      <c r="I507" s="17"/>
      <c r="J507" s="32"/>
    </row>
    <row r="508" spans="1:10" ht="12.75">
      <c r="A508" s="16" t="s">
        <v>1868</v>
      </c>
      <c r="B508" s="17">
        <v>50000</v>
      </c>
      <c r="C508" s="17">
        <f t="shared" si="33"/>
        <v>1375</v>
      </c>
      <c r="D508" s="47">
        <v>44754</v>
      </c>
      <c r="E508" s="32" t="s">
        <v>4023</v>
      </c>
      <c r="F508" s="32" t="s">
        <v>28</v>
      </c>
      <c r="H508" s="32"/>
      <c r="I508" s="17"/>
      <c r="J508" s="32"/>
    </row>
    <row r="509" spans="1:10" ht="12.75">
      <c r="A509" s="16" t="s">
        <v>3351</v>
      </c>
      <c r="B509" s="17">
        <v>575000</v>
      </c>
      <c r="C509" s="17">
        <f t="shared" si="33"/>
        <v>15812.5</v>
      </c>
      <c r="D509" s="47">
        <v>44754</v>
      </c>
      <c r="E509" s="32" t="s">
        <v>2405</v>
      </c>
      <c r="F509" s="32" t="s">
        <v>28</v>
      </c>
      <c r="G509" s="31">
        <v>7906</v>
      </c>
      <c r="H509" s="32" t="s">
        <v>4659</v>
      </c>
      <c r="I509" s="17" t="s">
        <v>4660</v>
      </c>
      <c r="J509" s="21" t="s">
        <v>30</v>
      </c>
    </row>
    <row r="510" spans="1:10" ht="12.75">
      <c r="A510" s="16" t="s">
        <v>1869</v>
      </c>
      <c r="B510" s="17">
        <v>100000</v>
      </c>
      <c r="C510" s="17">
        <f t="shared" si="33"/>
        <v>2750</v>
      </c>
      <c r="D510" s="47">
        <v>44755</v>
      </c>
      <c r="E510" s="32" t="s">
        <v>4380</v>
      </c>
      <c r="F510" s="32" t="s">
        <v>28</v>
      </c>
      <c r="H510" s="32"/>
      <c r="I510" s="17"/>
      <c r="J510" s="21" t="s">
        <v>30</v>
      </c>
    </row>
    <row r="511" spans="1:10" ht="12.75">
      <c r="A511" s="16" t="s">
        <v>4661</v>
      </c>
      <c r="B511" s="17">
        <v>3500000</v>
      </c>
      <c r="C511" s="17">
        <f t="shared" si="33"/>
        <v>96250</v>
      </c>
      <c r="D511" s="47">
        <v>44755</v>
      </c>
      <c r="E511" s="32" t="s">
        <v>4662</v>
      </c>
      <c r="F511" s="32" t="s">
        <v>4574</v>
      </c>
      <c r="G511" s="31">
        <v>48125</v>
      </c>
      <c r="H511" s="32" t="s">
        <v>4659</v>
      </c>
      <c r="I511" s="17" t="s">
        <v>4663</v>
      </c>
      <c r="J511" s="32"/>
    </row>
    <row r="512" spans="1:10" ht="12.75">
      <c r="A512" s="16" t="s">
        <v>1870</v>
      </c>
      <c r="B512" s="17">
        <v>200000</v>
      </c>
      <c r="C512" s="17">
        <f t="shared" si="33"/>
        <v>5500</v>
      </c>
      <c r="D512" s="47">
        <v>44755</v>
      </c>
      <c r="E512" s="32" t="s">
        <v>11</v>
      </c>
      <c r="F512" s="32" t="s">
        <v>28</v>
      </c>
      <c r="H512" s="32"/>
      <c r="I512" s="17"/>
      <c r="J512" s="21" t="s">
        <v>30</v>
      </c>
    </row>
    <row r="513" spans="1:10" ht="12.75">
      <c r="A513" s="16" t="s">
        <v>1792</v>
      </c>
      <c r="B513" s="17">
        <v>500000</v>
      </c>
      <c r="C513" s="17">
        <f t="shared" si="33"/>
        <v>13750</v>
      </c>
      <c r="D513" s="47">
        <v>44756</v>
      </c>
      <c r="E513" s="32" t="s">
        <v>11</v>
      </c>
      <c r="F513" s="32" t="s">
        <v>4574</v>
      </c>
      <c r="H513" s="32"/>
      <c r="I513" s="17"/>
      <c r="J513" s="32"/>
    </row>
    <row r="514" spans="1:10" ht="12.75">
      <c r="A514" s="16" t="s">
        <v>1682</v>
      </c>
      <c r="B514" s="17">
        <v>405000</v>
      </c>
      <c r="C514" s="17">
        <f t="shared" si="33"/>
        <v>11137.5</v>
      </c>
      <c r="D514" s="47">
        <v>44756</v>
      </c>
      <c r="E514" s="32" t="s">
        <v>11</v>
      </c>
      <c r="F514" s="32" t="s">
        <v>4574</v>
      </c>
      <c r="H514" s="32"/>
      <c r="I514" s="17"/>
      <c r="J514" s="32"/>
    </row>
    <row r="515" spans="1:10" ht="12.75">
      <c r="A515" s="16" t="s">
        <v>1873</v>
      </c>
      <c r="B515" s="17">
        <v>225000</v>
      </c>
      <c r="C515" s="17">
        <f t="shared" si="33"/>
        <v>6187.5</v>
      </c>
      <c r="D515" s="47">
        <v>44756</v>
      </c>
      <c r="E515" s="32" t="s">
        <v>4380</v>
      </c>
      <c r="F515" s="32" t="s">
        <v>28</v>
      </c>
      <c r="H515" s="32"/>
      <c r="I515" s="17"/>
      <c r="J515" s="21" t="s">
        <v>30</v>
      </c>
    </row>
    <row r="516" spans="1:10" ht="12.75">
      <c r="A516" s="16" t="s">
        <v>1872</v>
      </c>
      <c r="B516" s="17">
        <v>175000</v>
      </c>
      <c r="C516" s="17">
        <f t="shared" si="33"/>
        <v>4812.5</v>
      </c>
      <c r="D516" s="47">
        <v>44756</v>
      </c>
      <c r="E516" s="32" t="s">
        <v>11</v>
      </c>
      <c r="F516" s="32" t="s">
        <v>28</v>
      </c>
      <c r="H516" s="32"/>
      <c r="I516" s="17"/>
      <c r="J516" s="32"/>
    </row>
    <row r="517" spans="1:10" ht="12.75">
      <c r="A517" s="16" t="s">
        <v>1554</v>
      </c>
      <c r="B517" s="17">
        <v>60000</v>
      </c>
      <c r="C517" s="17">
        <f t="shared" si="33"/>
        <v>1650</v>
      </c>
      <c r="D517" s="47">
        <v>44756</v>
      </c>
      <c r="E517" s="32" t="s">
        <v>11</v>
      </c>
      <c r="F517" s="32" t="s">
        <v>4574</v>
      </c>
      <c r="H517" s="32"/>
      <c r="I517" s="17"/>
      <c r="J517" s="32"/>
    </row>
    <row r="518" spans="1:10" ht="12.75">
      <c r="A518" s="16" t="s">
        <v>1871</v>
      </c>
      <c r="B518" s="17">
        <v>40000</v>
      </c>
      <c r="C518" s="17">
        <f t="shared" si="33"/>
        <v>1100</v>
      </c>
      <c r="D518" s="47">
        <v>44756</v>
      </c>
      <c r="E518" s="32" t="s">
        <v>73</v>
      </c>
      <c r="F518" s="32" t="s">
        <v>4574</v>
      </c>
      <c r="H518" s="32"/>
      <c r="I518" s="17"/>
      <c r="J518" s="32"/>
    </row>
    <row r="519" spans="1:10" ht="12.75">
      <c r="A519" s="16" t="s">
        <v>1777</v>
      </c>
      <c r="B519" s="17">
        <v>60000</v>
      </c>
      <c r="C519" s="17">
        <f t="shared" si="33"/>
        <v>1650</v>
      </c>
      <c r="D519" s="47">
        <v>44756</v>
      </c>
      <c r="E519" s="32" t="s">
        <v>11</v>
      </c>
      <c r="F519" s="32" t="s">
        <v>4574</v>
      </c>
      <c r="H519" s="32"/>
      <c r="I519" s="17"/>
      <c r="J519" s="32"/>
    </row>
    <row r="520" spans="1:10" ht="12.75">
      <c r="A520" s="16" t="s">
        <v>1874</v>
      </c>
      <c r="B520" s="17">
        <v>80000</v>
      </c>
      <c r="C520" s="17">
        <f t="shared" si="33"/>
        <v>2200</v>
      </c>
      <c r="D520" s="47">
        <v>44756</v>
      </c>
      <c r="E520" s="32" t="s">
        <v>11</v>
      </c>
      <c r="F520" s="32" t="s">
        <v>4574</v>
      </c>
      <c r="H520" s="32"/>
      <c r="I520" s="17"/>
      <c r="J520" s="32"/>
    </row>
    <row r="521" spans="1:10" ht="12.75">
      <c r="A521" s="16" t="s">
        <v>1567</v>
      </c>
      <c r="B521" s="17">
        <v>400000</v>
      </c>
      <c r="C521" s="17">
        <f t="shared" si="33"/>
        <v>11000</v>
      </c>
      <c r="D521" s="47">
        <v>44756</v>
      </c>
      <c r="E521" s="32" t="s">
        <v>4023</v>
      </c>
      <c r="F521" s="32" t="s">
        <v>4574</v>
      </c>
      <c r="H521" s="32"/>
      <c r="I521" s="17"/>
      <c r="J521" s="32"/>
    </row>
    <row r="522" spans="1:10" ht="12.75">
      <c r="A522" s="16" t="s">
        <v>1875</v>
      </c>
      <c r="B522" s="17">
        <v>155000</v>
      </c>
      <c r="C522" s="17">
        <f t="shared" si="33"/>
        <v>4262.5</v>
      </c>
      <c r="D522" s="47">
        <v>44757</v>
      </c>
      <c r="E522" s="32" t="s">
        <v>11</v>
      </c>
      <c r="F522" s="32" t="s">
        <v>4574</v>
      </c>
      <c r="H522" s="32"/>
      <c r="I522" s="17"/>
      <c r="J522" s="32"/>
    </row>
    <row r="523" spans="1:10" ht="12.75">
      <c r="A523" s="16" t="s">
        <v>1876</v>
      </c>
      <c r="B523" s="17">
        <v>75000</v>
      </c>
      <c r="C523" s="17">
        <f t="shared" si="33"/>
        <v>2062.5</v>
      </c>
      <c r="D523" s="47">
        <v>44757</v>
      </c>
      <c r="E523" s="32" t="s">
        <v>11</v>
      </c>
      <c r="F523" s="32" t="s">
        <v>4574</v>
      </c>
      <c r="H523" s="32"/>
      <c r="I523" s="17"/>
      <c r="J523" s="32"/>
    </row>
    <row r="524" spans="1:10" ht="12.75">
      <c r="A524" s="16" t="s">
        <v>1531</v>
      </c>
      <c r="B524" s="17">
        <v>415000</v>
      </c>
      <c r="C524" s="17">
        <f t="shared" si="33"/>
        <v>11412.5</v>
      </c>
      <c r="D524" s="47">
        <v>44757</v>
      </c>
      <c r="E524" s="32" t="s">
        <v>11</v>
      </c>
      <c r="F524" s="32" t="s">
        <v>4574</v>
      </c>
      <c r="H524" s="32"/>
      <c r="I524" s="17"/>
      <c r="J524" s="32"/>
    </row>
    <row r="525" spans="1:10" ht="12.75">
      <c r="A525" s="16" t="s">
        <v>1544</v>
      </c>
      <c r="B525" s="17">
        <v>100000</v>
      </c>
      <c r="C525" s="17">
        <f t="shared" si="33"/>
        <v>2750</v>
      </c>
      <c r="D525" s="47">
        <v>44760</v>
      </c>
      <c r="E525" s="32" t="s">
        <v>11</v>
      </c>
      <c r="F525" s="32" t="s">
        <v>4574</v>
      </c>
      <c r="H525" s="32"/>
      <c r="I525" s="17"/>
      <c r="J525" s="32"/>
    </row>
    <row r="526" spans="1:10" ht="12.75">
      <c r="A526" s="16" t="s">
        <v>1877</v>
      </c>
      <c r="B526" s="17">
        <v>250000</v>
      </c>
      <c r="C526" s="17">
        <f t="shared" si="33"/>
        <v>6875</v>
      </c>
      <c r="D526" s="47">
        <v>44762</v>
      </c>
      <c r="E526" s="32" t="s">
        <v>92</v>
      </c>
      <c r="F526" s="32" t="s">
        <v>28</v>
      </c>
      <c r="H526" s="32"/>
      <c r="I526" s="17"/>
      <c r="J526" s="21" t="s">
        <v>30</v>
      </c>
    </row>
    <row r="527" spans="1:10" ht="12.75">
      <c r="A527" s="16" t="s">
        <v>180</v>
      </c>
      <c r="B527" s="17">
        <v>75000</v>
      </c>
      <c r="C527" s="17">
        <f t="shared" si="33"/>
        <v>2062.5</v>
      </c>
      <c r="D527" s="47">
        <v>44762</v>
      </c>
      <c r="E527" s="32" t="s">
        <v>11</v>
      </c>
      <c r="F527" s="32" t="s">
        <v>1448</v>
      </c>
      <c r="H527" s="32"/>
      <c r="I527" s="17"/>
      <c r="J527" s="32"/>
    </row>
    <row r="528" spans="1:10" ht="12.75">
      <c r="A528" s="16" t="s">
        <v>1488</v>
      </c>
      <c r="B528" s="17">
        <v>560000</v>
      </c>
      <c r="C528" s="17">
        <f t="shared" si="33"/>
        <v>15400</v>
      </c>
      <c r="D528" s="47">
        <v>44762</v>
      </c>
      <c r="E528" s="32" t="s">
        <v>11</v>
      </c>
      <c r="F528" s="32" t="s">
        <v>1448</v>
      </c>
      <c r="H528" s="32"/>
      <c r="I528" s="17"/>
      <c r="J528" s="32"/>
    </row>
    <row r="529" spans="1:10" ht="12.75">
      <c r="A529" s="16" t="s">
        <v>1878</v>
      </c>
      <c r="B529" s="17">
        <v>10000</v>
      </c>
      <c r="C529" s="17">
        <f t="shared" si="33"/>
        <v>275</v>
      </c>
      <c r="D529" s="47">
        <v>44762</v>
      </c>
      <c r="E529" s="32" t="s">
        <v>11</v>
      </c>
      <c r="F529" s="32" t="s">
        <v>28</v>
      </c>
      <c r="H529" s="32"/>
      <c r="I529" s="17"/>
      <c r="J529" s="32"/>
    </row>
    <row r="530" spans="1:10" ht="12.75">
      <c r="A530" s="16" t="s">
        <v>1879</v>
      </c>
      <c r="B530" s="17">
        <v>85000</v>
      </c>
      <c r="C530" s="17">
        <f t="shared" si="33"/>
        <v>2337.5</v>
      </c>
      <c r="D530" s="47">
        <v>44762</v>
      </c>
      <c r="E530" s="32" t="s">
        <v>11</v>
      </c>
      <c r="F530" s="32" t="s">
        <v>28</v>
      </c>
      <c r="H530" s="32"/>
      <c r="I530" s="17"/>
      <c r="J530" s="32"/>
    </row>
    <row r="531" spans="1:10" ht="12.75">
      <c r="A531" s="16" t="s">
        <v>1880</v>
      </c>
      <c r="B531" s="17">
        <v>115000</v>
      </c>
      <c r="C531" s="17">
        <f t="shared" si="33"/>
        <v>3162.5</v>
      </c>
      <c r="D531" s="47">
        <v>44762</v>
      </c>
      <c r="E531" s="32" t="s">
        <v>4023</v>
      </c>
      <c r="F531" s="32" t="s">
        <v>28</v>
      </c>
      <c r="H531" s="32"/>
      <c r="I531" s="17"/>
      <c r="J531" s="21" t="s">
        <v>30</v>
      </c>
    </row>
    <row r="532" spans="1:10" ht="12.75">
      <c r="A532" s="16" t="s">
        <v>1883</v>
      </c>
      <c r="B532" s="17">
        <v>625000</v>
      </c>
      <c r="C532" s="17">
        <f t="shared" si="33"/>
        <v>17187.5</v>
      </c>
      <c r="D532" s="47">
        <v>44763</v>
      </c>
      <c r="E532" s="32" t="s">
        <v>4599</v>
      </c>
      <c r="F532" s="32" t="s">
        <v>1448</v>
      </c>
      <c r="H532" s="32"/>
      <c r="I532" s="17"/>
      <c r="J532" s="32"/>
    </row>
    <row r="533" spans="1:10" ht="12.75">
      <c r="A533" s="16" t="s">
        <v>1884</v>
      </c>
      <c r="B533" s="17">
        <v>375000</v>
      </c>
      <c r="C533" s="17">
        <f t="shared" si="33"/>
        <v>10312.5</v>
      </c>
      <c r="D533" s="47">
        <v>44763</v>
      </c>
      <c r="E533" s="32" t="s">
        <v>11</v>
      </c>
      <c r="F533" s="32" t="s">
        <v>1448</v>
      </c>
      <c r="H533" s="32"/>
      <c r="I533" s="17"/>
      <c r="J533" s="32"/>
    </row>
    <row r="534" spans="1:10" ht="12.75">
      <c r="A534" s="16" t="s">
        <v>1881</v>
      </c>
      <c r="B534" s="17">
        <v>30000</v>
      </c>
      <c r="C534" s="17">
        <f t="shared" si="33"/>
        <v>825</v>
      </c>
      <c r="D534" s="47">
        <v>44763</v>
      </c>
      <c r="E534" s="32" t="s">
        <v>11</v>
      </c>
      <c r="F534" s="32" t="s">
        <v>1448</v>
      </c>
      <c r="H534" s="32"/>
      <c r="I534" s="17"/>
      <c r="J534" s="32"/>
    </row>
    <row r="535" spans="1:10" ht="12.75">
      <c r="A535" s="16" t="s">
        <v>1882</v>
      </c>
      <c r="B535" s="17">
        <v>20000</v>
      </c>
      <c r="C535" s="17">
        <f t="shared" si="33"/>
        <v>550</v>
      </c>
      <c r="D535" s="47">
        <v>44763</v>
      </c>
      <c r="E535" s="32" t="s">
        <v>11</v>
      </c>
      <c r="F535" s="32" t="s">
        <v>1448</v>
      </c>
      <c r="H535" s="32"/>
      <c r="I535" s="17"/>
      <c r="J535" s="32"/>
    </row>
    <row r="536" spans="1:10" ht="12.75">
      <c r="A536" s="16" t="s">
        <v>4664</v>
      </c>
      <c r="B536" s="17">
        <v>10000</v>
      </c>
      <c r="C536" s="17">
        <f t="shared" si="33"/>
        <v>275</v>
      </c>
      <c r="D536" s="47">
        <v>44763</v>
      </c>
      <c r="E536" s="32" t="s">
        <v>11</v>
      </c>
      <c r="F536" s="32" t="s">
        <v>1448</v>
      </c>
      <c r="H536" s="32"/>
      <c r="I536" s="17"/>
      <c r="J536" s="32"/>
    </row>
    <row r="537" spans="1:10" ht="12.75">
      <c r="A537" s="16" t="s">
        <v>4665</v>
      </c>
      <c r="B537" s="17">
        <v>175000</v>
      </c>
      <c r="C537" s="17">
        <f t="shared" si="33"/>
        <v>4812.5</v>
      </c>
      <c r="D537" s="47">
        <v>44763</v>
      </c>
      <c r="E537" s="32" t="s">
        <v>75</v>
      </c>
      <c r="F537" s="32" t="s">
        <v>28</v>
      </c>
      <c r="H537" s="32"/>
      <c r="I537" s="17"/>
      <c r="J537" s="21" t="s">
        <v>30</v>
      </c>
    </row>
    <row r="538" spans="1:10" ht="12.75">
      <c r="A538" s="16" t="s">
        <v>1550</v>
      </c>
      <c r="B538" s="17">
        <v>200000</v>
      </c>
      <c r="C538" s="17">
        <f t="shared" si="33"/>
        <v>5500</v>
      </c>
      <c r="D538" s="47">
        <v>44764</v>
      </c>
      <c r="E538" s="32" t="s">
        <v>11</v>
      </c>
      <c r="F538" s="32" t="s">
        <v>1448</v>
      </c>
      <c r="H538" s="32"/>
      <c r="I538" s="17"/>
      <c r="J538" s="32"/>
    </row>
    <row r="539" spans="1:10" ht="12.75">
      <c r="A539" s="16" t="s">
        <v>1885</v>
      </c>
      <c r="B539" s="17">
        <v>375000</v>
      </c>
      <c r="C539" s="17">
        <f t="shared" si="33"/>
        <v>10312.5</v>
      </c>
      <c r="D539" s="47">
        <v>44764</v>
      </c>
      <c r="E539" s="32" t="s">
        <v>4023</v>
      </c>
      <c r="F539" s="32" t="s">
        <v>1448</v>
      </c>
      <c r="H539" s="32"/>
      <c r="I539" s="17"/>
      <c r="J539" s="32"/>
    </row>
    <row r="540" spans="1:10" ht="12.75">
      <c r="A540" s="16" t="s">
        <v>1886</v>
      </c>
      <c r="B540" s="17">
        <v>175000</v>
      </c>
      <c r="C540" s="17">
        <f t="shared" si="33"/>
        <v>4812.5</v>
      </c>
      <c r="D540" s="47">
        <v>44767</v>
      </c>
      <c r="E540" s="32" t="s">
        <v>11</v>
      </c>
      <c r="F540" s="32" t="s">
        <v>1448</v>
      </c>
      <c r="H540" s="32"/>
      <c r="I540" s="17"/>
      <c r="J540" s="32"/>
    </row>
    <row r="541" spans="1:10" ht="12.75">
      <c r="A541" s="16" t="s">
        <v>1887</v>
      </c>
      <c r="B541" s="17">
        <v>80000</v>
      </c>
      <c r="C541" s="17">
        <f t="shared" si="33"/>
        <v>2200</v>
      </c>
      <c r="D541" s="47">
        <v>44767</v>
      </c>
      <c r="E541" s="32" t="s">
        <v>11</v>
      </c>
      <c r="F541" s="32" t="s">
        <v>28</v>
      </c>
      <c r="H541" s="32"/>
      <c r="I541" s="17"/>
      <c r="J541" s="21" t="s">
        <v>30</v>
      </c>
    </row>
    <row r="542" spans="1:10" ht="12.75">
      <c r="A542" s="16" t="s">
        <v>1817</v>
      </c>
      <c r="B542" s="17">
        <v>52500</v>
      </c>
      <c r="C542" s="17">
        <f t="shared" si="33"/>
        <v>1443.75</v>
      </c>
      <c r="D542" s="47">
        <v>44767</v>
      </c>
      <c r="E542" s="32" t="s">
        <v>11</v>
      </c>
      <c r="F542" s="32" t="s">
        <v>1448</v>
      </c>
      <c r="H542" s="32"/>
      <c r="I542" s="17"/>
      <c r="J542" s="32"/>
    </row>
    <row r="543" spans="1:10" ht="12.75">
      <c r="A543" s="16" t="s">
        <v>1888</v>
      </c>
      <c r="B543" s="17">
        <v>1300000</v>
      </c>
      <c r="C543" s="17">
        <f t="shared" si="33"/>
        <v>35750</v>
      </c>
      <c r="D543" s="47">
        <v>44768</v>
      </c>
      <c r="E543" s="32" t="s">
        <v>4380</v>
      </c>
      <c r="F543" s="32" t="s">
        <v>1448</v>
      </c>
      <c r="H543" s="32"/>
      <c r="I543" s="17"/>
      <c r="J543" s="32"/>
    </row>
    <row r="544" spans="1:10" ht="12.75">
      <c r="A544" s="16" t="s">
        <v>1889</v>
      </c>
      <c r="B544" s="17">
        <v>450000</v>
      </c>
      <c r="C544" s="17">
        <f t="shared" si="33"/>
        <v>12375</v>
      </c>
      <c r="D544" s="47">
        <v>44769</v>
      </c>
      <c r="E544" s="32" t="s">
        <v>4023</v>
      </c>
      <c r="F544" s="32" t="s">
        <v>28</v>
      </c>
      <c r="H544" s="32"/>
      <c r="I544" s="17"/>
      <c r="J544" s="21" t="s">
        <v>30</v>
      </c>
    </row>
    <row r="545" spans="1:10" ht="12.75">
      <c r="A545" s="16" t="s">
        <v>1890</v>
      </c>
      <c r="B545" s="17">
        <v>150000</v>
      </c>
      <c r="C545" s="17">
        <f t="shared" si="33"/>
        <v>4125</v>
      </c>
      <c r="D545" s="47">
        <v>44769</v>
      </c>
      <c r="E545" s="32" t="s">
        <v>4023</v>
      </c>
      <c r="F545" s="32" t="s">
        <v>28</v>
      </c>
      <c r="H545" s="32"/>
      <c r="I545" s="17"/>
      <c r="J545" s="21" t="s">
        <v>30</v>
      </c>
    </row>
    <row r="546" spans="1:10" ht="12.75">
      <c r="A546" s="16" t="s">
        <v>4666</v>
      </c>
      <c r="B546" s="17">
        <v>300000</v>
      </c>
      <c r="C546" s="17">
        <f t="shared" si="33"/>
        <v>8250</v>
      </c>
      <c r="D546" s="47">
        <v>44769</v>
      </c>
      <c r="E546" s="32" t="s">
        <v>4667</v>
      </c>
      <c r="F546" s="32" t="s">
        <v>1448</v>
      </c>
      <c r="H546" s="32"/>
      <c r="I546" s="17"/>
      <c r="J546" s="32"/>
    </row>
    <row r="547" spans="1:10" ht="12.75">
      <c r="A547" s="16" t="s">
        <v>1891</v>
      </c>
      <c r="B547" s="17">
        <v>200000</v>
      </c>
      <c r="C547" s="17">
        <f t="shared" si="33"/>
        <v>5500</v>
      </c>
      <c r="D547" s="47">
        <v>44769</v>
      </c>
      <c r="E547" s="32" t="s">
        <v>11</v>
      </c>
      <c r="F547" s="32" t="s">
        <v>28</v>
      </c>
      <c r="H547" s="32"/>
      <c r="I547" s="17"/>
      <c r="J547" s="21" t="s">
        <v>30</v>
      </c>
    </row>
    <row r="548" spans="1:10" ht="12.75">
      <c r="A548" s="16" t="s">
        <v>1892</v>
      </c>
      <c r="B548" s="17">
        <v>300000</v>
      </c>
      <c r="C548" s="17">
        <f t="shared" si="33"/>
        <v>8250</v>
      </c>
      <c r="D548" s="47">
        <v>44769</v>
      </c>
      <c r="E548" s="32" t="s">
        <v>73</v>
      </c>
      <c r="F548" s="32" t="s">
        <v>28</v>
      </c>
      <c r="H548" s="32"/>
      <c r="I548" s="17"/>
      <c r="J548" s="32"/>
    </row>
    <row r="549" spans="1:10" ht="12.75">
      <c r="A549" s="16" t="s">
        <v>1893</v>
      </c>
      <c r="B549" s="17">
        <v>500000</v>
      </c>
      <c r="C549" s="17">
        <f t="shared" si="33"/>
        <v>13750</v>
      </c>
      <c r="D549" s="47">
        <v>44769</v>
      </c>
      <c r="E549" s="32" t="s">
        <v>11</v>
      </c>
      <c r="F549" s="32" t="s">
        <v>28</v>
      </c>
      <c r="H549" s="32"/>
      <c r="I549" s="17"/>
      <c r="J549" s="21" t="s">
        <v>30</v>
      </c>
    </row>
    <row r="550" spans="1:10" ht="12.75">
      <c r="A550" s="16" t="s">
        <v>1894</v>
      </c>
      <c r="B550" s="17">
        <v>90000</v>
      </c>
      <c r="C550" s="17">
        <f t="shared" si="33"/>
        <v>2475</v>
      </c>
      <c r="D550" s="47">
        <v>44769</v>
      </c>
      <c r="E550" s="32" t="s">
        <v>11</v>
      </c>
      <c r="F550" s="32" t="s">
        <v>1448</v>
      </c>
      <c r="H550" s="32"/>
      <c r="I550" s="17"/>
      <c r="J550" s="32"/>
    </row>
    <row r="551" spans="1:10" ht="12.75">
      <c r="A551" s="16" t="s">
        <v>1895</v>
      </c>
      <c r="B551" s="17">
        <v>20000</v>
      </c>
      <c r="C551" s="17">
        <f t="shared" si="33"/>
        <v>550</v>
      </c>
      <c r="D551" s="47">
        <v>44769</v>
      </c>
      <c r="E551" s="32" t="s">
        <v>11</v>
      </c>
      <c r="F551" s="32" t="s">
        <v>1448</v>
      </c>
      <c r="H551" s="32"/>
      <c r="I551" s="17"/>
      <c r="J551" s="32"/>
    </row>
    <row r="552" spans="1:10" ht="12.75">
      <c r="A552" s="16" t="s">
        <v>1896</v>
      </c>
      <c r="B552" s="17">
        <v>60000</v>
      </c>
      <c r="C552" s="17">
        <f t="shared" si="33"/>
        <v>1650</v>
      </c>
      <c r="D552" s="47">
        <v>44769</v>
      </c>
      <c r="E552" s="32" t="s">
        <v>11</v>
      </c>
      <c r="F552" s="32" t="s">
        <v>1448</v>
      </c>
      <c r="H552" s="32"/>
      <c r="I552" s="17"/>
      <c r="J552" s="32"/>
    </row>
    <row r="553" spans="1:10" ht="12.75">
      <c r="A553" s="16" t="s">
        <v>1897</v>
      </c>
      <c r="B553" s="17">
        <v>60000</v>
      </c>
      <c r="C553" s="17">
        <f t="shared" si="33"/>
        <v>1650</v>
      </c>
      <c r="D553" s="47">
        <v>44769</v>
      </c>
      <c r="E553" s="32" t="s">
        <v>11</v>
      </c>
      <c r="F553" s="32" t="s">
        <v>1448</v>
      </c>
      <c r="H553" s="32"/>
      <c r="I553" s="17"/>
      <c r="J553" s="32"/>
    </row>
    <row r="554" spans="1:10" ht="12.75">
      <c r="A554" s="16" t="s">
        <v>1898</v>
      </c>
      <c r="B554" s="17">
        <v>50000</v>
      </c>
      <c r="C554" s="17">
        <f t="shared" si="33"/>
        <v>1375</v>
      </c>
      <c r="D554" s="47">
        <v>44769</v>
      </c>
      <c r="E554" s="32" t="s">
        <v>4668</v>
      </c>
      <c r="F554" s="32" t="s">
        <v>28</v>
      </c>
      <c r="H554" s="32"/>
      <c r="I554" s="17"/>
      <c r="J554" s="21" t="s">
        <v>30</v>
      </c>
    </row>
    <row r="555" spans="1:10" ht="12.75">
      <c r="A555" s="16" t="s">
        <v>1611</v>
      </c>
      <c r="B555" s="17">
        <v>157500</v>
      </c>
      <c r="C555" s="17">
        <f t="shared" si="33"/>
        <v>4331.25</v>
      </c>
      <c r="D555" s="47">
        <v>44770</v>
      </c>
      <c r="E555" s="32" t="s">
        <v>4023</v>
      </c>
      <c r="F555" s="32" t="s">
        <v>1448</v>
      </c>
      <c r="H555" s="32"/>
      <c r="I555" s="17"/>
      <c r="J555" s="32"/>
    </row>
    <row r="556" spans="1:10" ht="12.75">
      <c r="A556" s="16" t="s">
        <v>1899</v>
      </c>
      <c r="B556" s="17">
        <v>950000</v>
      </c>
      <c r="C556" s="17">
        <f t="shared" si="33"/>
        <v>26125</v>
      </c>
      <c r="D556" s="47">
        <v>44770</v>
      </c>
      <c r="E556" s="32" t="s">
        <v>11</v>
      </c>
      <c r="F556" s="32" t="s">
        <v>1448</v>
      </c>
      <c r="H556" s="32"/>
      <c r="I556" s="17"/>
      <c r="J556" s="32"/>
    </row>
    <row r="557" spans="1:10" ht="12.75">
      <c r="A557" s="16" t="s">
        <v>1900</v>
      </c>
      <c r="B557" s="17">
        <v>375000</v>
      </c>
      <c r="C557" s="17">
        <f t="shared" si="33"/>
        <v>10312.5</v>
      </c>
      <c r="D557" s="47">
        <v>44771</v>
      </c>
      <c r="E557" s="32" t="s">
        <v>11</v>
      </c>
      <c r="F557" s="32" t="s">
        <v>1448</v>
      </c>
      <c r="H557" s="32"/>
      <c r="I557" s="17"/>
      <c r="J557" s="32"/>
    </row>
    <row r="558" spans="1:10" ht="12.75">
      <c r="A558" s="16" t="s">
        <v>1767</v>
      </c>
      <c r="B558" s="17">
        <v>50000</v>
      </c>
      <c r="C558" s="17">
        <f t="shared" si="33"/>
        <v>1375</v>
      </c>
      <c r="D558" s="47">
        <v>44771</v>
      </c>
      <c r="E558" s="32" t="s">
        <v>11</v>
      </c>
      <c r="F558" s="32" t="s">
        <v>1448</v>
      </c>
      <c r="H558" s="32"/>
      <c r="I558" s="17"/>
      <c r="J558" s="32"/>
    </row>
    <row r="559" spans="1:10" ht="12.75">
      <c r="A559" s="16" t="s">
        <v>1480</v>
      </c>
      <c r="B559" s="17">
        <v>300000</v>
      </c>
      <c r="C559" s="17">
        <f t="shared" si="33"/>
        <v>8250</v>
      </c>
      <c r="D559" s="47">
        <v>44771</v>
      </c>
      <c r="E559" s="32" t="s">
        <v>11</v>
      </c>
      <c r="F559" s="32" t="s">
        <v>1448</v>
      </c>
      <c r="H559" s="32"/>
      <c r="I559" s="17"/>
      <c r="J559" s="32"/>
    </row>
    <row r="560" spans="1:10" ht="12.75">
      <c r="A560" s="16" t="s">
        <v>1795</v>
      </c>
      <c r="B560" s="17">
        <v>65000</v>
      </c>
      <c r="C560" s="17">
        <f t="shared" si="33"/>
        <v>1787.5</v>
      </c>
      <c r="D560" s="47">
        <v>44771</v>
      </c>
      <c r="E560" s="32" t="s">
        <v>11</v>
      </c>
      <c r="F560" s="32" t="s">
        <v>1448</v>
      </c>
      <c r="H560" s="32"/>
      <c r="I560" s="17"/>
      <c r="J560" s="32"/>
    </row>
    <row r="561" spans="1:12" ht="12.75">
      <c r="A561" s="16" t="s">
        <v>1901</v>
      </c>
      <c r="B561" s="17">
        <v>25000</v>
      </c>
      <c r="C561" s="17">
        <f t="shared" si="33"/>
        <v>687.5</v>
      </c>
      <c r="D561" s="47">
        <v>44771</v>
      </c>
      <c r="E561" s="32" t="s">
        <v>2120</v>
      </c>
      <c r="F561" s="32" t="s">
        <v>28</v>
      </c>
      <c r="H561" s="32"/>
      <c r="I561" s="17"/>
      <c r="J561" s="21" t="s">
        <v>30</v>
      </c>
    </row>
    <row r="562" spans="1:12" ht="12.75">
      <c r="A562" s="11">
        <v>44774</v>
      </c>
      <c r="B562" s="9">
        <f t="shared" ref="B562:C562" si="34">SUM(B563:B646)</f>
        <v>23171500</v>
      </c>
      <c r="C562" s="9">
        <f t="shared" si="34"/>
        <v>637216.25</v>
      </c>
      <c r="D562" s="59"/>
      <c r="E562" s="59"/>
      <c r="F562" s="59"/>
      <c r="G562" s="9">
        <f>SUM(G563:G606)</f>
        <v>0</v>
      </c>
      <c r="H562" s="9"/>
      <c r="I562" s="15"/>
      <c r="J562" s="67"/>
      <c r="K562" s="69">
        <f>SUM(B562)</f>
        <v>23171500</v>
      </c>
      <c r="L562" s="67"/>
    </row>
    <row r="563" spans="1:12" ht="12.75">
      <c r="A563" s="16" t="s">
        <v>1547</v>
      </c>
      <c r="B563" s="17">
        <v>72000</v>
      </c>
      <c r="C563" s="17">
        <f t="shared" ref="C563:C601" si="35">0.0275*B563</f>
        <v>1980</v>
      </c>
      <c r="D563" s="47">
        <v>44774</v>
      </c>
      <c r="E563" s="32" t="s">
        <v>73</v>
      </c>
      <c r="F563" s="32" t="s">
        <v>1448</v>
      </c>
      <c r="H563" s="32"/>
      <c r="I563" s="17"/>
      <c r="J563" s="32"/>
    </row>
    <row r="564" spans="1:12" ht="12.75">
      <c r="A564" s="16" t="s">
        <v>1902</v>
      </c>
      <c r="B564" s="17">
        <v>175000</v>
      </c>
      <c r="C564" s="17">
        <f t="shared" si="35"/>
        <v>4812.5</v>
      </c>
      <c r="D564" s="47">
        <v>44775</v>
      </c>
      <c r="E564" s="32" t="s">
        <v>11</v>
      </c>
      <c r="F564" s="32" t="s">
        <v>1448</v>
      </c>
      <c r="H564" s="32"/>
      <c r="I564" s="17"/>
      <c r="J564" s="32"/>
    </row>
    <row r="565" spans="1:12" ht="12.75">
      <c r="A565" s="16" t="s">
        <v>1584</v>
      </c>
      <c r="B565" s="17">
        <v>625000</v>
      </c>
      <c r="C565" s="17">
        <f t="shared" si="35"/>
        <v>17187.5</v>
      </c>
      <c r="D565" s="47">
        <v>44775</v>
      </c>
      <c r="E565" s="32" t="s">
        <v>11</v>
      </c>
      <c r="F565" s="32" t="s">
        <v>1448</v>
      </c>
      <c r="H565" s="32"/>
      <c r="I565" s="17"/>
      <c r="J565" s="32"/>
    </row>
    <row r="566" spans="1:12" ht="12.75">
      <c r="A566" s="16" t="s">
        <v>1903</v>
      </c>
      <c r="B566" s="17">
        <v>250000</v>
      </c>
      <c r="C566" s="17">
        <f t="shared" si="35"/>
        <v>6875</v>
      </c>
      <c r="D566" s="47">
        <v>44775</v>
      </c>
      <c r="E566" s="32" t="s">
        <v>4023</v>
      </c>
      <c r="F566" s="32" t="s">
        <v>28</v>
      </c>
      <c r="H566" s="32"/>
      <c r="I566" s="17"/>
      <c r="J566" s="21" t="s">
        <v>30</v>
      </c>
    </row>
    <row r="567" spans="1:12" ht="12.75">
      <c r="A567" s="16" t="s">
        <v>1904</v>
      </c>
      <c r="B567" s="17">
        <v>50000</v>
      </c>
      <c r="C567" s="17">
        <f t="shared" si="35"/>
        <v>1375</v>
      </c>
      <c r="D567" s="47">
        <v>44775</v>
      </c>
      <c r="E567" s="32" t="s">
        <v>11</v>
      </c>
      <c r="F567" s="32" t="s">
        <v>1448</v>
      </c>
      <c r="H567" s="32"/>
      <c r="I567" s="17"/>
      <c r="J567" s="32"/>
    </row>
    <row r="568" spans="1:12" ht="12.75">
      <c r="A568" s="16" t="s">
        <v>1905</v>
      </c>
      <c r="B568" s="17">
        <v>76000</v>
      </c>
      <c r="C568" s="17">
        <f t="shared" si="35"/>
        <v>2090</v>
      </c>
      <c r="D568" s="47">
        <v>44775</v>
      </c>
      <c r="E568" s="32" t="s">
        <v>11</v>
      </c>
      <c r="F568" s="32" t="s">
        <v>1448</v>
      </c>
      <c r="H568" s="32"/>
      <c r="I568" s="17"/>
      <c r="J568" s="32"/>
    </row>
    <row r="569" spans="1:12" ht="12.75">
      <c r="A569" s="16" t="s">
        <v>1450</v>
      </c>
      <c r="B569" s="17">
        <v>50000</v>
      </c>
      <c r="C569" s="17">
        <f t="shared" si="35"/>
        <v>1375</v>
      </c>
      <c r="D569" s="47">
        <v>44775</v>
      </c>
      <c r="E569" s="32" t="s">
        <v>73</v>
      </c>
      <c r="F569" s="32" t="s">
        <v>1448</v>
      </c>
      <c r="H569" s="32"/>
      <c r="I569" s="17"/>
      <c r="J569" s="32"/>
    </row>
    <row r="570" spans="1:12" ht="12.75">
      <c r="A570" s="16" t="s">
        <v>1906</v>
      </c>
      <c r="B570" s="17">
        <v>75000</v>
      </c>
      <c r="C570" s="17">
        <f t="shared" si="35"/>
        <v>2062.5</v>
      </c>
      <c r="D570" s="47">
        <v>44775</v>
      </c>
      <c r="E570" s="32" t="s">
        <v>2120</v>
      </c>
      <c r="F570" s="32" t="s">
        <v>28</v>
      </c>
      <c r="H570" s="32"/>
      <c r="I570" s="17"/>
      <c r="J570" s="21" t="s">
        <v>30</v>
      </c>
    </row>
    <row r="571" spans="1:12" ht="12.75">
      <c r="A571" s="16" t="s">
        <v>1649</v>
      </c>
      <c r="B571" s="17">
        <v>250000</v>
      </c>
      <c r="C571" s="17">
        <f t="shared" si="35"/>
        <v>6875</v>
      </c>
      <c r="D571" s="47">
        <v>44776</v>
      </c>
      <c r="E571" s="32" t="s">
        <v>11</v>
      </c>
      <c r="F571" s="32" t="s">
        <v>1448</v>
      </c>
      <c r="H571" s="32"/>
      <c r="I571" s="17"/>
      <c r="J571" s="32"/>
    </row>
    <row r="572" spans="1:12" ht="12.75">
      <c r="A572" s="16" t="s">
        <v>1907</v>
      </c>
      <c r="B572" s="17">
        <v>150000</v>
      </c>
      <c r="C572" s="17">
        <f t="shared" si="35"/>
        <v>4125</v>
      </c>
      <c r="D572" s="47">
        <v>44776</v>
      </c>
      <c r="E572" s="32" t="s">
        <v>11</v>
      </c>
      <c r="F572" s="32" t="s">
        <v>28</v>
      </c>
      <c r="H572" s="32"/>
      <c r="I572" s="17"/>
      <c r="J572" s="21" t="s">
        <v>30</v>
      </c>
    </row>
    <row r="573" spans="1:12" ht="12.75">
      <c r="A573" s="16" t="s">
        <v>1910</v>
      </c>
      <c r="B573" s="17">
        <v>60000</v>
      </c>
      <c r="C573" s="17">
        <f t="shared" si="35"/>
        <v>1650</v>
      </c>
      <c r="D573" s="47">
        <v>44776</v>
      </c>
      <c r="E573" s="32" t="s">
        <v>92</v>
      </c>
      <c r="F573" s="32" t="s">
        <v>1448</v>
      </c>
      <c r="H573" s="32"/>
      <c r="I573" s="17"/>
      <c r="J573" s="32"/>
    </row>
    <row r="574" spans="1:12" ht="12.75">
      <c r="A574" s="16" t="s">
        <v>1908</v>
      </c>
      <c r="B574" s="17">
        <v>675000</v>
      </c>
      <c r="C574" s="17">
        <f t="shared" si="35"/>
        <v>18562.5</v>
      </c>
      <c r="D574" s="47">
        <v>44776</v>
      </c>
      <c r="E574" s="32" t="s">
        <v>4023</v>
      </c>
      <c r="F574" s="32" t="s">
        <v>1448</v>
      </c>
      <c r="H574" s="32"/>
      <c r="I574" s="17"/>
      <c r="J574" s="32"/>
    </row>
    <row r="575" spans="1:12" ht="12.75">
      <c r="A575" s="16" t="s">
        <v>1909</v>
      </c>
      <c r="B575" s="17">
        <v>25000</v>
      </c>
      <c r="C575" s="17">
        <f t="shared" si="35"/>
        <v>687.5</v>
      </c>
      <c r="D575" s="47">
        <v>44777</v>
      </c>
      <c r="E575" s="32" t="s">
        <v>92</v>
      </c>
      <c r="F575" s="32" t="s">
        <v>28</v>
      </c>
      <c r="H575" s="32"/>
      <c r="I575" s="17"/>
      <c r="J575" s="21" t="s">
        <v>30</v>
      </c>
    </row>
    <row r="576" spans="1:12" ht="12.75">
      <c r="A576" s="16" t="s">
        <v>1911</v>
      </c>
      <c r="B576" s="17">
        <v>600000</v>
      </c>
      <c r="C576" s="17">
        <f t="shared" si="35"/>
        <v>16500</v>
      </c>
      <c r="D576" s="47">
        <v>44777</v>
      </c>
      <c r="E576" s="32" t="s">
        <v>3566</v>
      </c>
      <c r="F576" s="32" t="s">
        <v>28</v>
      </c>
      <c r="H576" s="32"/>
      <c r="I576" s="17"/>
      <c r="J576" s="21" t="s">
        <v>30</v>
      </c>
    </row>
    <row r="577" spans="1:10" ht="12.75">
      <c r="A577" s="16" t="s">
        <v>1912</v>
      </c>
      <c r="B577" s="17">
        <v>50000</v>
      </c>
      <c r="C577" s="17">
        <f t="shared" si="35"/>
        <v>1375</v>
      </c>
      <c r="D577" s="47">
        <v>44777</v>
      </c>
      <c r="E577" s="32" t="s">
        <v>4023</v>
      </c>
      <c r="F577" s="32" t="s">
        <v>28</v>
      </c>
      <c r="H577" s="32"/>
      <c r="I577" s="17"/>
      <c r="J577" s="21" t="s">
        <v>30</v>
      </c>
    </row>
    <row r="578" spans="1:10" ht="12.75">
      <c r="A578" s="16" t="s">
        <v>1913</v>
      </c>
      <c r="B578" s="17">
        <v>25000</v>
      </c>
      <c r="C578" s="17">
        <f t="shared" si="35"/>
        <v>687.5</v>
      </c>
      <c r="D578" s="47">
        <v>44777</v>
      </c>
      <c r="E578" s="34" t="s">
        <v>92</v>
      </c>
      <c r="F578" s="32" t="s">
        <v>1448</v>
      </c>
      <c r="H578" s="32"/>
      <c r="I578" s="17"/>
      <c r="J578" s="32"/>
    </row>
    <row r="579" spans="1:10" ht="12.75">
      <c r="A579" s="16" t="s">
        <v>1914</v>
      </c>
      <c r="B579" s="17">
        <v>150000</v>
      </c>
      <c r="C579" s="17">
        <f t="shared" si="35"/>
        <v>4125</v>
      </c>
      <c r="D579" s="47">
        <v>44777</v>
      </c>
      <c r="E579" s="32" t="s">
        <v>2120</v>
      </c>
      <c r="F579" s="32" t="s">
        <v>28</v>
      </c>
      <c r="H579" s="32"/>
      <c r="I579" s="17"/>
      <c r="J579" s="21" t="s">
        <v>30</v>
      </c>
    </row>
    <row r="580" spans="1:10" ht="12.75">
      <c r="A580" s="16" t="s">
        <v>1915</v>
      </c>
      <c r="B580" s="17">
        <v>900000</v>
      </c>
      <c r="C580" s="17">
        <f t="shared" si="35"/>
        <v>24750</v>
      </c>
      <c r="D580" s="47">
        <v>44777</v>
      </c>
      <c r="E580" s="32" t="s">
        <v>3566</v>
      </c>
      <c r="F580" s="32" t="s">
        <v>28</v>
      </c>
      <c r="H580" s="32"/>
      <c r="I580" s="17"/>
      <c r="J580" s="21" t="s">
        <v>30</v>
      </c>
    </row>
    <row r="581" spans="1:10" ht="12.75">
      <c r="A581" s="16" t="s">
        <v>1682</v>
      </c>
      <c r="B581" s="17">
        <v>75000</v>
      </c>
      <c r="C581" s="17">
        <f t="shared" si="35"/>
        <v>2062.5</v>
      </c>
      <c r="D581" s="47">
        <v>44778</v>
      </c>
      <c r="E581" s="32" t="s">
        <v>11</v>
      </c>
      <c r="F581" s="32" t="s">
        <v>1448</v>
      </c>
      <c r="H581" s="32"/>
      <c r="I581" s="17"/>
      <c r="J581" s="32"/>
    </row>
    <row r="582" spans="1:10" ht="12.75">
      <c r="A582" s="16" t="s">
        <v>1653</v>
      </c>
      <c r="B582" s="17">
        <v>175000</v>
      </c>
      <c r="C582" s="17">
        <f t="shared" si="35"/>
        <v>4812.5</v>
      </c>
      <c r="D582" s="47">
        <v>44778</v>
      </c>
      <c r="E582" s="32" t="s">
        <v>902</v>
      </c>
      <c r="F582" s="32" t="s">
        <v>1448</v>
      </c>
      <c r="H582" s="32"/>
      <c r="I582" s="17"/>
      <c r="J582" s="32"/>
    </row>
    <row r="583" spans="1:10" ht="12.75">
      <c r="A583" s="16" t="s">
        <v>1916</v>
      </c>
      <c r="B583" s="17">
        <v>85000</v>
      </c>
      <c r="C583" s="17">
        <f t="shared" si="35"/>
        <v>2337.5</v>
      </c>
      <c r="D583" s="47">
        <v>44778</v>
      </c>
      <c r="E583" s="32" t="s">
        <v>11</v>
      </c>
      <c r="F583" s="32" t="s">
        <v>28</v>
      </c>
      <c r="H583" s="32"/>
      <c r="I583" s="17"/>
      <c r="J583" s="21" t="s">
        <v>30</v>
      </c>
    </row>
    <row r="584" spans="1:10" ht="12.75">
      <c r="A584" s="16" t="s">
        <v>1917</v>
      </c>
      <c r="B584" s="17">
        <v>150000</v>
      </c>
      <c r="C584" s="17">
        <f t="shared" si="35"/>
        <v>4125</v>
      </c>
      <c r="D584" s="47">
        <v>44781</v>
      </c>
      <c r="E584" s="32" t="s">
        <v>4023</v>
      </c>
      <c r="F584" s="32" t="s">
        <v>28</v>
      </c>
      <c r="H584" s="32"/>
      <c r="I584" s="17"/>
      <c r="J584" s="21" t="s">
        <v>30</v>
      </c>
    </row>
    <row r="585" spans="1:10" ht="12.75">
      <c r="A585" s="16" t="s">
        <v>1526</v>
      </c>
      <c r="B585" s="17">
        <v>125000</v>
      </c>
      <c r="C585" s="17">
        <f t="shared" si="35"/>
        <v>3437.5</v>
      </c>
      <c r="D585" s="47">
        <v>44781</v>
      </c>
      <c r="E585" s="32" t="s">
        <v>11</v>
      </c>
      <c r="F585" s="32" t="s">
        <v>1448</v>
      </c>
      <c r="H585" s="32"/>
      <c r="I585" s="17"/>
      <c r="J585" s="32"/>
    </row>
    <row r="586" spans="1:10" ht="12.75">
      <c r="A586" s="16" t="s">
        <v>1605</v>
      </c>
      <c r="B586" s="17">
        <v>100000</v>
      </c>
      <c r="C586" s="17">
        <f t="shared" si="35"/>
        <v>2750</v>
      </c>
      <c r="D586" s="47">
        <v>44781</v>
      </c>
      <c r="E586" s="32" t="s">
        <v>11</v>
      </c>
      <c r="F586" s="32" t="s">
        <v>1448</v>
      </c>
      <c r="H586" s="32"/>
      <c r="I586" s="17"/>
      <c r="J586" s="32"/>
    </row>
    <row r="587" spans="1:10" ht="12.75">
      <c r="A587" s="16" t="s">
        <v>1918</v>
      </c>
      <c r="B587" s="17">
        <v>100000</v>
      </c>
      <c r="C587" s="17">
        <f t="shared" si="35"/>
        <v>2750</v>
      </c>
      <c r="D587" s="47">
        <v>44782</v>
      </c>
      <c r="E587" s="32" t="s">
        <v>11</v>
      </c>
      <c r="F587" s="32" t="s">
        <v>28</v>
      </c>
      <c r="H587" s="32"/>
      <c r="I587" s="17"/>
      <c r="J587" s="21" t="s">
        <v>30</v>
      </c>
    </row>
    <row r="588" spans="1:10" ht="12.75">
      <c r="A588" s="16" t="s">
        <v>1919</v>
      </c>
      <c r="B588" s="17">
        <v>65000</v>
      </c>
      <c r="C588" s="17">
        <f t="shared" si="35"/>
        <v>1787.5</v>
      </c>
      <c r="D588" s="47">
        <v>44782</v>
      </c>
      <c r="E588" s="32" t="s">
        <v>92</v>
      </c>
      <c r="F588" s="32" t="s">
        <v>1448</v>
      </c>
      <c r="H588" s="32"/>
      <c r="I588" s="17"/>
      <c r="J588" s="32"/>
    </row>
    <row r="589" spans="1:10" ht="12.75">
      <c r="A589" s="16" t="s">
        <v>1920</v>
      </c>
      <c r="B589" s="17">
        <v>200000</v>
      </c>
      <c r="C589" s="17">
        <f t="shared" si="35"/>
        <v>5500</v>
      </c>
      <c r="D589" s="47">
        <v>44782</v>
      </c>
      <c r="E589" s="32" t="s">
        <v>11</v>
      </c>
      <c r="F589" s="32" t="s">
        <v>28</v>
      </c>
      <c r="H589" s="32"/>
      <c r="I589" s="17"/>
      <c r="J589" s="21" t="s">
        <v>30</v>
      </c>
    </row>
    <row r="590" spans="1:10" ht="12.75">
      <c r="A590" s="16" t="s">
        <v>1921</v>
      </c>
      <c r="B590" s="17">
        <v>375000</v>
      </c>
      <c r="C590" s="17">
        <f t="shared" si="35"/>
        <v>10312.5</v>
      </c>
      <c r="D590" s="47">
        <v>44782</v>
      </c>
      <c r="E590" s="32" t="s">
        <v>4023</v>
      </c>
      <c r="F590" s="32" t="s">
        <v>28</v>
      </c>
      <c r="H590" s="32"/>
      <c r="I590" s="17"/>
      <c r="J590" s="21" t="s">
        <v>30</v>
      </c>
    </row>
    <row r="591" spans="1:10" ht="12.75">
      <c r="A591" s="16" t="s">
        <v>1922</v>
      </c>
      <c r="B591" s="17">
        <v>300000</v>
      </c>
      <c r="C591" s="17">
        <f t="shared" si="35"/>
        <v>8250</v>
      </c>
      <c r="D591" s="47">
        <v>44783</v>
      </c>
      <c r="E591" s="32" t="s">
        <v>4023</v>
      </c>
      <c r="F591" s="32" t="s">
        <v>1448</v>
      </c>
      <c r="H591" s="32"/>
      <c r="I591" s="17"/>
      <c r="J591" s="32"/>
    </row>
    <row r="592" spans="1:10" ht="12.75">
      <c r="A592" s="16" t="s">
        <v>1923</v>
      </c>
      <c r="B592" s="17">
        <v>430000</v>
      </c>
      <c r="C592" s="17">
        <f t="shared" si="35"/>
        <v>11825</v>
      </c>
      <c r="D592" s="47">
        <v>44783</v>
      </c>
      <c r="E592" s="32" t="s">
        <v>11</v>
      </c>
      <c r="F592" s="32" t="s">
        <v>1448</v>
      </c>
      <c r="H592" s="32"/>
      <c r="I592" s="17"/>
      <c r="J592" s="32"/>
    </row>
    <row r="593" spans="1:10" ht="12.75">
      <c r="A593" s="16" t="s">
        <v>1926</v>
      </c>
      <c r="B593" s="17">
        <v>650000</v>
      </c>
      <c r="C593" s="17">
        <f t="shared" si="35"/>
        <v>17875</v>
      </c>
      <c r="D593" s="47">
        <v>44783</v>
      </c>
      <c r="E593" s="32" t="s">
        <v>3566</v>
      </c>
      <c r="F593" s="32" t="s">
        <v>28</v>
      </c>
      <c r="H593" s="32"/>
      <c r="I593" s="17"/>
      <c r="J593" s="21" t="s">
        <v>30</v>
      </c>
    </row>
    <row r="594" spans="1:10" ht="12.75">
      <c r="A594" s="16" t="s">
        <v>4669</v>
      </c>
      <c r="B594" s="17">
        <v>100000</v>
      </c>
      <c r="C594" s="17">
        <f t="shared" si="35"/>
        <v>2750</v>
      </c>
      <c r="D594" s="47">
        <v>44783</v>
      </c>
      <c r="E594" s="32" t="s">
        <v>11</v>
      </c>
      <c r="F594" s="32" t="s">
        <v>1448</v>
      </c>
      <c r="H594" s="32"/>
      <c r="I594" s="17"/>
      <c r="J594" s="23"/>
    </row>
    <row r="595" spans="1:10" ht="12.75">
      <c r="A595" s="16" t="s">
        <v>1927</v>
      </c>
      <c r="B595" s="17">
        <v>525000</v>
      </c>
      <c r="C595" s="17">
        <f t="shared" si="35"/>
        <v>14437.5</v>
      </c>
      <c r="D595" s="47">
        <v>44784</v>
      </c>
      <c r="E595" s="32" t="s">
        <v>4023</v>
      </c>
      <c r="F595" s="32" t="s">
        <v>28</v>
      </c>
      <c r="H595" s="32"/>
      <c r="I595" s="17"/>
      <c r="J595" s="21" t="s">
        <v>30</v>
      </c>
    </row>
    <row r="596" spans="1:10" ht="12.75">
      <c r="A596" s="16" t="s">
        <v>1928</v>
      </c>
      <c r="B596" s="17">
        <v>90000</v>
      </c>
      <c r="C596" s="17">
        <f t="shared" si="35"/>
        <v>2475</v>
      </c>
      <c r="D596" s="47">
        <v>44784</v>
      </c>
      <c r="E596" s="32" t="s">
        <v>4023</v>
      </c>
      <c r="F596" s="32" t="s">
        <v>28</v>
      </c>
      <c r="H596" s="32"/>
      <c r="I596" s="17"/>
      <c r="J596" s="21" t="s">
        <v>30</v>
      </c>
    </row>
    <row r="597" spans="1:10" ht="12.75">
      <c r="A597" s="16" t="s">
        <v>1732</v>
      </c>
      <c r="B597" s="17">
        <v>150000</v>
      </c>
      <c r="C597" s="17">
        <f t="shared" si="35"/>
        <v>4125</v>
      </c>
      <c r="D597" s="47">
        <v>44784</v>
      </c>
      <c r="E597" s="32" t="s">
        <v>11</v>
      </c>
      <c r="F597" s="32" t="s">
        <v>1448</v>
      </c>
      <c r="H597" s="32"/>
      <c r="I597" s="17"/>
      <c r="J597" s="32"/>
    </row>
    <row r="598" spans="1:10" ht="12.75">
      <c r="A598" s="16" t="s">
        <v>1929</v>
      </c>
      <c r="B598" s="17">
        <v>90000</v>
      </c>
      <c r="C598" s="17">
        <f t="shared" si="35"/>
        <v>2475</v>
      </c>
      <c r="D598" s="47">
        <v>44784</v>
      </c>
      <c r="E598" s="32" t="s">
        <v>11</v>
      </c>
      <c r="F598" s="32" t="s">
        <v>1448</v>
      </c>
      <c r="H598" s="32"/>
      <c r="I598" s="17"/>
      <c r="J598" s="32"/>
    </row>
    <row r="599" spans="1:10" ht="12.75">
      <c r="A599" s="16" t="s">
        <v>1924</v>
      </c>
      <c r="B599" s="17">
        <v>20000</v>
      </c>
      <c r="C599" s="17">
        <f t="shared" si="35"/>
        <v>550</v>
      </c>
      <c r="D599" s="47">
        <v>44784</v>
      </c>
      <c r="E599" s="32" t="s">
        <v>11</v>
      </c>
      <c r="F599" s="32" t="s">
        <v>1448</v>
      </c>
      <c r="H599" s="32"/>
      <c r="I599" s="17"/>
      <c r="J599" s="32"/>
    </row>
    <row r="600" spans="1:10" ht="12.75">
      <c r="A600" s="16" t="s">
        <v>1925</v>
      </c>
      <c r="B600" s="17">
        <v>35000</v>
      </c>
      <c r="C600" s="17">
        <f t="shared" si="35"/>
        <v>962.5</v>
      </c>
      <c r="D600" s="47">
        <v>44784</v>
      </c>
      <c r="E600" s="32" t="s">
        <v>11</v>
      </c>
      <c r="F600" s="32" t="s">
        <v>1448</v>
      </c>
      <c r="H600" s="32"/>
      <c r="I600" s="17"/>
      <c r="J600" s="32"/>
    </row>
    <row r="601" spans="1:10" ht="12.75">
      <c r="A601" s="16" t="s">
        <v>1930</v>
      </c>
      <c r="B601" s="17">
        <v>2000000</v>
      </c>
      <c r="C601" s="17">
        <f t="shared" si="35"/>
        <v>55000</v>
      </c>
      <c r="D601" s="47">
        <v>44785</v>
      </c>
      <c r="E601" s="32" t="s">
        <v>11</v>
      </c>
      <c r="F601" s="32" t="s">
        <v>28</v>
      </c>
      <c r="H601" s="32"/>
      <c r="I601" s="17"/>
      <c r="J601" s="32"/>
    </row>
    <row r="602" spans="1:10" ht="12.75">
      <c r="A602" s="16" t="s">
        <v>1931</v>
      </c>
      <c r="B602" s="17">
        <v>115000</v>
      </c>
      <c r="C602" s="17">
        <f t="shared" ref="C602:C603" si="36">B602*0.0275</f>
        <v>3162.5</v>
      </c>
      <c r="D602" s="47">
        <v>44785</v>
      </c>
      <c r="E602" s="32" t="s">
        <v>3566</v>
      </c>
      <c r="F602" s="32" t="s">
        <v>28</v>
      </c>
      <c r="H602" s="32"/>
      <c r="I602" s="17"/>
      <c r="J602" s="21" t="s">
        <v>30</v>
      </c>
    </row>
    <row r="603" spans="1:10" ht="12.75">
      <c r="A603" s="16" t="s">
        <v>1725</v>
      </c>
      <c r="B603" s="17">
        <v>125000</v>
      </c>
      <c r="C603" s="17">
        <f t="shared" si="36"/>
        <v>3437.5</v>
      </c>
      <c r="D603" s="47">
        <v>44785</v>
      </c>
      <c r="E603" s="32" t="s">
        <v>11</v>
      </c>
      <c r="F603" s="32" t="s">
        <v>1448</v>
      </c>
      <c r="H603" s="32"/>
      <c r="I603" s="17"/>
      <c r="J603" s="32"/>
    </row>
    <row r="604" spans="1:10" ht="12.75">
      <c r="A604" s="16" t="s">
        <v>1932</v>
      </c>
      <c r="B604" s="17">
        <v>250000</v>
      </c>
      <c r="C604" s="17">
        <f t="shared" ref="C604:C646" si="37">0.0275*B604</f>
        <v>6875</v>
      </c>
      <c r="D604" s="47">
        <v>44788</v>
      </c>
      <c r="E604" s="32" t="s">
        <v>11</v>
      </c>
      <c r="F604" s="32" t="s">
        <v>28</v>
      </c>
      <c r="H604" s="32"/>
      <c r="I604" s="17"/>
      <c r="J604" s="21" t="s">
        <v>30</v>
      </c>
    </row>
    <row r="605" spans="1:10" ht="12.75">
      <c r="A605" s="16" t="s">
        <v>1770</v>
      </c>
      <c r="B605" s="17">
        <v>750000</v>
      </c>
      <c r="C605" s="17">
        <f t="shared" si="37"/>
        <v>20625</v>
      </c>
      <c r="D605" s="47">
        <v>44788</v>
      </c>
      <c r="E605" s="32" t="s">
        <v>73</v>
      </c>
      <c r="F605" s="32" t="s">
        <v>1448</v>
      </c>
      <c r="H605" s="32"/>
      <c r="I605" s="17"/>
      <c r="J605" s="32"/>
    </row>
    <row r="606" spans="1:10" ht="12.75">
      <c r="A606" s="16" t="s">
        <v>1933</v>
      </c>
      <c r="B606" s="17">
        <v>100000</v>
      </c>
      <c r="C606" s="17">
        <f t="shared" si="37"/>
        <v>2750</v>
      </c>
      <c r="D606" s="47">
        <v>44789</v>
      </c>
      <c r="E606" s="32" t="s">
        <v>3566</v>
      </c>
      <c r="F606" s="32" t="s">
        <v>28</v>
      </c>
      <c r="H606" s="32"/>
      <c r="I606" s="17"/>
      <c r="J606" s="21" t="s">
        <v>30</v>
      </c>
    </row>
    <row r="607" spans="1:10" ht="12.75">
      <c r="A607" s="16" t="s">
        <v>1934</v>
      </c>
      <c r="B607" s="17">
        <v>400000</v>
      </c>
      <c r="C607" s="17">
        <f t="shared" si="37"/>
        <v>11000</v>
      </c>
      <c r="D607" s="47">
        <v>44790</v>
      </c>
      <c r="E607" s="32" t="s">
        <v>4023</v>
      </c>
      <c r="F607" s="32" t="s">
        <v>28</v>
      </c>
      <c r="H607" s="32"/>
      <c r="I607" s="17"/>
      <c r="J607" s="21" t="s">
        <v>30</v>
      </c>
    </row>
    <row r="608" spans="1:10" ht="12.75">
      <c r="A608" s="16" t="s">
        <v>1941</v>
      </c>
      <c r="B608" s="17">
        <v>250000</v>
      </c>
      <c r="C608" s="40">
        <f t="shared" si="37"/>
        <v>6875</v>
      </c>
      <c r="D608" s="47">
        <v>44791</v>
      </c>
      <c r="E608" s="32" t="s">
        <v>3566</v>
      </c>
      <c r="F608" s="32" t="s">
        <v>28</v>
      </c>
      <c r="H608" s="32"/>
      <c r="I608" s="17"/>
      <c r="J608" s="21" t="s">
        <v>30</v>
      </c>
    </row>
    <row r="609" spans="1:10" ht="12.75">
      <c r="A609" s="16" t="s">
        <v>1935</v>
      </c>
      <c r="B609" s="17">
        <v>50000</v>
      </c>
      <c r="C609" s="17">
        <f t="shared" si="37"/>
        <v>1375</v>
      </c>
      <c r="D609" s="47">
        <v>44791</v>
      </c>
      <c r="E609" s="32" t="s">
        <v>11</v>
      </c>
      <c r="F609" s="32" t="s">
        <v>28</v>
      </c>
      <c r="H609" s="32"/>
      <c r="I609" s="17"/>
      <c r="J609" s="32"/>
    </row>
    <row r="610" spans="1:10" ht="12.75">
      <c r="A610" s="16" t="s">
        <v>1936</v>
      </c>
      <c r="B610" s="17">
        <v>70000</v>
      </c>
      <c r="C610" s="17">
        <f t="shared" si="37"/>
        <v>1925</v>
      </c>
      <c r="D610" s="47">
        <v>44791</v>
      </c>
      <c r="E610" s="32" t="s">
        <v>11</v>
      </c>
      <c r="F610" s="32" t="s">
        <v>28</v>
      </c>
      <c r="H610" s="32"/>
      <c r="I610" s="17"/>
      <c r="J610" s="32"/>
    </row>
    <row r="611" spans="1:10" ht="12.75">
      <c r="A611" s="16" t="s">
        <v>1937</v>
      </c>
      <c r="B611" s="17">
        <v>100000</v>
      </c>
      <c r="C611" s="17">
        <f t="shared" si="37"/>
        <v>2750</v>
      </c>
      <c r="D611" s="47">
        <v>44791</v>
      </c>
      <c r="E611" s="32" t="s">
        <v>4023</v>
      </c>
      <c r="F611" s="32" t="s">
        <v>1448</v>
      </c>
      <c r="H611" s="32"/>
      <c r="I611" s="17"/>
      <c r="J611" s="32"/>
    </row>
    <row r="612" spans="1:10" ht="12.75">
      <c r="A612" s="16" t="s">
        <v>1495</v>
      </c>
      <c r="B612" s="17">
        <v>125000</v>
      </c>
      <c r="C612" s="17">
        <f t="shared" si="37"/>
        <v>3437.5</v>
      </c>
      <c r="D612" s="47">
        <v>44791</v>
      </c>
      <c r="E612" s="32" t="s">
        <v>73</v>
      </c>
      <c r="F612" s="32" t="s">
        <v>1448</v>
      </c>
      <c r="H612" s="32"/>
      <c r="I612" s="17"/>
      <c r="J612" s="32"/>
    </row>
    <row r="613" spans="1:10" ht="12.75">
      <c r="A613" s="16" t="s">
        <v>1938</v>
      </c>
      <c r="B613" s="17">
        <v>20000</v>
      </c>
      <c r="C613" s="17">
        <f t="shared" si="37"/>
        <v>550</v>
      </c>
      <c r="D613" s="47">
        <v>44791</v>
      </c>
      <c r="E613" s="32" t="s">
        <v>11</v>
      </c>
      <c r="F613" s="32" t="s">
        <v>28</v>
      </c>
      <c r="H613" s="32"/>
      <c r="I613" s="17"/>
      <c r="J613" s="32"/>
    </row>
    <row r="614" spans="1:10" ht="12.75">
      <c r="A614" s="16" t="s">
        <v>1939</v>
      </c>
      <c r="B614" s="17">
        <v>60000</v>
      </c>
      <c r="C614" s="17">
        <f t="shared" si="37"/>
        <v>1650</v>
      </c>
      <c r="D614" s="47">
        <v>44791</v>
      </c>
      <c r="E614" s="32" t="s">
        <v>92</v>
      </c>
      <c r="F614" s="32" t="s">
        <v>1448</v>
      </c>
      <c r="H614" s="32"/>
      <c r="I614" s="17"/>
      <c r="J614" s="32"/>
    </row>
    <row r="615" spans="1:10" ht="12.75">
      <c r="A615" s="16" t="s">
        <v>1940</v>
      </c>
      <c r="B615" s="17">
        <v>18000</v>
      </c>
      <c r="C615" s="17">
        <f t="shared" si="37"/>
        <v>495</v>
      </c>
      <c r="D615" s="47">
        <v>44791</v>
      </c>
      <c r="E615" s="32" t="s">
        <v>11</v>
      </c>
      <c r="F615" s="32" t="s">
        <v>28</v>
      </c>
      <c r="H615" s="32"/>
      <c r="I615" s="17"/>
      <c r="J615" s="32"/>
    </row>
    <row r="616" spans="1:10" ht="12.75">
      <c r="A616" s="16" t="s">
        <v>1942</v>
      </c>
      <c r="B616" s="17">
        <v>1300000</v>
      </c>
      <c r="C616" s="17">
        <f t="shared" si="37"/>
        <v>35750</v>
      </c>
      <c r="D616" s="47">
        <v>44791</v>
      </c>
      <c r="E616" s="32" t="s">
        <v>11</v>
      </c>
      <c r="F616" s="32" t="s">
        <v>1448</v>
      </c>
      <c r="H616" s="32"/>
      <c r="I616" s="17"/>
      <c r="J616" s="32"/>
    </row>
    <row r="617" spans="1:10" ht="12.75">
      <c r="A617" s="16" t="s">
        <v>4670</v>
      </c>
      <c r="B617" s="17">
        <v>150000</v>
      </c>
      <c r="C617" s="17">
        <f t="shared" si="37"/>
        <v>4125</v>
      </c>
      <c r="D617" s="47">
        <v>44791</v>
      </c>
      <c r="E617" s="32" t="s">
        <v>4009</v>
      </c>
      <c r="F617" s="32" t="s">
        <v>28</v>
      </c>
      <c r="H617" s="32"/>
      <c r="I617" s="17"/>
      <c r="J617" s="21" t="s">
        <v>30</v>
      </c>
    </row>
    <row r="618" spans="1:10" ht="12.75">
      <c r="A618" s="16" t="s">
        <v>1943</v>
      </c>
      <c r="B618" s="17">
        <v>50000</v>
      </c>
      <c r="C618" s="17">
        <f t="shared" si="37"/>
        <v>1375</v>
      </c>
      <c r="D618" s="47">
        <v>44792</v>
      </c>
      <c r="E618" s="32" t="s">
        <v>11</v>
      </c>
      <c r="F618" s="32" t="s">
        <v>28</v>
      </c>
      <c r="H618" s="32"/>
      <c r="I618" s="17"/>
      <c r="J618" s="21" t="s">
        <v>30</v>
      </c>
    </row>
    <row r="619" spans="1:10" ht="12.75">
      <c r="A619" s="16" t="s">
        <v>1944</v>
      </c>
      <c r="B619" s="17">
        <v>210000</v>
      </c>
      <c r="C619" s="17">
        <f t="shared" si="37"/>
        <v>5775</v>
      </c>
      <c r="D619" s="47">
        <v>44792</v>
      </c>
      <c r="E619" s="32" t="s">
        <v>197</v>
      </c>
      <c r="F619" s="32" t="s">
        <v>1448</v>
      </c>
      <c r="H619" s="32"/>
      <c r="I619" s="17"/>
      <c r="J619" s="32"/>
    </row>
    <row r="620" spans="1:10" ht="12.75">
      <c r="A620" s="16" t="s">
        <v>4671</v>
      </c>
      <c r="B620" s="17">
        <v>1500000</v>
      </c>
      <c r="C620" s="17">
        <f t="shared" si="37"/>
        <v>41250</v>
      </c>
      <c r="D620" s="47">
        <v>44792</v>
      </c>
      <c r="E620" s="32" t="s">
        <v>4672</v>
      </c>
      <c r="F620" s="32" t="s">
        <v>28</v>
      </c>
      <c r="H620" s="32"/>
      <c r="I620" s="17" t="s">
        <v>4673</v>
      </c>
      <c r="J620" s="21" t="s">
        <v>30</v>
      </c>
    </row>
    <row r="621" spans="1:10" ht="12.75">
      <c r="A621" s="16" t="s">
        <v>1500</v>
      </c>
      <c r="B621" s="17">
        <v>460000</v>
      </c>
      <c r="C621" s="17">
        <f t="shared" si="37"/>
        <v>12650</v>
      </c>
      <c r="D621" s="47">
        <v>44792</v>
      </c>
      <c r="E621" s="32" t="s">
        <v>11</v>
      </c>
      <c r="F621" s="32" t="s">
        <v>1448</v>
      </c>
      <c r="H621" s="32"/>
      <c r="I621" s="17"/>
      <c r="J621" s="32"/>
    </row>
    <row r="622" spans="1:10" ht="12.75">
      <c r="A622" s="16" t="s">
        <v>4674</v>
      </c>
      <c r="B622" s="17">
        <v>3000000</v>
      </c>
      <c r="C622" s="17">
        <f t="shared" si="37"/>
        <v>82500</v>
      </c>
      <c r="D622" s="47">
        <v>44792</v>
      </c>
      <c r="E622" s="32" t="s">
        <v>3434</v>
      </c>
      <c r="F622" s="32" t="s">
        <v>1448</v>
      </c>
      <c r="H622" s="5"/>
      <c r="I622" s="17" t="s">
        <v>4675</v>
      </c>
      <c r="J622" s="32"/>
    </row>
    <row r="623" spans="1:10" ht="12.75">
      <c r="A623" s="16" t="s">
        <v>4676</v>
      </c>
      <c r="B623" s="17">
        <v>300000</v>
      </c>
      <c r="C623" s="17">
        <f t="shared" si="37"/>
        <v>8250</v>
      </c>
      <c r="D623" s="47">
        <v>44795</v>
      </c>
      <c r="E623" s="32" t="s">
        <v>4677</v>
      </c>
      <c r="F623" s="32" t="s">
        <v>28</v>
      </c>
      <c r="H623" s="32"/>
      <c r="I623" s="17" t="s">
        <v>4675</v>
      </c>
      <c r="J623" s="21" t="s">
        <v>30</v>
      </c>
    </row>
    <row r="624" spans="1:10" ht="12.75">
      <c r="A624" s="16" t="s">
        <v>1835</v>
      </c>
      <c r="B624" s="17">
        <v>350000</v>
      </c>
      <c r="C624" s="17">
        <f t="shared" si="37"/>
        <v>9625</v>
      </c>
      <c r="D624" s="47">
        <v>44796</v>
      </c>
      <c r="E624" s="32" t="s">
        <v>11</v>
      </c>
      <c r="F624" s="32" t="s">
        <v>1448</v>
      </c>
      <c r="H624" s="32"/>
      <c r="I624" s="17"/>
      <c r="J624" s="32"/>
    </row>
    <row r="625" spans="1:10" ht="12.75">
      <c r="A625" s="16" t="s">
        <v>1945</v>
      </c>
      <c r="B625" s="17">
        <v>100000</v>
      </c>
      <c r="C625" s="17">
        <f t="shared" si="37"/>
        <v>2750</v>
      </c>
      <c r="D625" s="47">
        <v>44796</v>
      </c>
      <c r="E625" s="32" t="s">
        <v>3566</v>
      </c>
      <c r="F625" s="32" t="s">
        <v>28</v>
      </c>
      <c r="H625" s="32"/>
      <c r="I625" s="17"/>
      <c r="J625" s="21" t="s">
        <v>30</v>
      </c>
    </row>
    <row r="626" spans="1:10" ht="12.75">
      <c r="A626" s="16" t="s">
        <v>1946</v>
      </c>
      <c r="B626" s="17">
        <v>60000</v>
      </c>
      <c r="C626" s="17">
        <f t="shared" si="37"/>
        <v>1650</v>
      </c>
      <c r="D626" s="47">
        <v>44796</v>
      </c>
      <c r="E626" s="32" t="s">
        <v>73</v>
      </c>
      <c r="F626" s="32" t="s">
        <v>1448</v>
      </c>
      <c r="H626" s="32"/>
      <c r="I626" s="17"/>
      <c r="J626" s="32"/>
    </row>
    <row r="627" spans="1:10" ht="12.75">
      <c r="A627" s="16" t="s">
        <v>1493</v>
      </c>
      <c r="B627" s="17">
        <v>250000</v>
      </c>
      <c r="C627" s="17">
        <f t="shared" si="37"/>
        <v>6875</v>
      </c>
      <c r="D627" s="47">
        <v>44798</v>
      </c>
      <c r="E627" s="32" t="s">
        <v>4023</v>
      </c>
      <c r="F627" s="32" t="s">
        <v>1448</v>
      </c>
      <c r="H627" s="32"/>
      <c r="I627" s="17"/>
      <c r="J627" s="32"/>
    </row>
    <row r="628" spans="1:10" ht="12.75">
      <c r="A628" s="16" t="s">
        <v>1947</v>
      </c>
      <c r="B628" s="17">
        <v>20000</v>
      </c>
      <c r="C628" s="17">
        <f t="shared" si="37"/>
        <v>550</v>
      </c>
      <c r="D628" s="47">
        <v>44798</v>
      </c>
      <c r="E628" s="32" t="s">
        <v>11</v>
      </c>
      <c r="F628" s="32" t="s">
        <v>28</v>
      </c>
      <c r="H628" s="32"/>
      <c r="I628" s="17"/>
      <c r="J628" s="32"/>
    </row>
    <row r="629" spans="1:10" ht="12.75">
      <c r="A629" s="16" t="s">
        <v>1948</v>
      </c>
      <c r="B629" s="17">
        <v>15000</v>
      </c>
      <c r="C629" s="17">
        <f t="shared" si="37"/>
        <v>412.5</v>
      </c>
      <c r="D629" s="47">
        <v>44798</v>
      </c>
      <c r="E629" s="32" t="s">
        <v>11</v>
      </c>
      <c r="F629" s="32" t="s">
        <v>28</v>
      </c>
      <c r="H629" s="32"/>
      <c r="I629" s="17"/>
      <c r="J629" s="32"/>
    </row>
    <row r="630" spans="1:10" ht="12.75">
      <c r="A630" s="16" t="s">
        <v>1949</v>
      </c>
      <c r="B630" s="17">
        <v>40000</v>
      </c>
      <c r="C630" s="17">
        <f t="shared" si="37"/>
        <v>1100</v>
      </c>
      <c r="D630" s="47">
        <v>44798</v>
      </c>
      <c r="E630" s="32" t="s">
        <v>11</v>
      </c>
      <c r="F630" s="32" t="s">
        <v>28</v>
      </c>
      <c r="H630" s="32"/>
      <c r="I630" s="17"/>
      <c r="J630" s="32"/>
    </row>
    <row r="631" spans="1:10" ht="12.75">
      <c r="A631" s="16" t="s">
        <v>1950</v>
      </c>
      <c r="B631" s="17">
        <v>60000</v>
      </c>
      <c r="C631" s="17">
        <f t="shared" si="37"/>
        <v>1650</v>
      </c>
      <c r="D631" s="47">
        <v>44798</v>
      </c>
      <c r="E631" s="32" t="s">
        <v>11</v>
      </c>
      <c r="F631" s="32" t="s">
        <v>28</v>
      </c>
      <c r="H631" s="32"/>
      <c r="I631" s="17"/>
      <c r="J631" s="32"/>
    </row>
    <row r="632" spans="1:10" ht="12.75">
      <c r="A632" s="16" t="s">
        <v>1951</v>
      </c>
      <c r="B632" s="17">
        <v>445000</v>
      </c>
      <c r="C632" s="17">
        <f t="shared" si="37"/>
        <v>12237.5</v>
      </c>
      <c r="D632" s="47">
        <v>44799</v>
      </c>
      <c r="E632" s="32" t="s">
        <v>4023</v>
      </c>
      <c r="F632" s="32" t="s">
        <v>1448</v>
      </c>
      <c r="H632" s="32"/>
      <c r="I632" s="17"/>
      <c r="J632" s="32"/>
    </row>
    <row r="633" spans="1:10" ht="12.75">
      <c r="A633" s="16" t="s">
        <v>1952</v>
      </c>
      <c r="B633" s="17">
        <v>170000</v>
      </c>
      <c r="C633" s="17">
        <f t="shared" si="37"/>
        <v>4675</v>
      </c>
      <c r="D633" s="47">
        <v>44799</v>
      </c>
      <c r="E633" s="32" t="s">
        <v>4023</v>
      </c>
      <c r="F633" s="32" t="s">
        <v>1448</v>
      </c>
      <c r="H633" s="32"/>
      <c r="I633" s="17"/>
      <c r="J633" s="32"/>
    </row>
    <row r="634" spans="1:10" ht="12.75">
      <c r="A634" s="16" t="s">
        <v>1953</v>
      </c>
      <c r="B634" s="17">
        <v>70000</v>
      </c>
      <c r="C634" s="17">
        <f t="shared" si="37"/>
        <v>1925</v>
      </c>
      <c r="D634" s="47">
        <v>44799</v>
      </c>
      <c r="E634" s="32" t="s">
        <v>4023</v>
      </c>
      <c r="F634" s="32" t="s">
        <v>28</v>
      </c>
      <c r="H634" s="32"/>
      <c r="I634" s="17"/>
      <c r="J634" s="21" t="s">
        <v>30</v>
      </c>
    </row>
    <row r="635" spans="1:10" ht="12.75">
      <c r="A635" s="16" t="s">
        <v>4678</v>
      </c>
      <c r="B635" s="17">
        <v>43000</v>
      </c>
      <c r="C635" s="17">
        <f t="shared" si="37"/>
        <v>1182.5</v>
      </c>
      <c r="D635" s="47">
        <v>44799</v>
      </c>
      <c r="E635" s="32" t="s">
        <v>11</v>
      </c>
      <c r="F635" s="32" t="s">
        <v>1448</v>
      </c>
      <c r="H635" s="32"/>
      <c r="I635" s="17"/>
      <c r="J635" s="32"/>
    </row>
    <row r="636" spans="1:10" ht="12.75">
      <c r="A636" s="16" t="s">
        <v>1954</v>
      </c>
      <c r="B636" s="17">
        <v>300000</v>
      </c>
      <c r="C636" s="17">
        <f t="shared" si="37"/>
        <v>8250</v>
      </c>
      <c r="D636" s="47">
        <v>44802</v>
      </c>
      <c r="E636" s="32" t="s">
        <v>11</v>
      </c>
      <c r="F636" s="32" t="s">
        <v>1448</v>
      </c>
      <c r="H636" s="32"/>
      <c r="I636" s="17"/>
      <c r="J636" s="32"/>
    </row>
    <row r="637" spans="1:10" ht="12.75">
      <c r="A637" s="16" t="s">
        <v>1732</v>
      </c>
      <c r="B637" s="17">
        <v>515000</v>
      </c>
      <c r="C637" s="17">
        <f t="shared" si="37"/>
        <v>14162.5</v>
      </c>
      <c r="D637" s="47">
        <v>44802</v>
      </c>
      <c r="E637" s="32" t="s">
        <v>11</v>
      </c>
      <c r="F637" s="32" t="s">
        <v>1448</v>
      </c>
      <c r="H637" s="32"/>
      <c r="I637" s="17"/>
      <c r="J637" s="32"/>
    </row>
    <row r="638" spans="1:10" ht="12.75">
      <c r="A638" s="16" t="s">
        <v>1955</v>
      </c>
      <c r="B638" s="17">
        <v>125000</v>
      </c>
      <c r="C638" s="17">
        <f t="shared" si="37"/>
        <v>3437.5</v>
      </c>
      <c r="D638" s="47">
        <v>44802</v>
      </c>
      <c r="E638" s="32" t="s">
        <v>11</v>
      </c>
      <c r="F638" s="32" t="s">
        <v>1448</v>
      </c>
      <c r="H638" s="32"/>
      <c r="I638" s="17"/>
      <c r="J638" s="32"/>
    </row>
    <row r="639" spans="1:10" ht="12.75">
      <c r="A639" s="16" t="s">
        <v>1913</v>
      </c>
      <c r="B639" s="17">
        <v>320000</v>
      </c>
      <c r="C639" s="17">
        <f t="shared" si="37"/>
        <v>8800</v>
      </c>
      <c r="D639" s="47">
        <v>44803</v>
      </c>
      <c r="E639" s="32" t="s">
        <v>11</v>
      </c>
      <c r="F639" s="32" t="s">
        <v>1448</v>
      </c>
      <c r="H639" s="32"/>
      <c r="I639" s="17"/>
      <c r="J639" s="32"/>
    </row>
    <row r="640" spans="1:10" ht="12.75">
      <c r="A640" s="16" t="s">
        <v>1454</v>
      </c>
      <c r="B640" s="17">
        <v>25000</v>
      </c>
      <c r="C640" s="17">
        <f t="shared" si="37"/>
        <v>687.5</v>
      </c>
      <c r="D640" s="47">
        <v>44804</v>
      </c>
      <c r="E640" s="32" t="s">
        <v>11</v>
      </c>
      <c r="F640" s="32" t="s">
        <v>1448</v>
      </c>
      <c r="H640" s="32"/>
      <c r="I640" s="17"/>
      <c r="J640" s="32"/>
    </row>
    <row r="641" spans="1:12" ht="12.75">
      <c r="A641" s="16" t="s">
        <v>1532</v>
      </c>
      <c r="B641" s="17">
        <v>200000</v>
      </c>
      <c r="C641" s="17">
        <f t="shared" si="37"/>
        <v>5500</v>
      </c>
      <c r="D641" s="47">
        <v>44804</v>
      </c>
      <c r="E641" s="32" t="s">
        <v>4023</v>
      </c>
      <c r="F641" s="32" t="s">
        <v>1448</v>
      </c>
      <c r="H641" s="32"/>
      <c r="I641" s="17"/>
      <c r="J641" s="32"/>
    </row>
    <row r="642" spans="1:12" ht="12.75">
      <c r="A642" s="16" t="s">
        <v>1956</v>
      </c>
      <c r="B642" s="17">
        <v>200000</v>
      </c>
      <c r="C642" s="17">
        <f t="shared" si="37"/>
        <v>5500</v>
      </c>
      <c r="D642" s="47">
        <v>44804</v>
      </c>
      <c r="E642" s="32" t="s">
        <v>11</v>
      </c>
      <c r="F642" s="32" t="s">
        <v>1448</v>
      </c>
      <c r="H642" s="32"/>
      <c r="I642" s="17"/>
      <c r="J642" s="32"/>
    </row>
    <row r="643" spans="1:12" ht="12.75">
      <c r="A643" s="16" t="s">
        <v>1957</v>
      </c>
      <c r="B643" s="17">
        <v>100000</v>
      </c>
      <c r="C643" s="17">
        <f t="shared" si="37"/>
        <v>2750</v>
      </c>
      <c r="D643" s="47">
        <v>44804</v>
      </c>
      <c r="E643" s="32" t="s">
        <v>11</v>
      </c>
      <c r="F643" s="32" t="s">
        <v>28</v>
      </c>
      <c r="H643" s="32"/>
      <c r="I643" s="17"/>
      <c r="J643" s="32"/>
    </row>
    <row r="644" spans="1:12" ht="12.75">
      <c r="A644" s="16" t="s">
        <v>1958</v>
      </c>
      <c r="B644" s="17">
        <v>27500</v>
      </c>
      <c r="C644" s="17">
        <f t="shared" si="37"/>
        <v>756.25</v>
      </c>
      <c r="D644" s="47">
        <v>44804</v>
      </c>
      <c r="E644" s="32" t="s">
        <v>11</v>
      </c>
      <c r="F644" s="32" t="s">
        <v>1448</v>
      </c>
      <c r="H644" s="32"/>
      <c r="I644" s="17"/>
      <c r="J644" s="32"/>
    </row>
    <row r="645" spans="1:12" ht="12.75">
      <c r="A645" s="16" t="s">
        <v>1874</v>
      </c>
      <c r="B645" s="17">
        <v>60000</v>
      </c>
      <c r="C645" s="17">
        <f t="shared" si="37"/>
        <v>1650</v>
      </c>
      <c r="D645" s="47">
        <v>44804</v>
      </c>
      <c r="E645" s="32" t="s">
        <v>11</v>
      </c>
      <c r="F645" s="32" t="s">
        <v>1448</v>
      </c>
      <c r="H645" s="32"/>
      <c r="I645" s="17"/>
      <c r="J645" s="32"/>
    </row>
    <row r="646" spans="1:12" ht="12.75">
      <c r="A646" s="16" t="s">
        <v>1540</v>
      </c>
      <c r="B646" s="41">
        <v>175000</v>
      </c>
      <c r="C646" s="41">
        <f t="shared" si="37"/>
        <v>4812.5</v>
      </c>
      <c r="D646" s="47">
        <v>44804</v>
      </c>
      <c r="E646" s="32" t="s">
        <v>4023</v>
      </c>
      <c r="F646" s="32" t="s">
        <v>1448</v>
      </c>
      <c r="G646" s="73"/>
      <c r="H646" s="73"/>
      <c r="I646" s="6"/>
      <c r="J646" s="36"/>
      <c r="K646" s="36"/>
      <c r="L646" s="36"/>
    </row>
    <row r="647" spans="1:12" ht="12.75">
      <c r="A647" s="11">
        <v>44805</v>
      </c>
      <c r="B647" s="9">
        <f t="shared" ref="B647:C647" si="38">SUM(B648:B741)</f>
        <v>28101500</v>
      </c>
      <c r="C647" s="9">
        <f t="shared" si="38"/>
        <v>765916.25</v>
      </c>
      <c r="D647" s="59"/>
      <c r="E647" s="59"/>
      <c r="F647" s="59"/>
      <c r="G647" s="9">
        <f>SUM(G648:G691)</f>
        <v>0</v>
      </c>
      <c r="H647" s="9"/>
      <c r="I647" s="15"/>
      <c r="J647" s="67"/>
      <c r="K647" s="69">
        <f>SUM(B647)</f>
        <v>28101500</v>
      </c>
      <c r="L647" s="67"/>
    </row>
    <row r="648" spans="1:12" ht="12.75">
      <c r="A648" s="16" t="s">
        <v>1959</v>
      </c>
      <c r="B648" s="17">
        <v>500000</v>
      </c>
      <c r="C648" s="17">
        <f t="shared" ref="C648:C692" si="39">0.0275*B648</f>
        <v>13750</v>
      </c>
      <c r="D648" s="47">
        <v>44805</v>
      </c>
      <c r="E648" s="32" t="s">
        <v>11</v>
      </c>
      <c r="F648" s="32" t="s">
        <v>1448</v>
      </c>
      <c r="H648" s="32"/>
      <c r="I648" s="17"/>
      <c r="J648" s="32"/>
    </row>
    <row r="649" spans="1:12" ht="12.75">
      <c r="A649" s="16" t="s">
        <v>1511</v>
      </c>
      <c r="B649" s="17">
        <v>480000</v>
      </c>
      <c r="C649" s="17">
        <f t="shared" si="39"/>
        <v>13200</v>
      </c>
      <c r="D649" s="47">
        <v>44805</v>
      </c>
      <c r="E649" s="32" t="s">
        <v>11</v>
      </c>
      <c r="F649" s="32" t="s">
        <v>1448</v>
      </c>
      <c r="H649" s="32"/>
      <c r="I649" s="17"/>
      <c r="J649" s="32"/>
    </row>
    <row r="650" spans="1:12" ht="12.75">
      <c r="A650" s="16" t="s">
        <v>1960</v>
      </c>
      <c r="B650" s="17">
        <v>250000</v>
      </c>
      <c r="C650" s="17">
        <f t="shared" si="39"/>
        <v>6875</v>
      </c>
      <c r="D650" s="47">
        <v>44806</v>
      </c>
      <c r="E650" s="32" t="s">
        <v>11</v>
      </c>
      <c r="F650" s="32" t="s">
        <v>1448</v>
      </c>
      <c r="H650" s="32"/>
      <c r="I650" s="17"/>
      <c r="J650" s="32"/>
    </row>
    <row r="651" spans="1:12" ht="12.75">
      <c r="A651" s="16" t="s">
        <v>1486</v>
      </c>
      <c r="B651" s="17">
        <v>270000</v>
      </c>
      <c r="C651" s="17">
        <f t="shared" si="39"/>
        <v>7425</v>
      </c>
      <c r="D651" s="47">
        <v>44806</v>
      </c>
      <c r="E651" s="32" t="s">
        <v>11</v>
      </c>
      <c r="F651" s="32" t="s">
        <v>1448</v>
      </c>
      <c r="H651" s="32"/>
      <c r="I651" s="17"/>
      <c r="J651" s="32"/>
    </row>
    <row r="652" spans="1:12" ht="12.75">
      <c r="A652" s="16" t="s">
        <v>1961</v>
      </c>
      <c r="B652" s="17">
        <v>600000</v>
      </c>
      <c r="C652" s="17">
        <f t="shared" si="39"/>
        <v>16500</v>
      </c>
      <c r="D652" s="47">
        <v>44810</v>
      </c>
      <c r="E652" s="32" t="s">
        <v>11</v>
      </c>
      <c r="F652" s="32" t="s">
        <v>1448</v>
      </c>
      <c r="H652" s="32"/>
      <c r="I652" s="17"/>
      <c r="J652" s="32"/>
    </row>
    <row r="653" spans="1:12" ht="12.75">
      <c r="A653" s="16" t="s">
        <v>1503</v>
      </c>
      <c r="B653" s="17">
        <v>95000</v>
      </c>
      <c r="C653" s="17">
        <f t="shared" si="39"/>
        <v>2612.5</v>
      </c>
      <c r="D653" s="47">
        <v>44811</v>
      </c>
      <c r="E653" s="32" t="s">
        <v>11</v>
      </c>
      <c r="F653" s="32" t="s">
        <v>1448</v>
      </c>
      <c r="H653" s="32"/>
      <c r="I653" s="17"/>
      <c r="J653" s="32"/>
    </row>
    <row r="654" spans="1:12" ht="12.75">
      <c r="A654" s="16" t="s">
        <v>1962</v>
      </c>
      <c r="B654" s="17">
        <v>250000</v>
      </c>
      <c r="C654" s="17">
        <f t="shared" si="39"/>
        <v>6875</v>
      </c>
      <c r="D654" s="47">
        <v>44811</v>
      </c>
      <c r="E654" s="32" t="s">
        <v>3566</v>
      </c>
      <c r="F654" s="32" t="s">
        <v>28</v>
      </c>
      <c r="H654" s="32"/>
      <c r="I654" s="17"/>
      <c r="J654" s="21" t="s">
        <v>30</v>
      </c>
    </row>
    <row r="655" spans="1:12" ht="12.75">
      <c r="A655" s="16" t="s">
        <v>4679</v>
      </c>
      <c r="B655" s="17">
        <v>250000</v>
      </c>
      <c r="C655" s="17">
        <f t="shared" si="39"/>
        <v>6875</v>
      </c>
      <c r="D655" s="47">
        <v>44811</v>
      </c>
      <c r="E655" s="32" t="s">
        <v>4023</v>
      </c>
      <c r="F655" s="32" t="s">
        <v>28</v>
      </c>
      <c r="H655" s="32"/>
      <c r="I655" s="17"/>
      <c r="J655" s="21" t="s">
        <v>30</v>
      </c>
    </row>
    <row r="656" spans="1:12" ht="12.75">
      <c r="A656" s="16" t="s">
        <v>1967</v>
      </c>
      <c r="B656" s="17">
        <v>200000</v>
      </c>
      <c r="C656" s="17">
        <f t="shared" si="39"/>
        <v>5500</v>
      </c>
      <c r="D656" s="47">
        <v>44812</v>
      </c>
      <c r="E656" s="32" t="s">
        <v>11</v>
      </c>
      <c r="F656" s="32" t="s">
        <v>28</v>
      </c>
      <c r="H656" s="32"/>
      <c r="I656" s="17"/>
      <c r="J656" s="21" t="s">
        <v>30</v>
      </c>
    </row>
    <row r="657" spans="1:10" ht="12.75">
      <c r="A657" s="16" t="s">
        <v>1968</v>
      </c>
      <c r="B657" s="17">
        <v>125000</v>
      </c>
      <c r="C657" s="17">
        <f t="shared" si="39"/>
        <v>3437.5</v>
      </c>
      <c r="D657" s="47">
        <v>44812</v>
      </c>
      <c r="E657" s="32" t="s">
        <v>3566</v>
      </c>
      <c r="F657" s="32" t="s">
        <v>28</v>
      </c>
      <c r="H657" s="32"/>
      <c r="I657" s="17"/>
      <c r="J657" s="21" t="s">
        <v>30</v>
      </c>
    </row>
    <row r="658" spans="1:10" ht="12.75">
      <c r="A658" s="16" t="s">
        <v>1969</v>
      </c>
      <c r="B658" s="17">
        <v>75000</v>
      </c>
      <c r="C658" s="17">
        <f t="shared" si="39"/>
        <v>2062.5</v>
      </c>
      <c r="D658" s="47">
        <v>44812</v>
      </c>
      <c r="E658" s="32" t="s">
        <v>4023</v>
      </c>
      <c r="F658" s="32" t="s">
        <v>28</v>
      </c>
      <c r="H658" s="32"/>
      <c r="I658" s="17"/>
      <c r="J658" s="21" t="s">
        <v>30</v>
      </c>
    </row>
    <row r="659" spans="1:10" ht="12.75">
      <c r="A659" s="16" t="s">
        <v>1970</v>
      </c>
      <c r="B659" s="17">
        <v>140000</v>
      </c>
      <c r="C659" s="17">
        <f t="shared" si="39"/>
        <v>3850</v>
      </c>
      <c r="D659" s="47">
        <v>44812</v>
      </c>
      <c r="E659" s="32" t="s">
        <v>11</v>
      </c>
      <c r="F659" s="32" t="s">
        <v>1448</v>
      </c>
      <c r="H659" s="32"/>
      <c r="I659" s="17"/>
      <c r="J659" s="32"/>
    </row>
    <row r="660" spans="1:10" ht="12.75">
      <c r="A660" s="16" t="s">
        <v>1971</v>
      </c>
      <c r="B660" s="17">
        <v>140000</v>
      </c>
      <c r="C660" s="17">
        <f t="shared" si="39"/>
        <v>3850</v>
      </c>
      <c r="D660" s="47">
        <v>44812</v>
      </c>
      <c r="E660" s="32" t="s">
        <v>11</v>
      </c>
      <c r="F660" s="32" t="s">
        <v>1448</v>
      </c>
      <c r="H660" s="32"/>
      <c r="I660" s="17"/>
      <c r="J660" s="32"/>
    </row>
    <row r="661" spans="1:10" ht="12.75">
      <c r="A661" s="16" t="s">
        <v>1972</v>
      </c>
      <c r="B661" s="17">
        <v>390000</v>
      </c>
      <c r="C661" s="17">
        <f t="shared" si="39"/>
        <v>10725</v>
      </c>
      <c r="D661" s="47">
        <v>44812</v>
      </c>
      <c r="E661" s="32" t="s">
        <v>11</v>
      </c>
      <c r="F661" s="32" t="s">
        <v>1448</v>
      </c>
      <c r="H661" s="32"/>
      <c r="I661" s="17"/>
      <c r="J661" s="32"/>
    </row>
    <row r="662" spans="1:10" ht="12.75">
      <c r="A662" s="16" t="s">
        <v>1973</v>
      </c>
      <c r="B662" s="17">
        <v>500000</v>
      </c>
      <c r="C662" s="17">
        <f t="shared" si="39"/>
        <v>13750</v>
      </c>
      <c r="D662" s="47">
        <v>44812</v>
      </c>
      <c r="E662" s="32" t="s">
        <v>11</v>
      </c>
      <c r="F662" s="32" t="s">
        <v>1448</v>
      </c>
      <c r="H662" s="32"/>
      <c r="I662" s="17"/>
      <c r="J662" s="32"/>
    </row>
    <row r="663" spans="1:10" ht="12.75">
      <c r="A663" s="16" t="s">
        <v>1974</v>
      </c>
      <c r="B663" s="17">
        <v>350000</v>
      </c>
      <c r="C663" s="17">
        <f t="shared" si="39"/>
        <v>9625</v>
      </c>
      <c r="D663" s="47">
        <v>44812</v>
      </c>
      <c r="E663" s="32" t="s">
        <v>11</v>
      </c>
      <c r="F663" s="32" t="s">
        <v>28</v>
      </c>
      <c r="H663" s="32"/>
      <c r="I663" s="17"/>
      <c r="J663" s="32"/>
    </row>
    <row r="664" spans="1:10" ht="12.75">
      <c r="A664" s="16" t="s">
        <v>1534</v>
      </c>
      <c r="B664" s="17">
        <v>185000</v>
      </c>
      <c r="C664" s="17">
        <f t="shared" si="39"/>
        <v>5087.5</v>
      </c>
      <c r="D664" s="47">
        <v>44813</v>
      </c>
      <c r="E664" s="32" t="s">
        <v>11</v>
      </c>
      <c r="F664" s="32" t="s">
        <v>1448</v>
      </c>
      <c r="H664" s="32"/>
      <c r="I664" s="17"/>
      <c r="J664" s="32"/>
    </row>
    <row r="665" spans="1:10" ht="12.75">
      <c r="A665" s="16" t="s">
        <v>1975</v>
      </c>
      <c r="B665" s="17">
        <v>500000</v>
      </c>
      <c r="C665" s="17">
        <f t="shared" si="39"/>
        <v>13750</v>
      </c>
      <c r="D665" s="47">
        <v>44813</v>
      </c>
      <c r="E665" s="32" t="s">
        <v>3566</v>
      </c>
      <c r="F665" s="32" t="s">
        <v>28</v>
      </c>
      <c r="H665" s="32"/>
      <c r="I665" s="17"/>
      <c r="J665" s="21" t="s">
        <v>30</v>
      </c>
    </row>
    <row r="666" spans="1:10" ht="12.75">
      <c r="A666" s="16" t="s">
        <v>1976</v>
      </c>
      <c r="B666" s="17">
        <v>100000</v>
      </c>
      <c r="C666" s="17">
        <f t="shared" si="39"/>
        <v>2750</v>
      </c>
      <c r="D666" s="47">
        <v>44813</v>
      </c>
      <c r="E666" s="32" t="s">
        <v>11</v>
      </c>
      <c r="F666" s="32" t="s">
        <v>28</v>
      </c>
      <c r="H666" s="32"/>
      <c r="I666" s="17"/>
      <c r="J666" s="21" t="s">
        <v>30</v>
      </c>
    </row>
    <row r="667" spans="1:10" ht="12.75">
      <c r="A667" s="16" t="s">
        <v>1963</v>
      </c>
      <c r="B667" s="17">
        <v>100000</v>
      </c>
      <c r="C667" s="17">
        <f t="shared" si="39"/>
        <v>2750</v>
      </c>
      <c r="D667" s="47">
        <v>44813</v>
      </c>
      <c r="E667" s="32" t="s">
        <v>11</v>
      </c>
      <c r="F667" s="32" t="s">
        <v>1448</v>
      </c>
      <c r="H667" s="32"/>
      <c r="I667" s="17"/>
      <c r="J667" s="32"/>
    </row>
    <row r="668" spans="1:10" ht="12.75">
      <c r="A668" s="16" t="s">
        <v>1897</v>
      </c>
      <c r="B668" s="17">
        <v>40000</v>
      </c>
      <c r="C668" s="17">
        <f t="shared" si="39"/>
        <v>1100</v>
      </c>
      <c r="D668" s="47">
        <v>44813</v>
      </c>
      <c r="E668" s="32" t="s">
        <v>11</v>
      </c>
      <c r="F668" s="32" t="s">
        <v>1448</v>
      </c>
      <c r="H668" s="32"/>
      <c r="I668" s="17"/>
      <c r="J668" s="32"/>
    </row>
    <row r="669" spans="1:10" ht="12.75">
      <c r="A669" s="16" t="s">
        <v>1964</v>
      </c>
      <c r="B669" s="17">
        <v>35000</v>
      </c>
      <c r="C669" s="17">
        <f t="shared" si="39"/>
        <v>962.5</v>
      </c>
      <c r="D669" s="47">
        <v>44813</v>
      </c>
      <c r="E669" s="32" t="s">
        <v>11</v>
      </c>
      <c r="F669" s="32" t="s">
        <v>1448</v>
      </c>
      <c r="H669" s="32"/>
      <c r="I669" s="17"/>
      <c r="J669" s="32"/>
    </row>
    <row r="670" spans="1:10" ht="12.75">
      <c r="A670" s="16" t="s">
        <v>1965</v>
      </c>
      <c r="B670" s="17">
        <v>25000</v>
      </c>
      <c r="C670" s="17">
        <f t="shared" si="39"/>
        <v>687.5</v>
      </c>
      <c r="D670" s="47">
        <v>44813</v>
      </c>
      <c r="E670" s="32" t="s">
        <v>11</v>
      </c>
      <c r="F670" s="32" t="s">
        <v>1448</v>
      </c>
      <c r="H670" s="32"/>
      <c r="I670" s="17"/>
      <c r="J670" s="32"/>
    </row>
    <row r="671" spans="1:10" ht="12.75">
      <c r="A671" s="16" t="s">
        <v>1966</v>
      </c>
      <c r="B671" s="17">
        <v>125000</v>
      </c>
      <c r="C671" s="17">
        <f t="shared" si="39"/>
        <v>3437.5</v>
      </c>
      <c r="D671" s="47">
        <v>44813</v>
      </c>
      <c r="E671" s="32" t="s">
        <v>11</v>
      </c>
      <c r="F671" s="32" t="s">
        <v>28</v>
      </c>
      <c r="H671" s="32"/>
      <c r="I671" s="17"/>
      <c r="J671" s="32"/>
    </row>
    <row r="672" spans="1:10" ht="12.75">
      <c r="A672" s="16" t="s">
        <v>1977</v>
      </c>
      <c r="B672" s="17">
        <v>1000000</v>
      </c>
      <c r="C672" s="17">
        <f t="shared" si="39"/>
        <v>27500</v>
      </c>
      <c r="D672" s="47">
        <v>44813</v>
      </c>
      <c r="E672" s="32" t="s">
        <v>4023</v>
      </c>
      <c r="F672" s="32" t="s">
        <v>28</v>
      </c>
      <c r="H672" s="32"/>
      <c r="I672" s="17"/>
      <c r="J672" s="21" t="s">
        <v>30</v>
      </c>
    </row>
    <row r="673" spans="1:10" ht="12.75">
      <c r="A673" s="16" t="s">
        <v>1463</v>
      </c>
      <c r="B673" s="17">
        <v>260000</v>
      </c>
      <c r="C673" s="17">
        <f t="shared" si="39"/>
        <v>7150</v>
      </c>
      <c r="D673" s="47">
        <v>44813</v>
      </c>
      <c r="E673" s="32" t="s">
        <v>11</v>
      </c>
      <c r="F673" s="32" t="s">
        <v>1448</v>
      </c>
      <c r="H673" s="32"/>
      <c r="I673" s="17"/>
      <c r="J673" s="32"/>
    </row>
    <row r="674" spans="1:10" ht="12.75">
      <c r="A674" s="16" t="s">
        <v>1978</v>
      </c>
      <c r="B674" s="17">
        <v>95000</v>
      </c>
      <c r="C674" s="17">
        <f t="shared" si="39"/>
        <v>2612.5</v>
      </c>
      <c r="D674" s="47">
        <v>44813</v>
      </c>
      <c r="E674" s="32" t="s">
        <v>4023</v>
      </c>
      <c r="F674" s="32" t="s">
        <v>28</v>
      </c>
      <c r="H674" s="32"/>
      <c r="I674" s="17"/>
      <c r="J674" s="21" t="s">
        <v>30</v>
      </c>
    </row>
    <row r="675" spans="1:10" ht="12.75">
      <c r="A675" s="16" t="s">
        <v>1979</v>
      </c>
      <c r="B675" s="17">
        <v>650000</v>
      </c>
      <c r="C675" s="17">
        <f t="shared" si="39"/>
        <v>17875</v>
      </c>
      <c r="D675" s="47">
        <v>44816</v>
      </c>
      <c r="E675" s="32" t="s">
        <v>165</v>
      </c>
      <c r="F675" s="32" t="s">
        <v>1448</v>
      </c>
      <c r="H675" s="32"/>
      <c r="I675" s="17"/>
      <c r="J675" s="32"/>
    </row>
    <row r="676" spans="1:10" ht="12.75">
      <c r="A676" s="16" t="s">
        <v>1980</v>
      </c>
      <c r="B676" s="17">
        <v>400000</v>
      </c>
      <c r="C676" s="17">
        <f t="shared" si="39"/>
        <v>11000</v>
      </c>
      <c r="D676" s="47">
        <v>44816</v>
      </c>
      <c r="E676" s="32" t="s">
        <v>165</v>
      </c>
      <c r="F676" s="32" t="s">
        <v>1448</v>
      </c>
      <c r="H676" s="32"/>
      <c r="I676" s="17"/>
      <c r="J676" s="32"/>
    </row>
    <row r="677" spans="1:10" ht="12.75">
      <c r="A677" s="16" t="s">
        <v>1504</v>
      </c>
      <c r="B677" s="17">
        <v>305000</v>
      </c>
      <c r="C677" s="17">
        <f t="shared" si="39"/>
        <v>8387.5</v>
      </c>
      <c r="D677" s="47">
        <v>44816</v>
      </c>
      <c r="E677" s="32" t="s">
        <v>11</v>
      </c>
      <c r="F677" s="32" t="s">
        <v>1448</v>
      </c>
      <c r="H677" s="32"/>
      <c r="I677" s="17"/>
      <c r="J677" s="32"/>
    </row>
    <row r="678" spans="1:10" ht="12.75">
      <c r="A678" s="16" t="s">
        <v>1527</v>
      </c>
      <c r="B678" s="17">
        <v>825000</v>
      </c>
      <c r="C678" s="17">
        <f t="shared" si="39"/>
        <v>22687.5</v>
      </c>
      <c r="D678" s="47">
        <v>44816</v>
      </c>
      <c r="E678" s="32" t="s">
        <v>11</v>
      </c>
      <c r="F678" s="32" t="s">
        <v>1448</v>
      </c>
      <c r="H678" s="32"/>
      <c r="I678" s="17"/>
      <c r="J678" s="32"/>
    </row>
    <row r="679" spans="1:10" ht="12.75">
      <c r="A679" s="16" t="s">
        <v>1465</v>
      </c>
      <c r="B679" s="17">
        <v>70000</v>
      </c>
      <c r="C679" s="17">
        <f t="shared" si="39"/>
        <v>1925</v>
      </c>
      <c r="D679" s="47">
        <v>44816</v>
      </c>
      <c r="E679" s="32" t="s">
        <v>73</v>
      </c>
      <c r="F679" s="32" t="s">
        <v>1448</v>
      </c>
      <c r="H679" s="32"/>
      <c r="I679" s="17"/>
      <c r="J679" s="32"/>
    </row>
    <row r="680" spans="1:10" ht="12.75">
      <c r="A680" s="16" t="s">
        <v>1559</v>
      </c>
      <c r="B680" s="17">
        <v>1550000</v>
      </c>
      <c r="C680" s="17">
        <f t="shared" si="39"/>
        <v>42625</v>
      </c>
      <c r="D680" s="47">
        <v>44816</v>
      </c>
      <c r="E680" s="32" t="s">
        <v>2405</v>
      </c>
      <c r="F680" s="32" t="s">
        <v>1448</v>
      </c>
      <c r="H680" s="32"/>
      <c r="I680" s="17" t="s">
        <v>4680</v>
      </c>
      <c r="J680" s="32"/>
    </row>
    <row r="681" spans="1:10" ht="12.75">
      <c r="A681" s="16" t="s">
        <v>1489</v>
      </c>
      <c r="B681" s="17">
        <v>75000</v>
      </c>
      <c r="C681" s="17">
        <f t="shared" si="39"/>
        <v>2062.5</v>
      </c>
      <c r="D681" s="47">
        <v>44816</v>
      </c>
      <c r="E681" s="32" t="s">
        <v>73</v>
      </c>
      <c r="F681" s="32" t="s">
        <v>1448</v>
      </c>
      <c r="H681" s="32"/>
      <c r="I681" s="17"/>
      <c r="J681" s="32"/>
    </row>
    <row r="682" spans="1:10" ht="12.75">
      <c r="A682" s="16" t="s">
        <v>1981</v>
      </c>
      <c r="B682" s="17">
        <v>25000</v>
      </c>
      <c r="C682" s="17">
        <f t="shared" si="39"/>
        <v>687.5</v>
      </c>
      <c r="D682" s="47">
        <v>44816</v>
      </c>
      <c r="E682" s="32" t="s">
        <v>92</v>
      </c>
      <c r="F682" s="32" t="s">
        <v>1448</v>
      </c>
      <c r="H682" s="32"/>
      <c r="I682" s="17"/>
      <c r="J682" s="23"/>
    </row>
    <row r="683" spans="1:10" ht="12.75">
      <c r="A683" s="16" t="s">
        <v>1622</v>
      </c>
      <c r="B683" s="17">
        <v>500000</v>
      </c>
      <c r="C683" s="17">
        <f t="shared" si="39"/>
        <v>13750</v>
      </c>
      <c r="D683" s="47">
        <v>44817</v>
      </c>
      <c r="E683" s="32" t="s">
        <v>4023</v>
      </c>
      <c r="F683" s="32" t="s">
        <v>1448</v>
      </c>
      <c r="H683" s="32"/>
      <c r="I683" s="17"/>
      <c r="J683" s="32"/>
    </row>
    <row r="684" spans="1:10" ht="12.75">
      <c r="A684" s="16" t="s">
        <v>1982</v>
      </c>
      <c r="B684" s="17">
        <v>70000</v>
      </c>
      <c r="C684" s="17">
        <f t="shared" si="39"/>
        <v>1925</v>
      </c>
      <c r="D684" s="47">
        <v>44817</v>
      </c>
      <c r="E684" s="32" t="s">
        <v>11</v>
      </c>
      <c r="F684" s="32" t="s">
        <v>1448</v>
      </c>
      <c r="H684" s="32"/>
      <c r="I684" s="17"/>
      <c r="J684" s="32"/>
    </row>
    <row r="685" spans="1:10" ht="12.75">
      <c r="A685" s="16" t="s">
        <v>1983</v>
      </c>
      <c r="B685" s="17">
        <v>150000</v>
      </c>
      <c r="C685" s="17">
        <f t="shared" si="39"/>
        <v>4125</v>
      </c>
      <c r="D685" s="47">
        <v>44817</v>
      </c>
      <c r="E685" s="32" t="s">
        <v>4023</v>
      </c>
      <c r="F685" s="32" t="s">
        <v>1448</v>
      </c>
      <c r="H685" s="32"/>
      <c r="I685" s="17"/>
      <c r="J685" s="32"/>
    </row>
    <row r="686" spans="1:10" ht="12.75">
      <c r="A686" s="16" t="s">
        <v>1984</v>
      </c>
      <c r="B686" s="17">
        <v>100000</v>
      </c>
      <c r="C686" s="17">
        <f t="shared" si="39"/>
        <v>2750</v>
      </c>
      <c r="D686" s="47">
        <v>44818</v>
      </c>
      <c r="E686" s="32" t="s">
        <v>772</v>
      </c>
      <c r="F686" s="32" t="s">
        <v>28</v>
      </c>
      <c r="H686" s="32"/>
      <c r="I686" s="17"/>
      <c r="J686" s="21" t="s">
        <v>30</v>
      </c>
    </row>
    <row r="687" spans="1:10" ht="12.75">
      <c r="A687" s="16" t="s">
        <v>4671</v>
      </c>
      <c r="B687" s="17">
        <v>500000</v>
      </c>
      <c r="C687" s="17">
        <f t="shared" si="39"/>
        <v>13750</v>
      </c>
      <c r="D687" s="47">
        <v>44819</v>
      </c>
      <c r="E687" s="32" t="s">
        <v>4672</v>
      </c>
      <c r="F687" s="32" t="s">
        <v>28</v>
      </c>
      <c r="H687" s="32"/>
      <c r="I687" s="17" t="s">
        <v>4680</v>
      </c>
      <c r="J687" s="32"/>
    </row>
    <row r="688" spans="1:10" ht="12.75">
      <c r="A688" s="16" t="s">
        <v>1703</v>
      </c>
      <c r="B688" s="17">
        <v>850000</v>
      </c>
      <c r="C688" s="17">
        <f t="shared" si="39"/>
        <v>23375</v>
      </c>
      <c r="D688" s="47">
        <v>44819</v>
      </c>
      <c r="E688" s="32" t="s">
        <v>11</v>
      </c>
      <c r="F688" s="32" t="s">
        <v>1448</v>
      </c>
      <c r="H688" s="32"/>
      <c r="I688" s="17"/>
      <c r="J688" s="32"/>
    </row>
    <row r="689" spans="1:10" ht="12.75">
      <c r="A689" s="16" t="s">
        <v>1610</v>
      </c>
      <c r="B689" s="17">
        <v>300000</v>
      </c>
      <c r="C689" s="17">
        <f t="shared" si="39"/>
        <v>8250</v>
      </c>
      <c r="D689" s="47">
        <v>44819</v>
      </c>
      <c r="E689" s="32" t="s">
        <v>73</v>
      </c>
      <c r="F689" s="32" t="s">
        <v>1448</v>
      </c>
      <c r="H689" s="32"/>
      <c r="I689" s="17"/>
      <c r="J689" s="32"/>
    </row>
    <row r="690" spans="1:10" ht="12.75">
      <c r="A690" s="16" t="s">
        <v>1768</v>
      </c>
      <c r="B690" s="17">
        <v>605000</v>
      </c>
      <c r="C690" s="17">
        <f t="shared" si="39"/>
        <v>16637.5</v>
      </c>
      <c r="D690" s="47">
        <v>44819</v>
      </c>
      <c r="E690" s="32" t="s">
        <v>73</v>
      </c>
      <c r="F690" s="32" t="s">
        <v>1448</v>
      </c>
      <c r="H690" s="32"/>
      <c r="I690" s="17"/>
      <c r="J690" s="32"/>
    </row>
    <row r="691" spans="1:10" ht="12.75">
      <c r="A691" s="16" t="s">
        <v>1985</v>
      </c>
      <c r="B691" s="17">
        <v>50000</v>
      </c>
      <c r="C691" s="17">
        <f t="shared" si="39"/>
        <v>1375</v>
      </c>
      <c r="D691" s="47">
        <v>44820</v>
      </c>
      <c r="E691" s="32" t="s">
        <v>11</v>
      </c>
      <c r="F691" s="32" t="s">
        <v>28</v>
      </c>
      <c r="H691" s="32"/>
      <c r="I691" s="17"/>
      <c r="J691" s="21" t="s">
        <v>30</v>
      </c>
    </row>
    <row r="692" spans="1:10" ht="12.75">
      <c r="A692" s="16" t="s">
        <v>1468</v>
      </c>
      <c r="B692" s="17">
        <v>275000</v>
      </c>
      <c r="C692" s="17">
        <f t="shared" si="39"/>
        <v>7562.5</v>
      </c>
      <c r="D692" s="47">
        <v>44820</v>
      </c>
      <c r="E692" s="32" t="s">
        <v>11</v>
      </c>
      <c r="F692" s="32" t="s">
        <v>1448</v>
      </c>
      <c r="H692" s="32"/>
      <c r="I692" s="17"/>
      <c r="J692" s="32"/>
    </row>
    <row r="693" spans="1:10" ht="12.75">
      <c r="A693" s="16" t="s">
        <v>1857</v>
      </c>
      <c r="B693" s="17">
        <v>250000</v>
      </c>
      <c r="C693" s="17">
        <v>0</v>
      </c>
      <c r="D693" s="47">
        <v>44823</v>
      </c>
      <c r="E693" s="32" t="s">
        <v>11</v>
      </c>
      <c r="F693" s="32" t="s">
        <v>1448</v>
      </c>
      <c r="H693" s="32"/>
      <c r="I693" s="17" t="s">
        <v>4681</v>
      </c>
      <c r="J693" s="32"/>
    </row>
    <row r="694" spans="1:10" ht="12.75">
      <c r="A694" s="16" t="s">
        <v>2089</v>
      </c>
      <c r="B694" s="17">
        <v>200000</v>
      </c>
      <c r="C694" s="17">
        <f t="shared" ref="C694:C741" si="40">0.0275*B694</f>
        <v>5500</v>
      </c>
      <c r="D694" s="47">
        <v>44823</v>
      </c>
      <c r="E694" s="32" t="s">
        <v>4682</v>
      </c>
      <c r="F694" s="32" t="s">
        <v>28</v>
      </c>
      <c r="H694" s="71">
        <v>300</v>
      </c>
      <c r="I694" s="17" t="s">
        <v>4683</v>
      </c>
      <c r="J694" s="21" t="s">
        <v>30</v>
      </c>
    </row>
    <row r="695" spans="1:10" ht="12.75">
      <c r="A695" s="16" t="s">
        <v>1490</v>
      </c>
      <c r="B695" s="17">
        <v>250000</v>
      </c>
      <c r="C695" s="17">
        <f t="shared" si="40"/>
        <v>6875</v>
      </c>
      <c r="D695" s="47">
        <v>44823</v>
      </c>
      <c r="E695" s="32" t="s">
        <v>11</v>
      </c>
      <c r="F695" s="32" t="s">
        <v>1448</v>
      </c>
      <c r="H695" s="32"/>
      <c r="I695" s="17"/>
      <c r="J695" s="32"/>
    </row>
    <row r="696" spans="1:10" ht="12.75">
      <c r="A696" s="16" t="s">
        <v>1544</v>
      </c>
      <c r="B696" s="17">
        <v>400000</v>
      </c>
      <c r="C696" s="17">
        <f t="shared" si="40"/>
        <v>11000</v>
      </c>
      <c r="D696" s="47">
        <v>44823</v>
      </c>
      <c r="E696" s="32" t="s">
        <v>11</v>
      </c>
      <c r="F696" s="32" t="s">
        <v>1448</v>
      </c>
      <c r="H696" s="32"/>
      <c r="I696" s="17"/>
      <c r="J696" s="32"/>
    </row>
    <row r="697" spans="1:10" ht="12.75">
      <c r="A697" s="16" t="s">
        <v>1835</v>
      </c>
      <c r="B697" s="17">
        <v>150000</v>
      </c>
      <c r="C697" s="17">
        <f t="shared" si="40"/>
        <v>4125</v>
      </c>
      <c r="D697" s="47">
        <v>44824</v>
      </c>
      <c r="E697" s="32" t="s">
        <v>11</v>
      </c>
      <c r="F697" s="32" t="s">
        <v>1448</v>
      </c>
      <c r="H697" s="32"/>
      <c r="I697" s="17"/>
      <c r="J697" s="32"/>
    </row>
    <row r="698" spans="1:10" ht="12.75">
      <c r="A698" s="16" t="s">
        <v>1986</v>
      </c>
      <c r="B698" s="17">
        <v>110000</v>
      </c>
      <c r="C698" s="17">
        <f t="shared" si="40"/>
        <v>3025</v>
      </c>
      <c r="D698" s="47">
        <v>44824</v>
      </c>
      <c r="E698" s="32" t="s">
        <v>4023</v>
      </c>
      <c r="F698" s="32" t="s">
        <v>28</v>
      </c>
      <c r="H698" s="32"/>
      <c r="I698" s="17"/>
      <c r="J698" s="21" t="s">
        <v>30</v>
      </c>
    </row>
    <row r="699" spans="1:10" ht="12.75">
      <c r="A699" s="16" t="s">
        <v>1987</v>
      </c>
      <c r="B699" s="17">
        <v>60000</v>
      </c>
      <c r="C699" s="17">
        <f t="shared" si="40"/>
        <v>1650</v>
      </c>
      <c r="D699" s="47">
        <v>44825</v>
      </c>
      <c r="E699" s="32" t="s">
        <v>4684</v>
      </c>
      <c r="F699" s="32" t="s">
        <v>28</v>
      </c>
      <c r="H699" s="32"/>
      <c r="I699" s="17"/>
      <c r="J699" s="21" t="s">
        <v>30</v>
      </c>
    </row>
    <row r="700" spans="1:10" ht="12.75">
      <c r="A700" s="16" t="s">
        <v>1989</v>
      </c>
      <c r="B700" s="17">
        <v>250000</v>
      </c>
      <c r="C700" s="17">
        <f t="shared" si="40"/>
        <v>6875</v>
      </c>
      <c r="D700" s="47">
        <v>44825</v>
      </c>
      <c r="E700" s="32" t="s">
        <v>11</v>
      </c>
      <c r="F700" s="32" t="s">
        <v>1448</v>
      </c>
      <c r="H700" s="32"/>
      <c r="I700" s="17"/>
      <c r="J700" s="32"/>
    </row>
    <row r="701" spans="1:10" ht="12.75">
      <c r="A701" s="16" t="s">
        <v>1517</v>
      </c>
      <c r="B701" s="17">
        <v>85000</v>
      </c>
      <c r="C701" s="17">
        <f t="shared" si="40"/>
        <v>2337.5</v>
      </c>
      <c r="D701" s="47">
        <v>44825</v>
      </c>
      <c r="E701" s="32" t="s">
        <v>73</v>
      </c>
      <c r="F701" s="32" t="s">
        <v>1448</v>
      </c>
      <c r="H701" s="32"/>
      <c r="I701" s="17"/>
      <c r="J701" s="32"/>
    </row>
    <row r="702" spans="1:10" ht="12.75">
      <c r="A702" s="16" t="s">
        <v>1988</v>
      </c>
      <c r="B702" s="17">
        <v>200000</v>
      </c>
      <c r="C702" s="17">
        <f t="shared" si="40"/>
        <v>5500</v>
      </c>
      <c r="D702" s="47">
        <v>44825</v>
      </c>
      <c r="E702" s="32" t="s">
        <v>4023</v>
      </c>
      <c r="F702" s="32" t="s">
        <v>28</v>
      </c>
      <c r="H702" s="32"/>
      <c r="I702" s="17"/>
      <c r="J702" s="21" t="s">
        <v>30</v>
      </c>
    </row>
    <row r="703" spans="1:10" ht="12.75">
      <c r="A703" s="16" t="s">
        <v>4685</v>
      </c>
      <c r="B703" s="17">
        <v>650000</v>
      </c>
      <c r="C703" s="17">
        <f t="shared" si="40"/>
        <v>17875</v>
      </c>
      <c r="D703" s="47">
        <v>44825</v>
      </c>
      <c r="E703" s="32" t="s">
        <v>4686</v>
      </c>
      <c r="F703" s="32" t="s">
        <v>28</v>
      </c>
      <c r="H703" s="74">
        <v>975</v>
      </c>
      <c r="I703" s="17" t="s">
        <v>4687</v>
      </c>
      <c r="J703" s="21" t="s">
        <v>30</v>
      </c>
    </row>
    <row r="704" spans="1:10" ht="12.75">
      <c r="A704" s="16" t="s">
        <v>1467</v>
      </c>
      <c r="B704" s="17">
        <v>535000</v>
      </c>
      <c r="C704" s="17">
        <f t="shared" si="40"/>
        <v>14712.5</v>
      </c>
      <c r="D704" s="47">
        <v>44826</v>
      </c>
      <c r="E704" s="32" t="s">
        <v>11</v>
      </c>
      <c r="F704" s="32" t="s">
        <v>1448</v>
      </c>
      <c r="H704" s="32"/>
      <c r="I704" s="17"/>
      <c r="J704" s="32"/>
    </row>
    <row r="705" spans="1:10" ht="12.75">
      <c r="A705" s="16" t="s">
        <v>1992</v>
      </c>
      <c r="B705" s="17">
        <v>200000</v>
      </c>
      <c r="C705" s="17">
        <f t="shared" si="40"/>
        <v>5500</v>
      </c>
      <c r="D705" s="47">
        <v>44826</v>
      </c>
      <c r="E705" s="32" t="s">
        <v>4023</v>
      </c>
      <c r="F705" s="32" t="s">
        <v>1448</v>
      </c>
      <c r="H705" s="32"/>
      <c r="I705" s="17"/>
      <c r="J705" s="32"/>
    </row>
    <row r="706" spans="1:10" ht="12.75">
      <c r="A706" s="16" t="s">
        <v>4688</v>
      </c>
      <c r="B706" s="17">
        <v>35000</v>
      </c>
      <c r="C706" s="17">
        <f t="shared" si="40"/>
        <v>962.5</v>
      </c>
      <c r="D706" s="47">
        <v>44826</v>
      </c>
      <c r="E706" s="32" t="s">
        <v>4023</v>
      </c>
      <c r="F706" s="32" t="s">
        <v>28</v>
      </c>
      <c r="H706" s="32"/>
      <c r="I706" s="17"/>
      <c r="J706" s="32"/>
    </row>
    <row r="707" spans="1:10" ht="12.75">
      <c r="A707" s="16" t="s">
        <v>1993</v>
      </c>
      <c r="B707" s="17">
        <v>50000</v>
      </c>
      <c r="C707" s="17">
        <f t="shared" si="40"/>
        <v>1375</v>
      </c>
      <c r="D707" s="47">
        <v>44826</v>
      </c>
      <c r="E707" s="32" t="s">
        <v>11</v>
      </c>
      <c r="F707" s="32" t="s">
        <v>28</v>
      </c>
      <c r="H707" s="32"/>
      <c r="I707" s="17"/>
      <c r="J707" s="32"/>
    </row>
    <row r="708" spans="1:10" ht="12.75">
      <c r="A708" s="16" t="s">
        <v>1758</v>
      </c>
      <c r="B708" s="17">
        <v>65000</v>
      </c>
      <c r="C708" s="17">
        <f t="shared" si="40"/>
        <v>1787.5</v>
      </c>
      <c r="D708" s="47">
        <v>44826</v>
      </c>
      <c r="E708" s="32" t="s">
        <v>11</v>
      </c>
      <c r="F708" s="32" t="s">
        <v>1448</v>
      </c>
      <c r="H708" s="32"/>
      <c r="I708" s="17"/>
      <c r="J708" s="32"/>
    </row>
    <row r="709" spans="1:10" ht="12.75">
      <c r="A709" s="16" t="s">
        <v>1994</v>
      </c>
      <c r="B709" s="17">
        <v>150000</v>
      </c>
      <c r="C709" s="17">
        <f t="shared" si="40"/>
        <v>4125</v>
      </c>
      <c r="D709" s="47">
        <v>44826</v>
      </c>
      <c r="E709" s="32" t="s">
        <v>11</v>
      </c>
      <c r="F709" s="32" t="s">
        <v>1448</v>
      </c>
      <c r="H709" s="32"/>
      <c r="I709" s="17"/>
      <c r="J709" s="32"/>
    </row>
    <row r="710" spans="1:10" ht="12.75">
      <c r="A710" s="16" t="s">
        <v>1651</v>
      </c>
      <c r="B710" s="17">
        <v>62500</v>
      </c>
      <c r="C710" s="17">
        <f t="shared" si="40"/>
        <v>1718.75</v>
      </c>
      <c r="D710" s="47">
        <v>44826</v>
      </c>
      <c r="E710" s="32" t="s">
        <v>11</v>
      </c>
      <c r="F710" s="32" t="s">
        <v>1448</v>
      </c>
      <c r="H710" s="32"/>
      <c r="I710" s="17"/>
      <c r="J710" s="32"/>
    </row>
    <row r="711" spans="1:10" ht="12.75">
      <c r="A711" s="16" t="s">
        <v>1990</v>
      </c>
      <c r="B711" s="17">
        <v>26000</v>
      </c>
      <c r="C711" s="17">
        <f t="shared" si="40"/>
        <v>715</v>
      </c>
      <c r="D711" s="47">
        <v>44826</v>
      </c>
      <c r="E711" s="32" t="s">
        <v>11</v>
      </c>
      <c r="F711" s="32" t="s">
        <v>1448</v>
      </c>
      <c r="H711" s="32"/>
      <c r="I711" s="17"/>
      <c r="J711" s="32"/>
    </row>
    <row r="712" spans="1:10" ht="12.75">
      <c r="A712" s="16" t="s">
        <v>1991</v>
      </c>
      <c r="B712" s="17">
        <v>25000</v>
      </c>
      <c r="C712" s="17">
        <f t="shared" si="40"/>
        <v>687.5</v>
      </c>
      <c r="D712" s="47">
        <v>44826</v>
      </c>
      <c r="E712" s="32" t="s">
        <v>11</v>
      </c>
      <c r="F712" s="32" t="s">
        <v>1448</v>
      </c>
      <c r="H712" s="32"/>
      <c r="I712" s="17"/>
      <c r="J712" s="32"/>
    </row>
    <row r="713" spans="1:10" ht="12.75">
      <c r="A713" s="16" t="s">
        <v>1995</v>
      </c>
      <c r="B713" s="17">
        <v>150000</v>
      </c>
      <c r="C713" s="17">
        <f t="shared" si="40"/>
        <v>4125</v>
      </c>
      <c r="D713" s="47">
        <v>44827</v>
      </c>
      <c r="E713" s="32" t="s">
        <v>4023</v>
      </c>
      <c r="F713" s="32" t="s">
        <v>28</v>
      </c>
      <c r="H713" s="32"/>
      <c r="I713" s="17"/>
      <c r="J713" s="21" t="s">
        <v>30</v>
      </c>
    </row>
    <row r="714" spans="1:10" ht="12.75">
      <c r="A714" s="16" t="s">
        <v>1996</v>
      </c>
      <c r="B714" s="17">
        <v>750000</v>
      </c>
      <c r="C714" s="17">
        <f t="shared" si="40"/>
        <v>20625</v>
      </c>
      <c r="D714" s="47">
        <v>44827</v>
      </c>
      <c r="E714" s="32" t="s">
        <v>902</v>
      </c>
      <c r="F714" s="32" t="s">
        <v>28</v>
      </c>
      <c r="H714" s="32"/>
      <c r="I714" s="17"/>
      <c r="J714" s="21" t="s">
        <v>30</v>
      </c>
    </row>
    <row r="715" spans="1:10" ht="12.75">
      <c r="A715" s="16" t="s">
        <v>1997</v>
      </c>
      <c r="B715" s="17">
        <v>750000</v>
      </c>
      <c r="C715" s="17">
        <f t="shared" si="40"/>
        <v>20625</v>
      </c>
      <c r="D715" s="47">
        <v>44827</v>
      </c>
      <c r="E715" s="32" t="s">
        <v>902</v>
      </c>
      <c r="F715" s="32" t="s">
        <v>28</v>
      </c>
      <c r="H715" s="32"/>
      <c r="I715" s="17"/>
      <c r="J715" s="21" t="s">
        <v>30</v>
      </c>
    </row>
    <row r="716" spans="1:10" ht="12.75">
      <c r="A716" s="16" t="s">
        <v>1998</v>
      </c>
      <c r="B716" s="17">
        <v>300000</v>
      </c>
      <c r="C716" s="17">
        <f t="shared" si="40"/>
        <v>8250</v>
      </c>
      <c r="D716" s="47">
        <v>44827</v>
      </c>
      <c r="E716" s="32" t="s">
        <v>92</v>
      </c>
      <c r="F716" s="32" t="s">
        <v>28</v>
      </c>
      <c r="H716" s="32"/>
      <c r="I716" s="17"/>
      <c r="J716" s="32"/>
    </row>
    <row r="717" spans="1:10" ht="12.75">
      <c r="A717" s="16" t="s">
        <v>1999</v>
      </c>
      <c r="B717" s="17">
        <v>300000</v>
      </c>
      <c r="C717" s="17">
        <f t="shared" si="40"/>
        <v>8250</v>
      </c>
      <c r="D717" s="47">
        <v>44830</v>
      </c>
      <c r="E717" s="32" t="s">
        <v>3566</v>
      </c>
      <c r="F717" s="32" t="s">
        <v>28</v>
      </c>
      <c r="H717" s="32"/>
      <c r="I717" s="17"/>
      <c r="J717" s="21" t="s">
        <v>30</v>
      </c>
    </row>
    <row r="718" spans="1:10" ht="12.75">
      <c r="A718" s="16" t="s">
        <v>180</v>
      </c>
      <c r="B718" s="17">
        <v>135000</v>
      </c>
      <c r="C718" s="17">
        <f t="shared" si="40"/>
        <v>3712.5</v>
      </c>
      <c r="D718" s="47">
        <v>44831</v>
      </c>
      <c r="E718" s="32" t="s">
        <v>11</v>
      </c>
      <c r="F718" s="32" t="s">
        <v>1448</v>
      </c>
      <c r="H718" s="32"/>
      <c r="I718" s="17"/>
      <c r="J718" s="32"/>
    </row>
    <row r="719" spans="1:10" ht="12.75">
      <c r="A719" s="16" t="s">
        <v>2000</v>
      </c>
      <c r="B719" s="17">
        <v>250000</v>
      </c>
      <c r="C719" s="17">
        <f t="shared" si="40"/>
        <v>6875</v>
      </c>
      <c r="D719" s="47">
        <v>44831</v>
      </c>
      <c r="E719" s="32" t="s">
        <v>4689</v>
      </c>
      <c r="F719" s="32" t="s">
        <v>28</v>
      </c>
      <c r="H719" s="32"/>
      <c r="I719" s="17"/>
      <c r="J719" s="21" t="s">
        <v>30</v>
      </c>
    </row>
    <row r="720" spans="1:10" ht="12.75">
      <c r="A720" s="16" t="s">
        <v>1782</v>
      </c>
      <c r="B720" s="17">
        <v>530000</v>
      </c>
      <c r="C720" s="17">
        <f t="shared" si="40"/>
        <v>14575</v>
      </c>
      <c r="D720" s="47">
        <v>44831</v>
      </c>
      <c r="E720" s="32" t="s">
        <v>73</v>
      </c>
      <c r="F720" s="32" t="s">
        <v>1448</v>
      </c>
      <c r="H720" s="32"/>
      <c r="I720" s="17"/>
      <c r="J720" s="32"/>
    </row>
    <row r="721" spans="1:10" ht="12.75">
      <c r="A721" s="16" t="s">
        <v>2001</v>
      </c>
      <c r="B721" s="17">
        <v>350000</v>
      </c>
      <c r="C721" s="17">
        <f t="shared" si="40"/>
        <v>9625</v>
      </c>
      <c r="D721" s="47">
        <v>44831</v>
      </c>
      <c r="E721" s="32" t="s">
        <v>11</v>
      </c>
      <c r="F721" s="32" t="s">
        <v>28</v>
      </c>
      <c r="H721" s="32"/>
      <c r="I721" s="17"/>
      <c r="J721" s="21" t="s">
        <v>30</v>
      </c>
    </row>
    <row r="722" spans="1:10" ht="12.75">
      <c r="A722" s="16" t="s">
        <v>4632</v>
      </c>
      <c r="B722" s="17">
        <v>1100000</v>
      </c>
      <c r="C722" s="17">
        <f t="shared" si="40"/>
        <v>30250</v>
      </c>
      <c r="D722" s="47">
        <v>44832</v>
      </c>
      <c r="E722" s="32" t="s">
        <v>4690</v>
      </c>
      <c r="F722" s="32" t="s">
        <v>1448</v>
      </c>
      <c r="H722" s="32"/>
      <c r="I722" s="17"/>
      <c r="J722" s="32"/>
    </row>
    <row r="723" spans="1:10" ht="12.75">
      <c r="A723" s="16" t="s">
        <v>1550</v>
      </c>
      <c r="B723" s="17">
        <v>1040000</v>
      </c>
      <c r="C723" s="17">
        <f t="shared" si="40"/>
        <v>28600</v>
      </c>
      <c r="D723" s="47">
        <v>44832</v>
      </c>
      <c r="E723" s="32" t="s">
        <v>3901</v>
      </c>
      <c r="F723" s="32" t="s">
        <v>1448</v>
      </c>
      <c r="H723" s="32"/>
      <c r="I723" s="17"/>
      <c r="J723" s="32"/>
    </row>
    <row r="724" spans="1:10" ht="12.75">
      <c r="A724" s="16" t="s">
        <v>2002</v>
      </c>
      <c r="B724" s="17">
        <v>600000</v>
      </c>
      <c r="C724" s="17">
        <f t="shared" si="40"/>
        <v>16500</v>
      </c>
      <c r="D724" s="47">
        <v>44832</v>
      </c>
      <c r="E724" s="32" t="s">
        <v>11</v>
      </c>
      <c r="F724" s="32" t="s">
        <v>1448</v>
      </c>
      <c r="H724" s="32"/>
      <c r="I724" s="17"/>
      <c r="J724" s="32"/>
    </row>
    <row r="725" spans="1:10" ht="12.75">
      <c r="A725" s="16" t="s">
        <v>4691</v>
      </c>
      <c r="B725" s="17">
        <v>75000</v>
      </c>
      <c r="C725" s="17">
        <f t="shared" si="40"/>
        <v>2062.5</v>
      </c>
      <c r="D725" s="47">
        <v>44832</v>
      </c>
      <c r="E725" s="32" t="s">
        <v>461</v>
      </c>
      <c r="F725" s="32" t="s">
        <v>1448</v>
      </c>
      <c r="H725" s="32"/>
      <c r="I725" s="17"/>
      <c r="J725" s="32"/>
    </row>
    <row r="726" spans="1:10" ht="12.75">
      <c r="A726" s="16" t="s">
        <v>1565</v>
      </c>
      <c r="B726" s="17">
        <v>135000</v>
      </c>
      <c r="C726" s="17">
        <f t="shared" si="40"/>
        <v>3712.5</v>
      </c>
      <c r="D726" s="47">
        <v>44832</v>
      </c>
      <c r="E726" s="32" t="s">
        <v>11</v>
      </c>
      <c r="F726" s="32" t="s">
        <v>1448</v>
      </c>
      <c r="H726" s="32"/>
      <c r="I726" s="17"/>
      <c r="J726" s="32"/>
    </row>
    <row r="727" spans="1:10" ht="12.75">
      <c r="A727" s="16" t="s">
        <v>1801</v>
      </c>
      <c r="B727" s="17">
        <v>260000</v>
      </c>
      <c r="C727" s="17">
        <f t="shared" si="40"/>
        <v>7150</v>
      </c>
      <c r="D727" s="47">
        <v>44832</v>
      </c>
      <c r="E727" s="32" t="s">
        <v>11</v>
      </c>
      <c r="F727" s="32" t="s">
        <v>1448</v>
      </c>
      <c r="H727" s="32"/>
      <c r="I727" s="17"/>
      <c r="J727" s="32"/>
    </row>
    <row r="728" spans="1:10" ht="12.75">
      <c r="A728" s="16" t="s">
        <v>4692</v>
      </c>
      <c r="B728" s="17">
        <v>250000</v>
      </c>
      <c r="C728" s="17">
        <f t="shared" si="40"/>
        <v>6875</v>
      </c>
      <c r="D728" s="47">
        <v>44833</v>
      </c>
      <c r="E728" s="32" t="s">
        <v>4693</v>
      </c>
      <c r="F728" s="32" t="s">
        <v>28</v>
      </c>
      <c r="H728" s="32"/>
      <c r="I728" s="17"/>
      <c r="J728" s="21" t="s">
        <v>30</v>
      </c>
    </row>
    <row r="729" spans="1:10" ht="12.75">
      <c r="A729" s="16" t="s">
        <v>2006</v>
      </c>
      <c r="B729" s="17">
        <v>75000</v>
      </c>
      <c r="C729" s="17">
        <f t="shared" si="40"/>
        <v>2062.5</v>
      </c>
      <c r="D729" s="47">
        <v>44833</v>
      </c>
      <c r="E729" s="32" t="s">
        <v>11</v>
      </c>
      <c r="F729" s="32" t="s">
        <v>1448</v>
      </c>
      <c r="H729" s="32"/>
      <c r="I729" s="17"/>
      <c r="J729" s="32"/>
    </row>
    <row r="730" spans="1:10" ht="12.75">
      <c r="A730" s="16" t="s">
        <v>1788</v>
      </c>
      <c r="B730" s="17">
        <v>105000</v>
      </c>
      <c r="C730" s="17">
        <f t="shared" si="40"/>
        <v>2887.5</v>
      </c>
      <c r="D730" s="47">
        <v>44833</v>
      </c>
      <c r="E730" s="32" t="s">
        <v>11</v>
      </c>
      <c r="F730" s="32" t="s">
        <v>1448</v>
      </c>
      <c r="H730" s="32"/>
      <c r="I730" s="17"/>
      <c r="J730" s="32"/>
    </row>
    <row r="731" spans="1:10" ht="12.75">
      <c r="A731" s="16" t="s">
        <v>2003</v>
      </c>
      <c r="B731" s="17">
        <v>15000</v>
      </c>
      <c r="C731" s="17">
        <f t="shared" si="40"/>
        <v>412.5</v>
      </c>
      <c r="D731" s="47">
        <v>44833</v>
      </c>
      <c r="E731" s="32" t="s">
        <v>11</v>
      </c>
      <c r="F731" s="32" t="s">
        <v>1448</v>
      </c>
      <c r="H731" s="32"/>
      <c r="I731" s="17"/>
      <c r="J731" s="32"/>
    </row>
    <row r="732" spans="1:10" ht="12.75">
      <c r="A732" s="16" t="s">
        <v>2004</v>
      </c>
      <c r="B732" s="17">
        <v>9000</v>
      </c>
      <c r="C732" s="17">
        <f t="shared" si="40"/>
        <v>247.5</v>
      </c>
      <c r="D732" s="47">
        <v>44833</v>
      </c>
      <c r="E732" s="32" t="s">
        <v>11</v>
      </c>
      <c r="F732" s="32" t="s">
        <v>1448</v>
      </c>
      <c r="H732" s="32"/>
      <c r="I732" s="17"/>
      <c r="J732" s="32"/>
    </row>
    <row r="733" spans="1:10" ht="12.75">
      <c r="A733" s="16" t="s">
        <v>2005</v>
      </c>
      <c r="B733" s="17">
        <v>100000</v>
      </c>
      <c r="C733" s="17">
        <f t="shared" si="40"/>
        <v>2750</v>
      </c>
      <c r="D733" s="47">
        <v>44833</v>
      </c>
      <c r="E733" s="32" t="s">
        <v>11</v>
      </c>
      <c r="F733" s="32" t="s">
        <v>1448</v>
      </c>
      <c r="H733" s="32"/>
      <c r="I733" s="17"/>
      <c r="J733" s="32"/>
    </row>
    <row r="734" spans="1:10" ht="12.75">
      <c r="A734" s="16" t="s">
        <v>2007</v>
      </c>
      <c r="B734" s="17">
        <v>500000</v>
      </c>
      <c r="C734" s="17">
        <f t="shared" si="40"/>
        <v>13750</v>
      </c>
      <c r="D734" s="47">
        <v>44834</v>
      </c>
      <c r="E734" s="32" t="s">
        <v>11</v>
      </c>
      <c r="F734" s="32" t="s">
        <v>28</v>
      </c>
      <c r="H734" s="32"/>
      <c r="I734" s="17"/>
      <c r="J734" s="21" t="s">
        <v>30</v>
      </c>
    </row>
    <row r="735" spans="1:10" ht="12.75">
      <c r="A735" s="16" t="s">
        <v>1977</v>
      </c>
      <c r="B735" s="17">
        <v>1000000</v>
      </c>
      <c r="C735" s="17">
        <f t="shared" si="40"/>
        <v>27500</v>
      </c>
      <c r="D735" s="47">
        <v>44834</v>
      </c>
      <c r="E735" s="32" t="s">
        <v>4023</v>
      </c>
      <c r="F735" s="32" t="s">
        <v>28</v>
      </c>
      <c r="H735" s="32"/>
      <c r="I735" s="17"/>
      <c r="J735" s="21" t="s">
        <v>30</v>
      </c>
    </row>
    <row r="736" spans="1:10" ht="12.75">
      <c r="A736" s="16" t="s">
        <v>1748</v>
      </c>
      <c r="B736" s="17">
        <v>100000</v>
      </c>
      <c r="C736" s="17">
        <f t="shared" si="40"/>
        <v>2750</v>
      </c>
      <c r="D736" s="47">
        <v>44834</v>
      </c>
      <c r="E736" s="32" t="s">
        <v>11</v>
      </c>
      <c r="F736" s="32" t="s">
        <v>1448</v>
      </c>
      <c r="H736" s="32"/>
      <c r="I736" s="17"/>
      <c r="J736" s="32"/>
    </row>
    <row r="737" spans="1:12" ht="12.75">
      <c r="A737" s="16" t="s">
        <v>2002</v>
      </c>
      <c r="B737" s="17">
        <v>415000</v>
      </c>
      <c r="C737" s="17">
        <f t="shared" si="40"/>
        <v>11412.5</v>
      </c>
      <c r="D737" s="47">
        <v>44834</v>
      </c>
      <c r="E737" s="32" t="s">
        <v>11</v>
      </c>
      <c r="F737" s="32" t="s">
        <v>1448</v>
      </c>
      <c r="H737" s="32"/>
      <c r="I737" s="17"/>
      <c r="J737" s="32"/>
    </row>
    <row r="738" spans="1:12" ht="12.75">
      <c r="A738" s="16" t="s">
        <v>2010</v>
      </c>
      <c r="B738" s="17">
        <v>30000</v>
      </c>
      <c r="C738" s="17">
        <f t="shared" si="40"/>
        <v>825</v>
      </c>
      <c r="D738" s="47">
        <v>44834</v>
      </c>
      <c r="E738" s="32" t="s">
        <v>11</v>
      </c>
      <c r="F738" s="32" t="s">
        <v>28</v>
      </c>
      <c r="H738" s="32"/>
      <c r="I738" s="17"/>
      <c r="J738" s="32"/>
    </row>
    <row r="739" spans="1:12" ht="12.75">
      <c r="A739" s="16" t="s">
        <v>2008</v>
      </c>
      <c r="B739" s="17">
        <v>30000</v>
      </c>
      <c r="C739" s="17">
        <f t="shared" si="40"/>
        <v>825</v>
      </c>
      <c r="D739" s="47">
        <v>44834</v>
      </c>
      <c r="E739" s="32" t="s">
        <v>11</v>
      </c>
      <c r="F739" s="32" t="s">
        <v>28</v>
      </c>
      <c r="H739" s="32"/>
      <c r="I739" s="17"/>
      <c r="J739" s="32"/>
    </row>
    <row r="740" spans="1:12" ht="12.75">
      <c r="A740" s="16" t="s">
        <v>2009</v>
      </c>
      <c r="B740" s="17">
        <v>350000</v>
      </c>
      <c r="C740" s="17">
        <f t="shared" si="40"/>
        <v>9625</v>
      </c>
      <c r="D740" s="47">
        <v>44834</v>
      </c>
      <c r="E740" s="32" t="s">
        <v>11</v>
      </c>
      <c r="F740" s="32" t="s">
        <v>28</v>
      </c>
      <c r="H740" s="32"/>
      <c r="I740" s="17"/>
      <c r="J740" s="21" t="s">
        <v>30</v>
      </c>
    </row>
    <row r="741" spans="1:12" ht="12.75">
      <c r="A741" s="16" t="s">
        <v>4694</v>
      </c>
      <c r="B741" s="17">
        <v>264000</v>
      </c>
      <c r="C741" s="17">
        <f t="shared" si="40"/>
        <v>7260</v>
      </c>
      <c r="D741" s="47">
        <v>44834</v>
      </c>
      <c r="E741" s="32" t="s">
        <v>92</v>
      </c>
      <c r="F741" s="32" t="s">
        <v>1448</v>
      </c>
      <c r="H741" s="32"/>
      <c r="I741" s="17"/>
      <c r="J741" s="32"/>
    </row>
    <row r="742" spans="1:12" ht="12.75">
      <c r="A742" s="11">
        <v>44837</v>
      </c>
      <c r="B742" s="9">
        <f t="shared" ref="B742:C742" si="41">SUM(B743:B825)</f>
        <v>26579500</v>
      </c>
      <c r="C742" s="9">
        <f t="shared" si="41"/>
        <v>729836.25</v>
      </c>
      <c r="D742" s="59"/>
      <c r="E742" s="59"/>
      <c r="F742" s="59"/>
      <c r="G742" s="9">
        <f>SUM(G743:G786)</f>
        <v>0</v>
      </c>
      <c r="H742" s="9"/>
      <c r="I742" s="15"/>
      <c r="J742" s="67"/>
      <c r="K742" s="69">
        <f>SUM(B742)</f>
        <v>26579500</v>
      </c>
      <c r="L742" s="67"/>
    </row>
    <row r="743" spans="1:12" ht="12.75">
      <c r="A743" s="16" t="s">
        <v>1584</v>
      </c>
      <c r="B743" s="17">
        <v>250000</v>
      </c>
      <c r="C743" s="17">
        <f t="shared" ref="C743:C754" si="42">0.0275*B743</f>
        <v>6875</v>
      </c>
      <c r="D743" s="47">
        <v>44837</v>
      </c>
      <c r="E743" s="32" t="s">
        <v>11</v>
      </c>
      <c r="F743" s="32" t="s">
        <v>1448</v>
      </c>
      <c r="H743" s="32"/>
      <c r="I743" s="17"/>
      <c r="J743" s="32"/>
    </row>
    <row r="744" spans="1:12" ht="12.75">
      <c r="A744" s="16" t="s">
        <v>1453</v>
      </c>
      <c r="B744" s="17">
        <v>85000</v>
      </c>
      <c r="C744" s="17">
        <f t="shared" si="42"/>
        <v>2337.5</v>
      </c>
      <c r="D744" s="47">
        <v>44837</v>
      </c>
      <c r="E744" s="32" t="s">
        <v>11</v>
      </c>
      <c r="F744" s="32" t="s">
        <v>1448</v>
      </c>
      <c r="H744" s="32"/>
      <c r="I744" s="17"/>
      <c r="J744" s="32"/>
    </row>
    <row r="745" spans="1:12" ht="12.75">
      <c r="A745" s="16" t="s">
        <v>4695</v>
      </c>
      <c r="B745" s="17">
        <v>50000</v>
      </c>
      <c r="C745" s="17">
        <f t="shared" si="42"/>
        <v>1375</v>
      </c>
      <c r="D745" s="47">
        <v>44837</v>
      </c>
      <c r="E745" s="32" t="s">
        <v>11</v>
      </c>
      <c r="F745" s="32" t="s">
        <v>28</v>
      </c>
      <c r="H745" s="32"/>
      <c r="I745" s="17" t="s">
        <v>4696</v>
      </c>
      <c r="J745" s="21" t="s">
        <v>30</v>
      </c>
    </row>
    <row r="746" spans="1:12" ht="12.75">
      <c r="A746" s="16" t="s">
        <v>2011</v>
      </c>
      <c r="B746" s="17">
        <v>50000</v>
      </c>
      <c r="C746" s="17">
        <f t="shared" si="42"/>
        <v>1375</v>
      </c>
      <c r="D746" s="47">
        <v>44838</v>
      </c>
      <c r="E746" s="32" t="s">
        <v>11</v>
      </c>
      <c r="F746" s="32" t="s">
        <v>28</v>
      </c>
      <c r="H746" s="32"/>
      <c r="I746" s="17"/>
      <c r="J746" s="21" t="s">
        <v>30</v>
      </c>
    </row>
    <row r="747" spans="1:12" ht="12.75">
      <c r="A747" s="16" t="s">
        <v>2012</v>
      </c>
      <c r="B747" s="17">
        <v>450000</v>
      </c>
      <c r="C747" s="17">
        <f t="shared" si="42"/>
        <v>12375</v>
      </c>
      <c r="D747" s="47">
        <v>44838</v>
      </c>
      <c r="E747" s="32" t="s">
        <v>11</v>
      </c>
      <c r="F747" s="32" t="s">
        <v>1448</v>
      </c>
      <c r="H747" s="32"/>
      <c r="I747" s="17"/>
      <c r="J747" s="32"/>
    </row>
    <row r="748" spans="1:12" ht="12.75">
      <c r="A748" s="16" t="s">
        <v>2013</v>
      </c>
      <c r="B748" s="17">
        <v>180000</v>
      </c>
      <c r="C748" s="17">
        <f t="shared" si="42"/>
        <v>4950</v>
      </c>
      <c r="D748" s="47">
        <v>44838</v>
      </c>
      <c r="E748" s="32" t="s">
        <v>4023</v>
      </c>
      <c r="F748" s="32" t="s">
        <v>1448</v>
      </c>
      <c r="H748" s="32"/>
      <c r="I748" s="17"/>
      <c r="J748" s="32"/>
    </row>
    <row r="749" spans="1:12" ht="12.75">
      <c r="A749" s="16" t="s">
        <v>2014</v>
      </c>
      <c r="B749" s="17">
        <v>30000</v>
      </c>
      <c r="C749" s="17">
        <f t="shared" si="42"/>
        <v>825</v>
      </c>
      <c r="D749" s="47">
        <v>44838</v>
      </c>
      <c r="E749" s="32" t="s">
        <v>4023</v>
      </c>
      <c r="F749" s="32" t="s">
        <v>28</v>
      </c>
      <c r="H749" s="32"/>
      <c r="I749" s="17"/>
      <c r="J749" s="21" t="s">
        <v>30</v>
      </c>
    </row>
    <row r="750" spans="1:12" ht="12.75">
      <c r="A750" s="16" t="s">
        <v>2015</v>
      </c>
      <c r="B750" s="17">
        <v>200000</v>
      </c>
      <c r="C750" s="17">
        <f t="shared" si="42"/>
        <v>5500</v>
      </c>
      <c r="D750" s="47">
        <v>44839</v>
      </c>
      <c r="E750" s="32" t="s">
        <v>11</v>
      </c>
      <c r="F750" s="32" t="s">
        <v>1448</v>
      </c>
      <c r="H750" s="32"/>
      <c r="I750" s="17"/>
      <c r="J750" s="32"/>
    </row>
    <row r="751" spans="1:12" ht="12.75">
      <c r="A751" s="16" t="s">
        <v>2089</v>
      </c>
      <c r="B751" s="17">
        <v>200000</v>
      </c>
      <c r="C751" s="17">
        <f t="shared" si="42"/>
        <v>5500</v>
      </c>
      <c r="D751" s="47">
        <v>44839</v>
      </c>
      <c r="E751" s="32" t="s">
        <v>4682</v>
      </c>
      <c r="F751" s="32" t="s">
        <v>28</v>
      </c>
      <c r="H751" s="71">
        <v>300</v>
      </c>
      <c r="I751" s="17" t="s">
        <v>4683</v>
      </c>
      <c r="J751" s="21" t="s">
        <v>30</v>
      </c>
    </row>
    <row r="752" spans="1:12" ht="12.75">
      <c r="A752" s="16" t="s">
        <v>1537</v>
      </c>
      <c r="B752" s="17">
        <v>210000</v>
      </c>
      <c r="C752" s="17">
        <f t="shared" si="42"/>
        <v>5775</v>
      </c>
      <c r="D752" s="47">
        <v>44839</v>
      </c>
      <c r="E752" s="32" t="s">
        <v>11</v>
      </c>
      <c r="F752" s="32" t="s">
        <v>1448</v>
      </c>
      <c r="H752" s="32"/>
      <c r="I752" s="17"/>
      <c r="J752" s="32"/>
    </row>
    <row r="753" spans="1:10" ht="12.75">
      <c r="A753" s="16" t="s">
        <v>2016</v>
      </c>
      <c r="B753" s="17">
        <v>25000</v>
      </c>
      <c r="C753" s="17">
        <f t="shared" si="42"/>
        <v>687.5</v>
      </c>
      <c r="D753" s="47">
        <v>44839</v>
      </c>
      <c r="E753" s="32" t="s">
        <v>11</v>
      </c>
      <c r="F753" s="32" t="s">
        <v>1448</v>
      </c>
      <c r="H753" s="32"/>
      <c r="I753" s="17"/>
      <c r="J753" s="32"/>
    </row>
    <row r="754" spans="1:10" ht="12.75">
      <c r="A754" s="16" t="s">
        <v>2017</v>
      </c>
      <c r="B754" s="17">
        <v>90000</v>
      </c>
      <c r="C754" s="17">
        <f t="shared" si="42"/>
        <v>2475</v>
      </c>
      <c r="D754" s="47">
        <v>44839</v>
      </c>
      <c r="E754" s="32" t="s">
        <v>1816</v>
      </c>
      <c r="F754" s="32" t="s">
        <v>28</v>
      </c>
      <c r="H754" s="32"/>
      <c r="I754" s="17"/>
      <c r="J754" s="21" t="s">
        <v>30</v>
      </c>
    </row>
    <row r="755" spans="1:10" ht="12.75">
      <c r="A755" s="16" t="s">
        <v>2018</v>
      </c>
      <c r="B755" s="17">
        <v>160000</v>
      </c>
      <c r="C755" s="17">
        <f>0.0275*120000</f>
        <v>3300</v>
      </c>
      <c r="D755" s="47">
        <v>44839</v>
      </c>
      <c r="E755" s="32" t="s">
        <v>11</v>
      </c>
      <c r="F755" s="32" t="s">
        <v>1448</v>
      </c>
      <c r="H755" s="32"/>
      <c r="I755" s="17" t="s">
        <v>4697</v>
      </c>
      <c r="J755" s="32"/>
    </row>
    <row r="756" spans="1:10" ht="12.75">
      <c r="A756" s="16" t="s">
        <v>1496</v>
      </c>
      <c r="B756" s="17">
        <v>200000</v>
      </c>
      <c r="C756" s="17">
        <f t="shared" ref="C756:C825" si="43">0.0275*B756</f>
        <v>5500</v>
      </c>
      <c r="D756" s="47">
        <v>44839</v>
      </c>
      <c r="E756" s="32" t="s">
        <v>11</v>
      </c>
      <c r="F756" s="32" t="s">
        <v>1448</v>
      </c>
      <c r="H756" s="32"/>
      <c r="I756" s="17"/>
      <c r="J756" s="32"/>
    </row>
    <row r="757" spans="1:10" ht="12.75">
      <c r="A757" s="16" t="s">
        <v>1956</v>
      </c>
      <c r="B757" s="17">
        <v>100000</v>
      </c>
      <c r="C757" s="17">
        <f t="shared" si="43"/>
        <v>2750</v>
      </c>
      <c r="D757" s="47">
        <v>44839</v>
      </c>
      <c r="E757" s="32" t="s">
        <v>11</v>
      </c>
      <c r="F757" s="32" t="s">
        <v>1448</v>
      </c>
      <c r="H757" s="32"/>
      <c r="I757" s="17"/>
      <c r="J757" s="32"/>
    </row>
    <row r="758" spans="1:10" ht="12.75">
      <c r="A758" s="16" t="s">
        <v>1883</v>
      </c>
      <c r="B758" s="17">
        <v>800000</v>
      </c>
      <c r="C758" s="17">
        <f t="shared" si="43"/>
        <v>22000</v>
      </c>
      <c r="D758" s="47">
        <v>44840</v>
      </c>
      <c r="E758" s="32" t="s">
        <v>4698</v>
      </c>
      <c r="F758" s="32" t="s">
        <v>1448</v>
      </c>
      <c r="H758" s="32"/>
      <c r="I758" s="17"/>
      <c r="J758" s="32"/>
    </row>
    <row r="759" spans="1:10" ht="12.75">
      <c r="A759" s="16" t="s">
        <v>1491</v>
      </c>
      <c r="B759" s="17">
        <v>40000</v>
      </c>
      <c r="C759" s="17">
        <f t="shared" si="43"/>
        <v>1100</v>
      </c>
      <c r="D759" s="47">
        <v>44840</v>
      </c>
      <c r="E759" s="32" t="s">
        <v>73</v>
      </c>
      <c r="F759" s="32" t="s">
        <v>1448</v>
      </c>
      <c r="H759" s="32"/>
      <c r="I759" s="17"/>
      <c r="J759" s="32"/>
    </row>
    <row r="760" spans="1:10" ht="12.75">
      <c r="A760" s="16" t="s">
        <v>2021</v>
      </c>
      <c r="B760" s="17">
        <v>700000</v>
      </c>
      <c r="C760" s="17">
        <f t="shared" si="43"/>
        <v>19250</v>
      </c>
      <c r="D760" s="47">
        <v>44840</v>
      </c>
      <c r="E760" s="32" t="s">
        <v>92</v>
      </c>
      <c r="F760" s="32" t="s">
        <v>28</v>
      </c>
      <c r="H760" s="32"/>
      <c r="I760" s="17" t="s">
        <v>2092</v>
      </c>
      <c r="J760" s="21" t="s">
        <v>30</v>
      </c>
    </row>
    <row r="761" spans="1:10" ht="12.75">
      <c r="A761" s="16" t="s">
        <v>2019</v>
      </c>
      <c r="B761" s="17">
        <v>100000</v>
      </c>
      <c r="C761" s="17">
        <f t="shared" si="43"/>
        <v>2750</v>
      </c>
      <c r="D761" s="47">
        <v>44840</v>
      </c>
      <c r="E761" s="32" t="s">
        <v>11</v>
      </c>
      <c r="F761" s="32" t="s">
        <v>1448</v>
      </c>
      <c r="H761" s="32"/>
      <c r="I761" s="17"/>
      <c r="J761" s="32"/>
    </row>
    <row r="762" spans="1:10" ht="12.75">
      <c r="A762" s="16" t="s">
        <v>2020</v>
      </c>
      <c r="B762" s="17">
        <v>27500</v>
      </c>
      <c r="C762" s="17">
        <f t="shared" si="43"/>
        <v>756.25</v>
      </c>
      <c r="D762" s="47">
        <v>44840</v>
      </c>
      <c r="E762" s="32" t="s">
        <v>11</v>
      </c>
      <c r="F762" s="32" t="s">
        <v>1448</v>
      </c>
      <c r="H762" s="32"/>
      <c r="I762" s="17"/>
      <c r="J762" s="32"/>
    </row>
    <row r="763" spans="1:10" ht="12.75">
      <c r="A763" s="16" t="s">
        <v>2022</v>
      </c>
      <c r="B763" s="17">
        <v>60000</v>
      </c>
      <c r="C763" s="17">
        <f t="shared" si="43"/>
        <v>1650</v>
      </c>
      <c r="D763" s="47">
        <v>44840</v>
      </c>
      <c r="E763" s="32" t="s">
        <v>11</v>
      </c>
      <c r="F763" s="32" t="s">
        <v>1448</v>
      </c>
      <c r="H763" s="32"/>
      <c r="I763" s="17"/>
      <c r="J763" s="32"/>
    </row>
    <row r="764" spans="1:10" ht="12.75">
      <c r="A764" s="16" t="s">
        <v>2023</v>
      </c>
      <c r="B764" s="17">
        <v>155000</v>
      </c>
      <c r="C764" s="17">
        <f t="shared" si="43"/>
        <v>4262.5</v>
      </c>
      <c r="D764" s="47">
        <v>44840</v>
      </c>
      <c r="E764" s="32" t="s">
        <v>3566</v>
      </c>
      <c r="F764" s="32" t="s">
        <v>28</v>
      </c>
      <c r="H764" s="32"/>
      <c r="I764" s="17"/>
      <c r="J764" s="21" t="s">
        <v>30</v>
      </c>
    </row>
    <row r="765" spans="1:10" ht="12.75">
      <c r="A765" s="16" t="s">
        <v>1469</v>
      </c>
      <c r="B765" s="17">
        <v>110000</v>
      </c>
      <c r="C765" s="17">
        <f t="shared" si="43"/>
        <v>3025</v>
      </c>
      <c r="D765" s="47">
        <v>44840</v>
      </c>
      <c r="E765" s="32" t="s">
        <v>73</v>
      </c>
      <c r="F765" s="32" t="s">
        <v>1448</v>
      </c>
      <c r="H765" s="32"/>
      <c r="I765" s="17"/>
      <c r="J765" s="32"/>
    </row>
    <row r="766" spans="1:10" ht="12.75">
      <c r="A766" s="16" t="s">
        <v>4699</v>
      </c>
      <c r="B766" s="17">
        <v>750000</v>
      </c>
      <c r="C766" s="17">
        <f t="shared" si="43"/>
        <v>20625</v>
      </c>
      <c r="D766" s="47">
        <v>44840</v>
      </c>
      <c r="E766" s="32" t="s">
        <v>4700</v>
      </c>
      <c r="F766" s="32" t="s">
        <v>28</v>
      </c>
      <c r="H766" s="32"/>
      <c r="I766" s="17"/>
      <c r="J766" s="32"/>
    </row>
    <row r="767" spans="1:10" ht="12.75">
      <c r="A767" s="16" t="s">
        <v>2024</v>
      </c>
      <c r="B767" s="17">
        <v>200000</v>
      </c>
      <c r="C767" s="17">
        <f t="shared" si="43"/>
        <v>5500</v>
      </c>
      <c r="D767" s="47">
        <v>44840</v>
      </c>
      <c r="E767" s="32" t="s">
        <v>4023</v>
      </c>
      <c r="F767" s="32" t="s">
        <v>28</v>
      </c>
      <c r="H767" s="32"/>
      <c r="I767" s="17"/>
      <c r="J767" s="21" t="s">
        <v>30</v>
      </c>
    </row>
    <row r="768" spans="1:10" ht="12.75">
      <c r="A768" s="16" t="s">
        <v>2007</v>
      </c>
      <c r="B768" s="17">
        <v>500000</v>
      </c>
      <c r="C768" s="17">
        <f t="shared" si="43"/>
        <v>13750</v>
      </c>
      <c r="D768" s="47">
        <v>44841</v>
      </c>
      <c r="E768" s="32" t="s">
        <v>11</v>
      </c>
      <c r="F768" s="32" t="s">
        <v>28</v>
      </c>
      <c r="H768" s="32"/>
      <c r="I768" s="17"/>
      <c r="J768" s="21" t="s">
        <v>30</v>
      </c>
    </row>
    <row r="769" spans="1:10" ht="12.75">
      <c r="A769" s="16" t="s">
        <v>2026</v>
      </c>
      <c r="B769" s="17">
        <v>185000</v>
      </c>
      <c r="C769" s="17">
        <f t="shared" si="43"/>
        <v>5087.5</v>
      </c>
      <c r="D769" s="47">
        <v>44841</v>
      </c>
      <c r="E769" s="32" t="s">
        <v>11</v>
      </c>
      <c r="F769" s="32" t="s">
        <v>1448</v>
      </c>
      <c r="H769" s="32"/>
      <c r="I769" s="17"/>
      <c r="J769" s="32"/>
    </row>
    <row r="770" spans="1:10" ht="12.75">
      <c r="A770" s="16" t="s">
        <v>2027</v>
      </c>
      <c r="B770" s="17">
        <v>66000</v>
      </c>
      <c r="C770" s="17">
        <f t="shared" si="43"/>
        <v>1815</v>
      </c>
      <c r="D770" s="47">
        <v>44841</v>
      </c>
      <c r="E770" s="32" t="s">
        <v>11</v>
      </c>
      <c r="F770" s="32" t="s">
        <v>1448</v>
      </c>
      <c r="H770" s="32"/>
      <c r="I770" s="17"/>
      <c r="J770" s="32"/>
    </row>
    <row r="771" spans="1:10" ht="12.75">
      <c r="A771" s="16" t="s">
        <v>2028</v>
      </c>
      <c r="B771" s="17">
        <v>100000</v>
      </c>
      <c r="C771" s="17">
        <f t="shared" si="43"/>
        <v>2750</v>
      </c>
      <c r="D771" s="47">
        <v>44845</v>
      </c>
      <c r="E771" s="32" t="s">
        <v>11</v>
      </c>
      <c r="F771" s="32" t="s">
        <v>28</v>
      </c>
      <c r="H771" s="32"/>
      <c r="I771" s="17"/>
      <c r="J771" s="21" t="s">
        <v>30</v>
      </c>
    </row>
    <row r="772" spans="1:10" ht="12.75">
      <c r="A772" s="16" t="s">
        <v>1548</v>
      </c>
      <c r="B772" s="17">
        <v>450000</v>
      </c>
      <c r="C772" s="17">
        <f t="shared" si="43"/>
        <v>12375</v>
      </c>
      <c r="D772" s="47">
        <v>44845</v>
      </c>
      <c r="E772" s="32" t="s">
        <v>11</v>
      </c>
      <c r="F772" s="32" t="s">
        <v>1448</v>
      </c>
      <c r="H772" s="32"/>
      <c r="I772" s="17"/>
      <c r="J772" s="32"/>
    </row>
    <row r="773" spans="1:10" ht="12.75">
      <c r="A773" s="16" t="s">
        <v>1524</v>
      </c>
      <c r="B773" s="17">
        <v>75000</v>
      </c>
      <c r="C773" s="17">
        <f t="shared" si="43"/>
        <v>2062.5</v>
      </c>
      <c r="D773" s="47">
        <v>44846</v>
      </c>
      <c r="E773" s="32" t="s">
        <v>92</v>
      </c>
      <c r="F773" s="32" t="s">
        <v>1448</v>
      </c>
      <c r="H773" s="32"/>
      <c r="I773" s="17"/>
      <c r="J773" s="32"/>
    </row>
    <row r="774" spans="1:10" ht="12.75">
      <c r="A774" s="16" t="s">
        <v>2030</v>
      </c>
      <c r="B774" s="17">
        <v>250000</v>
      </c>
      <c r="C774" s="17">
        <f t="shared" si="43"/>
        <v>6875</v>
      </c>
      <c r="D774" s="47">
        <v>44847</v>
      </c>
      <c r="E774" s="32" t="s">
        <v>11</v>
      </c>
      <c r="F774" s="32" t="s">
        <v>1448</v>
      </c>
      <c r="H774" s="32"/>
      <c r="I774" s="17"/>
      <c r="J774" s="32"/>
    </row>
    <row r="775" spans="1:10" ht="12.75">
      <c r="A775" s="16" t="s">
        <v>2025</v>
      </c>
      <c r="B775" s="17">
        <v>152500</v>
      </c>
      <c r="C775" s="17">
        <f t="shared" si="43"/>
        <v>4193.75</v>
      </c>
      <c r="D775" s="47">
        <v>44847</v>
      </c>
      <c r="E775" s="32" t="s">
        <v>11</v>
      </c>
      <c r="F775" s="32" t="s">
        <v>1448</v>
      </c>
      <c r="H775" s="32"/>
      <c r="I775" s="17"/>
      <c r="J775" s="32"/>
    </row>
    <row r="776" spans="1:10" ht="12.75">
      <c r="A776" s="16" t="s">
        <v>1849</v>
      </c>
      <c r="B776" s="17">
        <v>110000</v>
      </c>
      <c r="C776" s="17">
        <f t="shared" si="43"/>
        <v>3025</v>
      </c>
      <c r="D776" s="47">
        <v>44847</v>
      </c>
      <c r="E776" s="32" t="s">
        <v>11</v>
      </c>
      <c r="F776" s="32" t="s">
        <v>1448</v>
      </c>
      <c r="H776" s="32"/>
      <c r="I776" s="17"/>
      <c r="J776" s="32"/>
    </row>
    <row r="777" spans="1:10" ht="12.75">
      <c r="A777" s="16" t="s">
        <v>2029</v>
      </c>
      <c r="B777" s="17">
        <v>60000</v>
      </c>
      <c r="C777" s="17">
        <f t="shared" si="43"/>
        <v>1650</v>
      </c>
      <c r="D777" s="47">
        <v>44847</v>
      </c>
      <c r="E777" s="32" t="s">
        <v>11</v>
      </c>
      <c r="F777" s="32" t="s">
        <v>1448</v>
      </c>
      <c r="H777" s="32"/>
      <c r="I777" s="17"/>
      <c r="J777" s="32"/>
    </row>
    <row r="778" spans="1:10" ht="12.75">
      <c r="A778" s="16" t="s">
        <v>2031</v>
      </c>
      <c r="B778" s="17">
        <v>3500000</v>
      </c>
      <c r="C778" s="17">
        <f t="shared" si="43"/>
        <v>96250</v>
      </c>
      <c r="D778" s="47">
        <v>44847</v>
      </c>
      <c r="E778" s="32" t="s">
        <v>92</v>
      </c>
      <c r="F778" s="32" t="s">
        <v>28</v>
      </c>
      <c r="H778" s="32"/>
      <c r="I778" s="17" t="s">
        <v>2098</v>
      </c>
      <c r="J778" s="21" t="s">
        <v>30</v>
      </c>
    </row>
    <row r="779" spans="1:10" ht="12.75">
      <c r="A779" s="16" t="s">
        <v>2032</v>
      </c>
      <c r="B779" s="17">
        <v>90000</v>
      </c>
      <c r="C779" s="17">
        <f t="shared" si="43"/>
        <v>2475</v>
      </c>
      <c r="D779" s="47">
        <v>44847</v>
      </c>
      <c r="E779" s="32" t="s">
        <v>2120</v>
      </c>
      <c r="F779" s="32" t="s">
        <v>1448</v>
      </c>
      <c r="H779" s="32"/>
      <c r="I779" s="17"/>
      <c r="J779" s="32"/>
    </row>
    <row r="780" spans="1:10" ht="12.75">
      <c r="A780" s="16" t="s">
        <v>4701</v>
      </c>
      <c r="B780" s="17">
        <v>150000</v>
      </c>
      <c r="C780" s="17">
        <f t="shared" si="43"/>
        <v>4125</v>
      </c>
      <c r="D780" s="47">
        <v>44848</v>
      </c>
      <c r="E780" s="32" t="s">
        <v>11</v>
      </c>
      <c r="F780" s="32" t="s">
        <v>28</v>
      </c>
      <c r="H780" s="32"/>
      <c r="I780" s="17"/>
      <c r="J780" s="21" t="s">
        <v>30</v>
      </c>
    </row>
    <row r="781" spans="1:10" ht="12.75">
      <c r="A781" s="16" t="s">
        <v>2033</v>
      </c>
      <c r="B781" s="17">
        <v>1500000</v>
      </c>
      <c r="C781" s="17">
        <f t="shared" si="43"/>
        <v>41250</v>
      </c>
      <c r="D781" s="47">
        <v>44848</v>
      </c>
      <c r="E781" s="32" t="s">
        <v>3566</v>
      </c>
      <c r="F781" s="32" t="s">
        <v>28</v>
      </c>
      <c r="H781" s="32"/>
      <c r="I781" s="17"/>
      <c r="J781" s="21" t="s">
        <v>30</v>
      </c>
    </row>
    <row r="782" spans="1:10" ht="12.75">
      <c r="A782" s="16" t="s">
        <v>2033</v>
      </c>
      <c r="B782" s="17">
        <v>500000</v>
      </c>
      <c r="C782" s="17">
        <f t="shared" si="43"/>
        <v>13750</v>
      </c>
      <c r="D782" s="47">
        <v>44848</v>
      </c>
      <c r="E782" s="32" t="s">
        <v>3566</v>
      </c>
      <c r="F782" s="32" t="s">
        <v>28</v>
      </c>
      <c r="H782" s="32"/>
      <c r="I782" s="17"/>
      <c r="J782" s="21" t="s">
        <v>30</v>
      </c>
    </row>
    <row r="783" spans="1:10" ht="12.75">
      <c r="A783" s="16" t="s">
        <v>2034</v>
      </c>
      <c r="B783" s="17">
        <v>300000</v>
      </c>
      <c r="C783" s="17">
        <f t="shared" si="43"/>
        <v>8250</v>
      </c>
      <c r="D783" s="47">
        <v>44848</v>
      </c>
      <c r="E783" s="32" t="s">
        <v>4023</v>
      </c>
      <c r="F783" s="32" t="s">
        <v>28</v>
      </c>
      <c r="H783" s="32"/>
      <c r="I783" s="17"/>
      <c r="J783" s="21" t="s">
        <v>30</v>
      </c>
    </row>
    <row r="784" spans="1:10" ht="12.75">
      <c r="A784" s="16" t="s">
        <v>2035</v>
      </c>
      <c r="B784" s="17">
        <v>350000</v>
      </c>
      <c r="C784" s="17">
        <f t="shared" si="43"/>
        <v>9625</v>
      </c>
      <c r="D784" s="47">
        <v>44848</v>
      </c>
      <c r="E784" s="32" t="s">
        <v>11</v>
      </c>
      <c r="F784" s="32" t="s">
        <v>28</v>
      </c>
      <c r="H784" s="32"/>
      <c r="I784" s="17"/>
      <c r="J784" s="21" t="s">
        <v>30</v>
      </c>
    </row>
    <row r="785" spans="1:10" ht="12.75">
      <c r="A785" s="16" t="s">
        <v>1723</v>
      </c>
      <c r="B785" s="17">
        <v>140000</v>
      </c>
      <c r="C785" s="17">
        <f t="shared" si="43"/>
        <v>3850</v>
      </c>
      <c r="D785" s="47">
        <v>44851</v>
      </c>
      <c r="E785" s="32" t="s">
        <v>11</v>
      </c>
      <c r="F785" s="32" t="s">
        <v>1448</v>
      </c>
      <c r="H785" s="32"/>
      <c r="I785" s="17"/>
      <c r="J785" s="32"/>
    </row>
    <row r="786" spans="1:10" ht="12.75">
      <c r="A786" s="16" t="s">
        <v>4702</v>
      </c>
      <c r="B786" s="17">
        <v>250000</v>
      </c>
      <c r="C786" s="17">
        <f t="shared" si="43"/>
        <v>6875</v>
      </c>
      <c r="D786" s="47">
        <v>44852</v>
      </c>
      <c r="E786" s="32" t="s">
        <v>4622</v>
      </c>
      <c r="F786" s="32" t="s">
        <v>28</v>
      </c>
      <c r="H786" s="32"/>
      <c r="I786" s="17"/>
      <c r="J786" s="21" t="s">
        <v>30</v>
      </c>
    </row>
    <row r="787" spans="1:10" ht="12.75">
      <c r="A787" s="16" t="s">
        <v>2036</v>
      </c>
      <c r="B787" s="17">
        <v>200000</v>
      </c>
      <c r="C787" s="17">
        <f t="shared" si="43"/>
        <v>5500</v>
      </c>
      <c r="D787" s="47">
        <v>44852</v>
      </c>
      <c r="E787" s="32" t="s">
        <v>4703</v>
      </c>
      <c r="F787" s="32" t="s">
        <v>1448</v>
      </c>
      <c r="H787" s="32"/>
      <c r="I787" s="17" t="s">
        <v>446</v>
      </c>
      <c r="J787" s="32"/>
    </row>
    <row r="788" spans="1:10" ht="12.75">
      <c r="A788" s="16" t="s">
        <v>2037</v>
      </c>
      <c r="B788" s="17">
        <v>4000000</v>
      </c>
      <c r="C788" s="17">
        <f t="shared" si="43"/>
        <v>110000</v>
      </c>
      <c r="D788" s="47">
        <v>44852</v>
      </c>
      <c r="E788" s="32" t="s">
        <v>2328</v>
      </c>
      <c r="F788" s="32" t="s">
        <v>28</v>
      </c>
      <c r="H788" s="32"/>
      <c r="I788" s="17" t="s">
        <v>4704</v>
      </c>
      <c r="J788" s="21" t="s">
        <v>30</v>
      </c>
    </row>
    <row r="789" spans="1:10" ht="12.75">
      <c r="A789" s="16" t="s">
        <v>2038</v>
      </c>
      <c r="B789" s="17">
        <v>385000</v>
      </c>
      <c r="C789" s="17">
        <f t="shared" si="43"/>
        <v>10587.5</v>
      </c>
      <c r="D789" s="47">
        <v>44852</v>
      </c>
      <c r="E789" s="32" t="s">
        <v>345</v>
      </c>
      <c r="F789" s="32" t="s">
        <v>28</v>
      </c>
      <c r="H789" s="32"/>
      <c r="I789" s="17" t="s">
        <v>4705</v>
      </c>
      <c r="J789" s="21" t="s">
        <v>30</v>
      </c>
    </row>
    <row r="790" spans="1:10" ht="12.75">
      <c r="A790" s="16" t="s">
        <v>4706</v>
      </c>
      <c r="B790" s="17">
        <v>375000</v>
      </c>
      <c r="C790" s="17">
        <f t="shared" si="43"/>
        <v>10312.5</v>
      </c>
      <c r="D790" s="47">
        <v>44852</v>
      </c>
      <c r="E790" s="32" t="s">
        <v>817</v>
      </c>
      <c r="F790" s="32" t="s">
        <v>28</v>
      </c>
      <c r="H790" s="32"/>
      <c r="I790" s="17" t="s">
        <v>4707</v>
      </c>
      <c r="J790" s="21" t="s">
        <v>30</v>
      </c>
    </row>
    <row r="791" spans="1:10" ht="12.75">
      <c r="A791" s="16" t="s">
        <v>1622</v>
      </c>
      <c r="B791" s="17">
        <v>250000</v>
      </c>
      <c r="C791" s="17">
        <f t="shared" si="43"/>
        <v>6875</v>
      </c>
      <c r="D791" s="47">
        <v>44853</v>
      </c>
      <c r="E791" s="32" t="s">
        <v>4023</v>
      </c>
      <c r="F791" s="32" t="s">
        <v>1448</v>
      </c>
      <c r="H791" s="32"/>
      <c r="I791" s="17"/>
      <c r="J791" s="32"/>
    </row>
    <row r="792" spans="1:10" ht="12.75">
      <c r="A792" s="16" t="s">
        <v>2039</v>
      </c>
      <c r="B792" s="17">
        <v>950000</v>
      </c>
      <c r="C792" s="17">
        <f t="shared" si="43"/>
        <v>26125</v>
      </c>
      <c r="D792" s="47">
        <v>44853</v>
      </c>
      <c r="E792" s="32" t="s">
        <v>11</v>
      </c>
      <c r="F792" s="32" t="s">
        <v>1448</v>
      </c>
      <c r="H792" s="32"/>
      <c r="I792" s="17"/>
      <c r="J792" s="32"/>
    </row>
    <row r="793" spans="1:10" ht="12.75">
      <c r="A793" s="16" t="s">
        <v>2040</v>
      </c>
      <c r="B793" s="17">
        <v>750000</v>
      </c>
      <c r="C793" s="17">
        <f t="shared" si="43"/>
        <v>20625</v>
      </c>
      <c r="D793" s="47">
        <v>44853</v>
      </c>
      <c r="E793" s="32" t="s">
        <v>3566</v>
      </c>
      <c r="F793" s="32" t="s">
        <v>28</v>
      </c>
      <c r="H793" s="32"/>
      <c r="I793" s="17"/>
      <c r="J793" s="21" t="s">
        <v>30</v>
      </c>
    </row>
    <row r="794" spans="1:10" ht="12.75">
      <c r="A794" s="16" t="s">
        <v>1767</v>
      </c>
      <c r="B794" s="17">
        <v>135000</v>
      </c>
      <c r="C794" s="17">
        <f t="shared" si="43"/>
        <v>3712.5</v>
      </c>
      <c r="D794" s="47">
        <v>44853</v>
      </c>
      <c r="E794" s="32" t="s">
        <v>11</v>
      </c>
      <c r="F794" s="32" t="s">
        <v>1448</v>
      </c>
      <c r="H794" s="32"/>
      <c r="I794" s="17"/>
      <c r="J794" s="32"/>
    </row>
    <row r="795" spans="1:10" ht="12.75">
      <c r="A795" s="16" t="s">
        <v>1557</v>
      </c>
      <c r="B795" s="17">
        <v>110000</v>
      </c>
      <c r="C795" s="17">
        <f t="shared" si="43"/>
        <v>3025</v>
      </c>
      <c r="D795" s="47">
        <v>44853</v>
      </c>
      <c r="E795" s="32" t="s">
        <v>11</v>
      </c>
      <c r="F795" s="32" t="s">
        <v>1448</v>
      </c>
      <c r="H795" s="32"/>
      <c r="I795" s="17"/>
      <c r="J795" s="32"/>
    </row>
    <row r="796" spans="1:10" ht="12.75">
      <c r="A796" s="16" t="s">
        <v>4604</v>
      </c>
      <c r="B796" s="17">
        <v>280000</v>
      </c>
      <c r="C796" s="17">
        <f t="shared" si="43"/>
        <v>7700</v>
      </c>
      <c r="D796" s="47">
        <v>44854</v>
      </c>
      <c r="E796" s="32" t="s">
        <v>165</v>
      </c>
      <c r="F796" s="32" t="s">
        <v>1448</v>
      </c>
      <c r="H796" s="32"/>
      <c r="I796" s="17"/>
      <c r="J796" s="32"/>
    </row>
    <row r="797" spans="1:10" ht="12.75">
      <c r="A797" s="16" t="s">
        <v>2041</v>
      </c>
      <c r="B797" s="17">
        <v>550000</v>
      </c>
      <c r="C797" s="17">
        <f t="shared" si="43"/>
        <v>15125</v>
      </c>
      <c r="D797" s="47">
        <v>44854</v>
      </c>
      <c r="E797" s="32" t="s">
        <v>92</v>
      </c>
      <c r="F797" s="32" t="s">
        <v>28</v>
      </c>
      <c r="H797" s="32"/>
      <c r="I797" s="17"/>
      <c r="J797" s="21" t="s">
        <v>30</v>
      </c>
    </row>
    <row r="798" spans="1:10" ht="12.75">
      <c r="A798" s="16" t="s">
        <v>4708</v>
      </c>
      <c r="B798" s="17">
        <v>225000</v>
      </c>
      <c r="C798" s="17">
        <f t="shared" si="43"/>
        <v>6187.5</v>
      </c>
      <c r="D798" s="47">
        <v>44854</v>
      </c>
      <c r="E798" s="32" t="s">
        <v>11</v>
      </c>
      <c r="F798" s="32" t="s">
        <v>28</v>
      </c>
      <c r="H798" s="32"/>
      <c r="I798" s="17"/>
      <c r="J798" s="21" t="s">
        <v>30</v>
      </c>
    </row>
    <row r="799" spans="1:10" ht="12.75">
      <c r="A799" s="16" t="s">
        <v>2042</v>
      </c>
      <c r="B799" s="17">
        <v>200000</v>
      </c>
      <c r="C799" s="17">
        <f t="shared" si="43"/>
        <v>5500</v>
      </c>
      <c r="D799" s="47">
        <v>44854</v>
      </c>
      <c r="E799" s="32" t="s">
        <v>11</v>
      </c>
      <c r="F799" s="32" t="s">
        <v>1448</v>
      </c>
      <c r="H799" s="32"/>
      <c r="I799" s="17"/>
      <c r="J799" s="32"/>
    </row>
    <row r="800" spans="1:10" ht="12.75">
      <c r="A800" s="16" t="s">
        <v>2054</v>
      </c>
      <c r="B800" s="17">
        <v>45000</v>
      </c>
      <c r="C800" s="17">
        <f t="shared" si="43"/>
        <v>1237.5</v>
      </c>
      <c r="D800" s="47">
        <v>44854</v>
      </c>
      <c r="E800" s="32" t="s">
        <v>11</v>
      </c>
      <c r="F800" s="32" t="s">
        <v>28</v>
      </c>
      <c r="H800" s="32"/>
      <c r="I800" s="17"/>
      <c r="J800" s="21"/>
    </row>
    <row r="801" spans="1:10" ht="12.75">
      <c r="A801" s="16" t="s">
        <v>4709</v>
      </c>
      <c r="B801" s="17">
        <v>185000</v>
      </c>
      <c r="C801" s="17">
        <f t="shared" si="43"/>
        <v>5087.5</v>
      </c>
      <c r="D801" s="47">
        <v>44855</v>
      </c>
      <c r="E801" s="32" t="s">
        <v>2130</v>
      </c>
      <c r="F801" s="32" t="s">
        <v>28</v>
      </c>
      <c r="H801" s="32"/>
      <c r="I801" s="17"/>
      <c r="J801" s="21" t="s">
        <v>30</v>
      </c>
    </row>
    <row r="802" spans="1:10" ht="12.75">
      <c r="A802" s="16" t="s">
        <v>2043</v>
      </c>
      <c r="B802" s="17">
        <v>100000</v>
      </c>
      <c r="C802" s="17">
        <f t="shared" si="43"/>
        <v>2750</v>
      </c>
      <c r="D802" s="47">
        <v>44855</v>
      </c>
      <c r="E802" s="32" t="s">
        <v>461</v>
      </c>
      <c r="F802" s="32" t="s">
        <v>28</v>
      </c>
      <c r="H802" s="32"/>
      <c r="I802" s="17"/>
      <c r="J802" s="21" t="s">
        <v>30</v>
      </c>
    </row>
    <row r="803" spans="1:10" ht="12.75">
      <c r="A803" s="16" t="s">
        <v>4710</v>
      </c>
      <c r="B803" s="17">
        <v>100000</v>
      </c>
      <c r="C803" s="17">
        <f t="shared" si="43"/>
        <v>2750</v>
      </c>
      <c r="D803" s="47">
        <v>44855</v>
      </c>
      <c r="E803" s="32" t="s">
        <v>4009</v>
      </c>
      <c r="F803" s="32" t="s">
        <v>28</v>
      </c>
      <c r="H803" s="32"/>
      <c r="I803" s="17"/>
      <c r="J803" s="21" t="s">
        <v>30</v>
      </c>
    </row>
    <row r="804" spans="1:10" ht="12.75">
      <c r="A804" s="16" t="s">
        <v>1994</v>
      </c>
      <c r="B804" s="17">
        <v>100000</v>
      </c>
      <c r="C804" s="17">
        <f t="shared" si="43"/>
        <v>2750</v>
      </c>
      <c r="D804" s="47">
        <v>44855</v>
      </c>
      <c r="E804" s="32" t="s">
        <v>11</v>
      </c>
      <c r="F804" s="32" t="s">
        <v>1448</v>
      </c>
      <c r="H804" s="32"/>
      <c r="I804" s="17"/>
      <c r="J804" s="32"/>
    </row>
    <row r="805" spans="1:10" ht="12.75">
      <c r="A805" s="16" t="s">
        <v>1772</v>
      </c>
      <c r="B805" s="17">
        <v>183500</v>
      </c>
      <c r="C805" s="17">
        <f t="shared" si="43"/>
        <v>5046.25</v>
      </c>
      <c r="D805" s="47">
        <v>44855</v>
      </c>
      <c r="E805" s="32" t="s">
        <v>4023</v>
      </c>
      <c r="F805" s="32" t="s">
        <v>1448</v>
      </c>
      <c r="H805" s="32"/>
      <c r="I805" s="17" t="s">
        <v>446</v>
      </c>
      <c r="J805" s="23"/>
    </row>
    <row r="806" spans="1:10" ht="12.75">
      <c r="A806" s="16" t="s">
        <v>2044</v>
      </c>
      <c r="B806" s="17">
        <v>205000</v>
      </c>
      <c r="C806" s="17">
        <f t="shared" si="43"/>
        <v>5637.5</v>
      </c>
      <c r="D806" s="47">
        <v>44858</v>
      </c>
      <c r="E806" s="32" t="s">
        <v>345</v>
      </c>
      <c r="F806" s="32" t="s">
        <v>28</v>
      </c>
      <c r="H806" s="32"/>
      <c r="I806" s="17" t="s">
        <v>4705</v>
      </c>
      <c r="J806" s="21" t="s">
        <v>30</v>
      </c>
    </row>
    <row r="807" spans="1:10" ht="12.75">
      <c r="A807" s="16" t="s">
        <v>2045</v>
      </c>
      <c r="B807" s="17">
        <v>10000</v>
      </c>
      <c r="C807" s="17">
        <f t="shared" si="43"/>
        <v>275</v>
      </c>
      <c r="D807" s="47">
        <v>44858</v>
      </c>
      <c r="E807" s="32" t="s">
        <v>13</v>
      </c>
      <c r="F807" s="32" t="s">
        <v>28</v>
      </c>
      <c r="H807" s="32"/>
      <c r="I807" s="17" t="s">
        <v>4705</v>
      </c>
      <c r="J807" s="32"/>
    </row>
    <row r="808" spans="1:10" ht="12.75">
      <c r="A808" s="16" t="s">
        <v>2046</v>
      </c>
      <c r="B808" s="17">
        <v>450000</v>
      </c>
      <c r="C808" s="17">
        <f t="shared" si="43"/>
        <v>12375</v>
      </c>
      <c r="D808" s="47">
        <v>44858</v>
      </c>
      <c r="E808" s="32" t="s">
        <v>11</v>
      </c>
      <c r="F808" s="32" t="s">
        <v>28</v>
      </c>
      <c r="H808" s="32"/>
      <c r="I808" s="17"/>
      <c r="J808" s="21" t="s">
        <v>30</v>
      </c>
    </row>
    <row r="809" spans="1:10" ht="12.75">
      <c r="A809" s="16" t="s">
        <v>2047</v>
      </c>
      <c r="B809" s="17">
        <v>110000</v>
      </c>
      <c r="C809" s="17">
        <f t="shared" si="43"/>
        <v>3025</v>
      </c>
      <c r="D809" s="47">
        <v>44858</v>
      </c>
      <c r="E809" s="32" t="s">
        <v>73</v>
      </c>
      <c r="F809" s="32" t="s">
        <v>28</v>
      </c>
      <c r="H809" s="32"/>
      <c r="I809" s="17"/>
      <c r="J809" s="32"/>
    </row>
    <row r="810" spans="1:10" ht="12.75">
      <c r="A810" s="16" t="s">
        <v>2048</v>
      </c>
      <c r="B810" s="17">
        <v>150000</v>
      </c>
      <c r="C810" s="17">
        <f t="shared" si="43"/>
        <v>4125</v>
      </c>
      <c r="D810" s="47">
        <v>44859</v>
      </c>
      <c r="E810" s="32" t="s">
        <v>92</v>
      </c>
      <c r="F810" s="32" t="s">
        <v>28</v>
      </c>
      <c r="H810" s="32"/>
      <c r="I810" s="17"/>
      <c r="J810" s="21" t="s">
        <v>30</v>
      </c>
    </row>
    <row r="811" spans="1:10" ht="12.75">
      <c r="A811" s="16" t="s">
        <v>2049</v>
      </c>
      <c r="B811" s="17">
        <v>150000</v>
      </c>
      <c r="C811" s="17">
        <f t="shared" si="43"/>
        <v>4125</v>
      </c>
      <c r="D811" s="47">
        <v>44859</v>
      </c>
      <c r="E811" s="32" t="s">
        <v>11</v>
      </c>
      <c r="F811" s="32" t="s">
        <v>28</v>
      </c>
      <c r="H811" s="32"/>
      <c r="I811" s="17"/>
      <c r="J811" s="21" t="s">
        <v>30</v>
      </c>
    </row>
    <row r="812" spans="1:10" ht="12.75">
      <c r="A812" s="16" t="s">
        <v>2050</v>
      </c>
      <c r="B812" s="17">
        <v>250000</v>
      </c>
      <c r="C812" s="17">
        <f t="shared" si="43"/>
        <v>6875</v>
      </c>
      <c r="D812" s="47">
        <v>44860</v>
      </c>
      <c r="E812" s="32" t="s">
        <v>92</v>
      </c>
      <c r="F812" s="32" t="s">
        <v>28</v>
      </c>
      <c r="H812" s="32"/>
      <c r="I812" s="17"/>
      <c r="J812" s="21" t="s">
        <v>30</v>
      </c>
    </row>
    <row r="813" spans="1:10" ht="12.75">
      <c r="A813" s="16" t="s">
        <v>2051</v>
      </c>
      <c r="B813" s="17">
        <v>100000</v>
      </c>
      <c r="C813" s="17">
        <f t="shared" si="43"/>
        <v>2750</v>
      </c>
      <c r="D813" s="47">
        <v>44860</v>
      </c>
      <c r="E813" s="32" t="s">
        <v>11</v>
      </c>
      <c r="F813" s="32" t="s">
        <v>28</v>
      </c>
      <c r="H813" s="32"/>
      <c r="I813" s="17"/>
      <c r="J813" s="21" t="s">
        <v>30</v>
      </c>
    </row>
    <row r="814" spans="1:10" ht="12.75">
      <c r="A814" s="16" t="s">
        <v>1545</v>
      </c>
      <c r="B814" s="17">
        <v>135000</v>
      </c>
      <c r="C814" s="17">
        <f t="shared" si="43"/>
        <v>3712.5</v>
      </c>
      <c r="D814" s="47">
        <v>44860</v>
      </c>
      <c r="E814" s="32" t="s">
        <v>11</v>
      </c>
      <c r="F814" s="32" t="s">
        <v>1448</v>
      </c>
      <c r="H814" s="32"/>
      <c r="I814" s="17"/>
      <c r="J814" s="32"/>
    </row>
    <row r="815" spans="1:10" ht="12.75">
      <c r="A815" s="16" t="s">
        <v>2052</v>
      </c>
      <c r="B815" s="17">
        <v>15000</v>
      </c>
      <c r="C815" s="17">
        <f t="shared" si="43"/>
        <v>412.5</v>
      </c>
      <c r="D815" s="47">
        <v>44861</v>
      </c>
      <c r="E815" s="32" t="s">
        <v>73</v>
      </c>
      <c r="F815" s="32" t="s">
        <v>1448</v>
      </c>
      <c r="H815" s="32"/>
      <c r="I815" s="17"/>
      <c r="J815" s="32"/>
    </row>
    <row r="816" spans="1:10" ht="12.75">
      <c r="A816" s="24" t="s">
        <v>1509</v>
      </c>
      <c r="B816" s="25">
        <v>75000</v>
      </c>
      <c r="C816" s="17">
        <f t="shared" si="43"/>
        <v>2062.5</v>
      </c>
      <c r="D816" s="47">
        <v>44861</v>
      </c>
      <c r="E816" s="32" t="s">
        <v>11</v>
      </c>
      <c r="F816" s="32" t="s">
        <v>1448</v>
      </c>
      <c r="H816" s="32"/>
      <c r="I816" s="17"/>
      <c r="J816" s="32"/>
    </row>
    <row r="817" spans="1:11" ht="12.75">
      <c r="A817" s="24" t="s">
        <v>1816</v>
      </c>
      <c r="B817" s="25">
        <v>135000</v>
      </c>
      <c r="C817" s="17">
        <f t="shared" si="43"/>
        <v>3712.5</v>
      </c>
      <c r="D817" s="47">
        <v>44861</v>
      </c>
      <c r="E817" s="32" t="s">
        <v>11</v>
      </c>
      <c r="F817" s="32" t="s">
        <v>1448</v>
      </c>
      <c r="H817" s="32"/>
      <c r="I817" s="17"/>
      <c r="J817" s="32"/>
    </row>
    <row r="818" spans="1:11" ht="12.75">
      <c r="A818" s="24" t="s">
        <v>2053</v>
      </c>
      <c r="B818" s="25">
        <v>15000</v>
      </c>
      <c r="C818" s="17">
        <f t="shared" si="43"/>
        <v>412.5</v>
      </c>
      <c r="D818" s="47">
        <v>44861</v>
      </c>
      <c r="E818" s="32" t="s">
        <v>11</v>
      </c>
      <c r="F818" s="32" t="s">
        <v>1448</v>
      </c>
      <c r="H818" s="32"/>
      <c r="I818" s="17"/>
      <c r="J818" s="32"/>
    </row>
    <row r="819" spans="1:11" ht="12.75">
      <c r="A819" s="24" t="s">
        <v>1938</v>
      </c>
      <c r="B819" s="25">
        <v>25000</v>
      </c>
      <c r="C819" s="17">
        <f t="shared" si="43"/>
        <v>687.5</v>
      </c>
      <c r="D819" s="47">
        <v>44861</v>
      </c>
      <c r="E819" s="32" t="s">
        <v>11</v>
      </c>
      <c r="F819" s="32" t="s">
        <v>1448</v>
      </c>
      <c r="H819" s="32"/>
      <c r="I819" s="17"/>
      <c r="J819" s="32"/>
    </row>
    <row r="820" spans="1:11" ht="12.75">
      <c r="A820" s="16" t="s">
        <v>2055</v>
      </c>
      <c r="B820" s="17">
        <v>750000</v>
      </c>
      <c r="C820" s="17">
        <f t="shared" si="43"/>
        <v>20625</v>
      </c>
      <c r="D820" s="47">
        <v>44861</v>
      </c>
      <c r="E820" s="32" t="s">
        <v>11</v>
      </c>
      <c r="F820" s="32" t="s">
        <v>28</v>
      </c>
      <c r="H820" s="32"/>
      <c r="I820" s="17"/>
      <c r="J820" s="21" t="s">
        <v>30</v>
      </c>
    </row>
    <row r="821" spans="1:11" ht="12.75">
      <c r="A821" s="16" t="s">
        <v>1993</v>
      </c>
      <c r="B821" s="17">
        <v>20000</v>
      </c>
      <c r="C821" s="17">
        <f t="shared" si="43"/>
        <v>550</v>
      </c>
      <c r="D821" s="47">
        <v>44862</v>
      </c>
      <c r="E821" s="32" t="s">
        <v>11</v>
      </c>
      <c r="F821" s="32" t="s">
        <v>1448</v>
      </c>
      <c r="H821" s="32"/>
      <c r="I821" s="17"/>
      <c r="J821" s="32"/>
    </row>
    <row r="822" spans="1:11" ht="12.75">
      <c r="A822" s="16" t="s">
        <v>1516</v>
      </c>
      <c r="B822" s="17">
        <v>100000</v>
      </c>
      <c r="C822" s="17">
        <f t="shared" si="43"/>
        <v>2750</v>
      </c>
      <c r="D822" s="47">
        <v>44862</v>
      </c>
      <c r="E822" s="32" t="s">
        <v>4023</v>
      </c>
      <c r="F822" s="32" t="s">
        <v>1448</v>
      </c>
      <c r="H822" s="32"/>
      <c r="I822" s="17"/>
      <c r="J822" s="32"/>
    </row>
    <row r="823" spans="1:11" ht="12.75">
      <c r="A823" s="16" t="s">
        <v>2057</v>
      </c>
      <c r="B823" s="17">
        <v>225000</v>
      </c>
      <c r="C823" s="17">
        <f t="shared" si="43"/>
        <v>6187.5</v>
      </c>
      <c r="D823" s="47">
        <v>44865</v>
      </c>
      <c r="E823" s="32" t="s">
        <v>11</v>
      </c>
      <c r="F823" s="32" t="s">
        <v>1448</v>
      </c>
      <c r="H823" s="32"/>
      <c r="I823" s="17"/>
      <c r="J823" s="32"/>
    </row>
    <row r="824" spans="1:11" ht="12.75">
      <c r="A824" s="16" t="s">
        <v>2056</v>
      </c>
      <c r="B824" s="17">
        <v>85000</v>
      </c>
      <c r="C824" s="17">
        <f t="shared" si="43"/>
        <v>2337.5</v>
      </c>
      <c r="D824" s="47">
        <v>44865</v>
      </c>
      <c r="E824" s="32" t="s">
        <v>11</v>
      </c>
      <c r="F824" s="32" t="s">
        <v>28</v>
      </c>
      <c r="H824" s="32"/>
      <c r="I824" s="17"/>
      <c r="J824" s="32"/>
    </row>
    <row r="825" spans="1:11" ht="12.75">
      <c r="A825" s="16" t="s">
        <v>1974</v>
      </c>
      <c r="B825" s="17">
        <v>500000</v>
      </c>
      <c r="C825" s="17">
        <f t="shared" si="43"/>
        <v>13750</v>
      </c>
      <c r="D825" s="47">
        <v>44865</v>
      </c>
      <c r="E825" s="32" t="s">
        <v>11</v>
      </c>
      <c r="F825" s="32" t="s">
        <v>1448</v>
      </c>
      <c r="H825" s="32"/>
      <c r="I825" s="17"/>
      <c r="J825" s="32"/>
    </row>
    <row r="826" spans="1:11" ht="12.75">
      <c r="A826" s="11">
        <v>44866</v>
      </c>
      <c r="B826" s="9">
        <f t="shared" ref="B826:C826" si="44">SUM(B827:B879)</f>
        <v>18118000</v>
      </c>
      <c r="C826" s="9">
        <f t="shared" si="44"/>
        <v>491370</v>
      </c>
      <c r="D826" s="59"/>
      <c r="E826" s="59"/>
      <c r="F826" s="59"/>
      <c r="G826" s="9">
        <f>SUM(G827:G869)</f>
        <v>0</v>
      </c>
      <c r="H826" s="9"/>
      <c r="I826" s="15"/>
      <c r="J826" s="67"/>
      <c r="K826" s="69">
        <f>SUM(B826)</f>
        <v>18118000</v>
      </c>
    </row>
    <row r="827" spans="1:11" ht="12.75">
      <c r="A827" s="16" t="s">
        <v>1850</v>
      </c>
      <c r="B827" s="17">
        <v>200000</v>
      </c>
      <c r="C827" s="17">
        <f t="shared" ref="C827:C855" si="45">0.0275*B827</f>
        <v>5500</v>
      </c>
      <c r="D827" s="47">
        <v>44866</v>
      </c>
      <c r="E827" s="32" t="s">
        <v>11</v>
      </c>
      <c r="F827" s="32" t="s">
        <v>1448</v>
      </c>
      <c r="H827" s="32"/>
      <c r="I827" s="17"/>
      <c r="J827" s="32"/>
    </row>
    <row r="828" spans="1:11" ht="12.75">
      <c r="A828" s="16" t="s">
        <v>2058</v>
      </c>
      <c r="B828" s="17">
        <v>200000</v>
      </c>
      <c r="C828" s="17">
        <f t="shared" si="45"/>
        <v>5500</v>
      </c>
      <c r="D828" s="47">
        <v>44866</v>
      </c>
      <c r="E828" s="32" t="s">
        <v>11</v>
      </c>
      <c r="F828" s="32" t="s">
        <v>28</v>
      </c>
      <c r="H828" s="32"/>
      <c r="I828" s="17"/>
      <c r="J828" s="21" t="s">
        <v>30</v>
      </c>
    </row>
    <row r="829" spans="1:11" ht="12.75">
      <c r="A829" s="16" t="s">
        <v>2059</v>
      </c>
      <c r="B829" s="17">
        <v>150000</v>
      </c>
      <c r="C829" s="17">
        <f t="shared" si="45"/>
        <v>4125</v>
      </c>
      <c r="D829" s="47">
        <v>44866</v>
      </c>
      <c r="E829" s="32" t="s">
        <v>11</v>
      </c>
      <c r="F829" s="32" t="s">
        <v>28</v>
      </c>
      <c r="H829" s="32"/>
      <c r="I829" s="17"/>
      <c r="J829" s="21" t="s">
        <v>30</v>
      </c>
    </row>
    <row r="830" spans="1:11" ht="12.75">
      <c r="A830" s="16" t="s">
        <v>1716</v>
      </c>
      <c r="B830" s="17">
        <v>135000</v>
      </c>
      <c r="C830" s="17">
        <f t="shared" si="45"/>
        <v>3712.5</v>
      </c>
      <c r="D830" s="47">
        <v>44867</v>
      </c>
      <c r="E830" s="32" t="s">
        <v>4023</v>
      </c>
      <c r="F830" s="32" t="s">
        <v>1448</v>
      </c>
      <c r="H830" s="32"/>
      <c r="I830" s="17"/>
      <c r="J830" s="32"/>
    </row>
    <row r="831" spans="1:11" ht="12.75">
      <c r="A831" s="16" t="s">
        <v>2064</v>
      </c>
      <c r="B831" s="17">
        <v>85000</v>
      </c>
      <c r="C831" s="17">
        <f t="shared" si="45"/>
        <v>2337.5</v>
      </c>
      <c r="D831" s="47">
        <v>44868</v>
      </c>
      <c r="E831" s="32" t="s">
        <v>4023</v>
      </c>
      <c r="F831" s="32" t="s">
        <v>28</v>
      </c>
      <c r="H831" s="32"/>
      <c r="I831" s="17"/>
      <c r="J831" s="21" t="s">
        <v>30</v>
      </c>
    </row>
    <row r="832" spans="1:11" ht="12.75">
      <c r="A832" s="16" t="s">
        <v>1463</v>
      </c>
      <c r="B832" s="17">
        <v>310000</v>
      </c>
      <c r="C832" s="17">
        <f t="shared" si="45"/>
        <v>8525</v>
      </c>
      <c r="D832" s="47">
        <v>44868</v>
      </c>
      <c r="E832" s="32" t="s">
        <v>11</v>
      </c>
      <c r="F832" s="32" t="s">
        <v>1448</v>
      </c>
      <c r="H832" s="32"/>
      <c r="I832" s="17"/>
      <c r="J832" s="32"/>
    </row>
    <row r="833" spans="1:10" ht="12.75">
      <c r="A833" s="16" t="s">
        <v>4711</v>
      </c>
      <c r="B833" s="17">
        <v>410000</v>
      </c>
      <c r="C833" s="17">
        <f t="shared" si="45"/>
        <v>11275</v>
      </c>
      <c r="D833" s="47">
        <v>44868</v>
      </c>
      <c r="E833" s="32" t="s">
        <v>4677</v>
      </c>
      <c r="F833" s="32" t="s">
        <v>1448</v>
      </c>
      <c r="H833" s="32"/>
      <c r="I833" s="17" t="s">
        <v>4712</v>
      </c>
      <c r="J833" s="32"/>
    </row>
    <row r="834" spans="1:10" ht="12.75">
      <c r="A834" s="16" t="s">
        <v>2060</v>
      </c>
      <c r="B834" s="17">
        <v>20000</v>
      </c>
      <c r="C834" s="17">
        <f t="shared" si="45"/>
        <v>550</v>
      </c>
      <c r="D834" s="47">
        <v>44868</v>
      </c>
      <c r="E834" s="32" t="s">
        <v>92</v>
      </c>
      <c r="F834" s="32" t="s">
        <v>28</v>
      </c>
      <c r="H834" s="32"/>
      <c r="I834" s="17"/>
      <c r="J834" s="32"/>
    </row>
    <row r="835" spans="1:10" ht="12.75">
      <c r="A835" s="16" t="s">
        <v>2061</v>
      </c>
      <c r="B835" s="17">
        <v>25000</v>
      </c>
      <c r="C835" s="17">
        <f t="shared" si="45"/>
        <v>687.5</v>
      </c>
      <c r="D835" s="47">
        <v>44868</v>
      </c>
      <c r="E835" s="32" t="s">
        <v>11</v>
      </c>
      <c r="F835" s="32" t="s">
        <v>1448</v>
      </c>
      <c r="H835" s="32"/>
      <c r="I835" s="17"/>
      <c r="J835" s="32"/>
    </row>
    <row r="836" spans="1:10" ht="12.75">
      <c r="A836" s="16" t="s">
        <v>2062</v>
      </c>
      <c r="B836" s="17">
        <v>50000</v>
      </c>
      <c r="C836" s="17">
        <f t="shared" si="45"/>
        <v>1375</v>
      </c>
      <c r="D836" s="47">
        <v>44868</v>
      </c>
      <c r="E836" s="32" t="s">
        <v>11</v>
      </c>
      <c r="F836" s="32" t="s">
        <v>1448</v>
      </c>
      <c r="H836" s="32"/>
      <c r="I836" s="17"/>
      <c r="J836" s="32"/>
    </row>
    <row r="837" spans="1:10" ht="12.75">
      <c r="A837" s="16" t="s">
        <v>2063</v>
      </c>
      <c r="B837" s="17">
        <v>30000</v>
      </c>
      <c r="C837" s="17">
        <f t="shared" si="45"/>
        <v>825</v>
      </c>
      <c r="D837" s="47">
        <v>44868</v>
      </c>
      <c r="E837" s="32" t="s">
        <v>11</v>
      </c>
      <c r="F837" s="32" t="s">
        <v>1448</v>
      </c>
      <c r="H837" s="32"/>
      <c r="I837" s="17"/>
      <c r="J837" s="32"/>
    </row>
    <row r="838" spans="1:10" ht="12.75">
      <c r="A838" s="16" t="s">
        <v>1982</v>
      </c>
      <c r="B838" s="17">
        <v>20000</v>
      </c>
      <c r="C838" s="17">
        <f t="shared" si="45"/>
        <v>550</v>
      </c>
      <c r="D838" s="47">
        <v>44868</v>
      </c>
      <c r="E838" s="32" t="s">
        <v>11</v>
      </c>
      <c r="F838" s="32" t="s">
        <v>1448</v>
      </c>
      <c r="H838" s="32"/>
      <c r="I838" s="17"/>
      <c r="J838" s="32"/>
    </row>
    <row r="839" spans="1:10" ht="12.75">
      <c r="A839" s="16" t="s">
        <v>2065</v>
      </c>
      <c r="B839" s="17">
        <v>475000</v>
      </c>
      <c r="C839" s="17">
        <f t="shared" si="45"/>
        <v>13062.5</v>
      </c>
      <c r="D839" s="47">
        <v>44869</v>
      </c>
      <c r="E839" s="32" t="s">
        <v>11</v>
      </c>
      <c r="F839" s="32" t="s">
        <v>1448</v>
      </c>
      <c r="H839" s="32"/>
      <c r="I839" s="17"/>
      <c r="J839" s="32"/>
    </row>
    <row r="840" spans="1:10" ht="12.75">
      <c r="A840" s="16" t="s">
        <v>2066</v>
      </c>
      <c r="B840" s="17">
        <v>230000</v>
      </c>
      <c r="C840" s="17">
        <f t="shared" si="45"/>
        <v>6325</v>
      </c>
      <c r="D840" s="47">
        <v>44869</v>
      </c>
      <c r="E840" s="32" t="s">
        <v>11</v>
      </c>
      <c r="F840" s="32" t="s">
        <v>1448</v>
      </c>
      <c r="H840" s="32"/>
      <c r="I840" s="17"/>
      <c r="J840" s="32"/>
    </row>
    <row r="841" spans="1:10" ht="12.75">
      <c r="A841" s="16" t="s">
        <v>1512</v>
      </c>
      <c r="B841" s="17">
        <v>45000</v>
      </c>
      <c r="C841" s="17">
        <f t="shared" si="45"/>
        <v>1237.5</v>
      </c>
      <c r="D841" s="47">
        <v>44869</v>
      </c>
      <c r="E841" s="32" t="s">
        <v>73</v>
      </c>
      <c r="F841" s="32" t="s">
        <v>1448</v>
      </c>
      <c r="H841" s="32"/>
      <c r="I841" s="17"/>
      <c r="J841" s="32"/>
    </row>
    <row r="842" spans="1:10" ht="12.75">
      <c r="A842" s="16" t="s">
        <v>2067</v>
      </c>
      <c r="B842" s="17">
        <v>325000</v>
      </c>
      <c r="C842" s="17">
        <f t="shared" si="45"/>
        <v>8937.5</v>
      </c>
      <c r="D842" s="47">
        <v>44869</v>
      </c>
      <c r="E842" s="32" t="s">
        <v>4023</v>
      </c>
      <c r="F842" s="32" t="s">
        <v>28</v>
      </c>
      <c r="H842" s="32"/>
      <c r="I842" s="17"/>
      <c r="J842" s="21" t="s">
        <v>30</v>
      </c>
    </row>
    <row r="843" spans="1:10" ht="12.75">
      <c r="A843" s="16" t="s">
        <v>1703</v>
      </c>
      <c r="B843" s="17">
        <v>300000</v>
      </c>
      <c r="C843" s="17">
        <f t="shared" si="45"/>
        <v>8250</v>
      </c>
      <c r="D843" s="47">
        <v>44869</v>
      </c>
      <c r="E843" s="32" t="s">
        <v>11</v>
      </c>
      <c r="F843" s="32" t="s">
        <v>1448</v>
      </c>
      <c r="H843" s="32"/>
      <c r="I843" s="17"/>
      <c r="J843" s="32"/>
    </row>
    <row r="844" spans="1:10" ht="12.75">
      <c r="A844" s="16" t="s">
        <v>2068</v>
      </c>
      <c r="B844" s="17">
        <v>95000</v>
      </c>
      <c r="C844" s="17">
        <f t="shared" si="45"/>
        <v>2612.5</v>
      </c>
      <c r="D844" s="47">
        <v>44872</v>
      </c>
      <c r="E844" s="32" t="s">
        <v>11</v>
      </c>
      <c r="F844" s="32" t="s">
        <v>1448</v>
      </c>
      <c r="H844" s="32"/>
      <c r="I844" s="17"/>
      <c r="J844" s="32"/>
    </row>
    <row r="845" spans="1:10" ht="12.75">
      <c r="A845" s="16" t="s">
        <v>1682</v>
      </c>
      <c r="B845" s="17">
        <v>90000</v>
      </c>
      <c r="C845" s="17">
        <f t="shared" si="45"/>
        <v>2475</v>
      </c>
      <c r="D845" s="47">
        <v>44873</v>
      </c>
      <c r="E845" s="32" t="s">
        <v>11</v>
      </c>
      <c r="F845" s="32" t="s">
        <v>1448</v>
      </c>
      <c r="H845" s="32"/>
      <c r="I845" s="17"/>
      <c r="J845" s="32"/>
    </row>
    <row r="846" spans="1:10" ht="12.75">
      <c r="A846" s="16" t="s">
        <v>2069</v>
      </c>
      <c r="B846" s="17">
        <v>175000</v>
      </c>
      <c r="C846" s="17">
        <f t="shared" si="45"/>
        <v>4812.5</v>
      </c>
      <c r="D846" s="47">
        <v>44873</v>
      </c>
      <c r="E846" s="32" t="s">
        <v>4023</v>
      </c>
      <c r="F846" s="32" t="s">
        <v>28</v>
      </c>
      <c r="H846" s="32"/>
      <c r="I846" s="17"/>
      <c r="J846" s="21" t="s">
        <v>30</v>
      </c>
    </row>
    <row r="847" spans="1:10" ht="12.75">
      <c r="A847" s="16" t="s">
        <v>1541</v>
      </c>
      <c r="B847" s="17">
        <v>325000</v>
      </c>
      <c r="C847" s="17">
        <f t="shared" si="45"/>
        <v>8937.5</v>
      </c>
      <c r="D847" s="47">
        <v>44873</v>
      </c>
      <c r="E847" s="32" t="s">
        <v>11</v>
      </c>
      <c r="F847" s="32" t="s">
        <v>1448</v>
      </c>
      <c r="H847" s="32"/>
      <c r="I847" s="17"/>
      <c r="J847" s="32"/>
    </row>
    <row r="848" spans="1:10" ht="12.75">
      <c r="A848" s="16" t="s">
        <v>2070</v>
      </c>
      <c r="B848" s="17">
        <v>50000</v>
      </c>
      <c r="C848" s="17">
        <f t="shared" si="45"/>
        <v>1375</v>
      </c>
      <c r="D848" s="47">
        <v>44873</v>
      </c>
      <c r="E848" s="32" t="s">
        <v>11</v>
      </c>
      <c r="F848" s="32" t="s">
        <v>1448</v>
      </c>
      <c r="H848" s="32"/>
      <c r="I848" s="17"/>
      <c r="J848" s="32"/>
    </row>
    <row r="849" spans="1:10" ht="12.75">
      <c r="A849" s="16" t="s">
        <v>2071</v>
      </c>
      <c r="B849" s="17">
        <v>1350000</v>
      </c>
      <c r="C849" s="17">
        <f t="shared" si="45"/>
        <v>37125</v>
      </c>
      <c r="D849" s="47">
        <v>44874</v>
      </c>
      <c r="E849" s="32" t="s">
        <v>4713</v>
      </c>
      <c r="F849" s="32" t="s">
        <v>1448</v>
      </c>
      <c r="H849" s="32"/>
      <c r="I849" s="17"/>
      <c r="J849" s="32"/>
    </row>
    <row r="850" spans="1:10" ht="12.75">
      <c r="A850" s="16" t="s">
        <v>2072</v>
      </c>
      <c r="B850" s="17">
        <v>750000</v>
      </c>
      <c r="C850" s="17">
        <f t="shared" si="45"/>
        <v>20625</v>
      </c>
      <c r="D850" s="47">
        <v>44874</v>
      </c>
      <c r="E850" s="32" t="s">
        <v>69</v>
      </c>
      <c r="F850" s="32" t="s">
        <v>28</v>
      </c>
      <c r="H850" s="32"/>
      <c r="I850" s="17" t="s">
        <v>4705</v>
      </c>
      <c r="J850" s="21" t="s">
        <v>30</v>
      </c>
    </row>
    <row r="851" spans="1:10" ht="12.75">
      <c r="A851" s="16" t="s">
        <v>1796</v>
      </c>
      <c r="B851" s="17">
        <v>250000</v>
      </c>
      <c r="C851" s="17">
        <f t="shared" si="45"/>
        <v>6875</v>
      </c>
      <c r="D851" s="47">
        <v>44874</v>
      </c>
      <c r="E851" s="32" t="s">
        <v>40</v>
      </c>
      <c r="F851" s="32" t="s">
        <v>1448</v>
      </c>
      <c r="H851" s="32"/>
      <c r="I851" s="17"/>
      <c r="J851" s="32"/>
    </row>
    <row r="852" spans="1:10" ht="12.75">
      <c r="A852" s="16" t="s">
        <v>2073</v>
      </c>
      <c r="B852" s="17">
        <v>250000</v>
      </c>
      <c r="C852" s="17">
        <f t="shared" si="45"/>
        <v>6875</v>
      </c>
      <c r="D852" s="47">
        <v>44874</v>
      </c>
      <c r="E852" s="32" t="s">
        <v>4023</v>
      </c>
      <c r="F852" s="32" t="s">
        <v>28</v>
      </c>
      <c r="H852" s="32"/>
      <c r="I852" s="17"/>
      <c r="J852" s="21" t="s">
        <v>30</v>
      </c>
    </row>
    <row r="853" spans="1:10" ht="12.75">
      <c r="A853" s="16" t="s">
        <v>4714</v>
      </c>
      <c r="B853" s="17">
        <v>930000</v>
      </c>
      <c r="C853" s="17">
        <f t="shared" si="45"/>
        <v>25575</v>
      </c>
      <c r="D853" s="47">
        <v>44874</v>
      </c>
      <c r="E853" s="32" t="s">
        <v>4656</v>
      </c>
      <c r="F853" s="32" t="s">
        <v>1448</v>
      </c>
      <c r="H853" s="32"/>
      <c r="I853" s="17" t="s">
        <v>4715</v>
      </c>
      <c r="J853" s="32"/>
    </row>
    <row r="854" spans="1:10" ht="12.75">
      <c r="A854" s="16" t="s">
        <v>2075</v>
      </c>
      <c r="B854" s="17">
        <v>350000</v>
      </c>
      <c r="C854" s="17">
        <f t="shared" si="45"/>
        <v>9625</v>
      </c>
      <c r="D854" s="47">
        <v>44874</v>
      </c>
      <c r="E854" s="32" t="s">
        <v>461</v>
      </c>
      <c r="F854" s="32" t="s">
        <v>28</v>
      </c>
      <c r="H854" s="32"/>
      <c r="I854" s="17"/>
      <c r="J854" s="21" t="s">
        <v>30</v>
      </c>
    </row>
    <row r="855" spans="1:10" ht="12.75">
      <c r="A855" s="16" t="s">
        <v>4716</v>
      </c>
      <c r="B855" s="17">
        <v>400000</v>
      </c>
      <c r="C855" s="17">
        <f t="shared" si="45"/>
        <v>11000</v>
      </c>
      <c r="D855" s="47">
        <v>44875</v>
      </c>
      <c r="E855" s="32" t="s">
        <v>2130</v>
      </c>
      <c r="F855" s="32" t="s">
        <v>28</v>
      </c>
      <c r="H855" s="32"/>
      <c r="I855" s="17"/>
      <c r="J855" s="21" t="s">
        <v>30</v>
      </c>
    </row>
    <row r="856" spans="1:10" ht="12.75">
      <c r="A856" s="16" t="s">
        <v>1477</v>
      </c>
      <c r="B856" s="17">
        <v>3250000</v>
      </c>
      <c r="C856" s="17">
        <f>0.0275*3000000</f>
        <v>82500</v>
      </c>
      <c r="D856" s="47">
        <v>44875</v>
      </c>
      <c r="E856" s="32" t="s">
        <v>11</v>
      </c>
      <c r="F856" s="32" t="s">
        <v>1448</v>
      </c>
      <c r="H856" s="32"/>
      <c r="I856" s="17" t="s">
        <v>2076</v>
      </c>
      <c r="J856" s="32"/>
    </row>
    <row r="857" spans="1:10" ht="12.75">
      <c r="A857" s="16" t="s">
        <v>2077</v>
      </c>
      <c r="B857" s="17">
        <v>500000</v>
      </c>
      <c r="C857" s="17">
        <f t="shared" ref="C857:C879" si="46">0.0275*B857</f>
        <v>13750</v>
      </c>
      <c r="D857" s="47">
        <v>44875</v>
      </c>
      <c r="E857" s="32" t="s">
        <v>92</v>
      </c>
      <c r="F857" s="32" t="s">
        <v>28</v>
      </c>
      <c r="H857" s="32"/>
      <c r="I857" s="17"/>
      <c r="J857" s="21" t="s">
        <v>30</v>
      </c>
    </row>
    <row r="858" spans="1:10" ht="12.75">
      <c r="A858" s="16" t="s">
        <v>2074</v>
      </c>
      <c r="B858" s="17">
        <v>75000</v>
      </c>
      <c r="C858" s="17">
        <f t="shared" si="46"/>
        <v>2062.5</v>
      </c>
      <c r="D858" s="47">
        <v>44875</v>
      </c>
      <c r="E858" s="32" t="s">
        <v>11</v>
      </c>
      <c r="F858" s="32" t="s">
        <v>1448</v>
      </c>
      <c r="H858" s="32"/>
      <c r="I858" s="17"/>
      <c r="J858" s="32"/>
    </row>
    <row r="859" spans="1:10" ht="12.75">
      <c r="A859" s="16" t="s">
        <v>1464</v>
      </c>
      <c r="B859" s="17">
        <v>600000</v>
      </c>
      <c r="C859" s="17">
        <f t="shared" si="46"/>
        <v>16500</v>
      </c>
      <c r="D859" s="47">
        <v>44879</v>
      </c>
      <c r="E859" s="32" t="s">
        <v>73</v>
      </c>
      <c r="F859" s="32" t="s">
        <v>1448</v>
      </c>
      <c r="H859" s="32"/>
      <c r="I859" s="17"/>
      <c r="J859" s="32"/>
    </row>
    <row r="860" spans="1:10" ht="12.75">
      <c r="A860" s="16" t="s">
        <v>1544</v>
      </c>
      <c r="B860" s="17">
        <v>75000</v>
      </c>
      <c r="C860" s="17">
        <f t="shared" si="46"/>
        <v>2062.5</v>
      </c>
      <c r="D860" s="47">
        <v>44879</v>
      </c>
      <c r="E860" s="32" t="s">
        <v>11</v>
      </c>
      <c r="F860" s="32" t="s">
        <v>1448</v>
      </c>
      <c r="H860" s="32"/>
      <c r="I860" s="17"/>
      <c r="J860" s="32"/>
    </row>
    <row r="861" spans="1:10" ht="12.75">
      <c r="A861" s="16" t="s">
        <v>2078</v>
      </c>
      <c r="B861" s="17">
        <v>140000</v>
      </c>
      <c r="C861" s="17">
        <f t="shared" si="46"/>
        <v>3850</v>
      </c>
      <c r="D861" s="47">
        <v>44879</v>
      </c>
      <c r="E861" s="32" t="s">
        <v>11</v>
      </c>
      <c r="F861" s="32" t="s">
        <v>1448</v>
      </c>
      <c r="H861" s="32"/>
      <c r="I861" s="17"/>
      <c r="J861" s="32"/>
    </row>
    <row r="862" spans="1:10" ht="12.75">
      <c r="A862" s="16" t="s">
        <v>2079</v>
      </c>
      <c r="B862" s="17">
        <v>225000</v>
      </c>
      <c r="C862" s="17">
        <f t="shared" si="46"/>
        <v>6187.5</v>
      </c>
      <c r="D862" s="47">
        <v>44879</v>
      </c>
      <c r="E862" s="32" t="s">
        <v>11</v>
      </c>
      <c r="F862" s="32" t="s">
        <v>1448</v>
      </c>
      <c r="H862" s="32"/>
      <c r="I862" s="17"/>
      <c r="J862" s="32"/>
    </row>
    <row r="863" spans="1:10" ht="12.75">
      <c r="A863" s="16" t="s">
        <v>1743</v>
      </c>
      <c r="B863" s="17">
        <v>1000000</v>
      </c>
      <c r="C863" s="17">
        <f t="shared" si="46"/>
        <v>27500</v>
      </c>
      <c r="D863" s="47">
        <v>44879</v>
      </c>
      <c r="E863" s="32" t="s">
        <v>11</v>
      </c>
      <c r="F863" s="32" t="s">
        <v>1448</v>
      </c>
      <c r="H863" s="32"/>
      <c r="I863" s="17"/>
      <c r="J863" s="32"/>
    </row>
    <row r="864" spans="1:10" ht="12.75">
      <c r="A864" s="16" t="s">
        <v>1671</v>
      </c>
      <c r="B864" s="17">
        <v>83000</v>
      </c>
      <c r="C864" s="17">
        <f t="shared" si="46"/>
        <v>2282.5</v>
      </c>
      <c r="D864" s="47">
        <v>44880</v>
      </c>
      <c r="E864" s="32" t="s">
        <v>73</v>
      </c>
      <c r="F864" s="32" t="s">
        <v>1448</v>
      </c>
      <c r="H864" s="32"/>
      <c r="I864" s="17"/>
      <c r="J864" s="32"/>
    </row>
    <row r="865" spans="1:26" ht="12.75">
      <c r="A865" s="16" t="s">
        <v>4711</v>
      </c>
      <c r="B865" s="17">
        <v>175000</v>
      </c>
      <c r="C865" s="17">
        <f t="shared" si="46"/>
        <v>4812.5</v>
      </c>
      <c r="D865" s="47">
        <v>44880</v>
      </c>
      <c r="E865" s="32" t="s">
        <v>4677</v>
      </c>
      <c r="F865" s="32" t="s">
        <v>1448</v>
      </c>
      <c r="H865" s="32"/>
      <c r="I865" s="17"/>
      <c r="J865" s="32"/>
    </row>
    <row r="866" spans="1:26" ht="12.75">
      <c r="A866" s="16" t="s">
        <v>2080</v>
      </c>
      <c r="B866" s="17">
        <v>175000</v>
      </c>
      <c r="C866" s="17">
        <f t="shared" si="46"/>
        <v>4812.5</v>
      </c>
      <c r="D866" s="47">
        <v>44881</v>
      </c>
      <c r="E866" s="32" t="s">
        <v>11</v>
      </c>
      <c r="F866" s="32" t="s">
        <v>28</v>
      </c>
      <c r="H866" s="32"/>
      <c r="I866" s="17"/>
      <c r="J866" s="21" t="s">
        <v>30</v>
      </c>
    </row>
    <row r="867" spans="1:26" ht="12.75">
      <c r="A867" s="16" t="s">
        <v>1868</v>
      </c>
      <c r="B867" s="17">
        <v>70000</v>
      </c>
      <c r="C867" s="17">
        <f t="shared" si="46"/>
        <v>1925</v>
      </c>
      <c r="D867" s="47">
        <v>44881</v>
      </c>
      <c r="E867" s="32" t="s">
        <v>92</v>
      </c>
      <c r="F867" s="32" t="s">
        <v>1448</v>
      </c>
      <c r="H867" s="32"/>
      <c r="I867" s="17"/>
      <c r="J867" s="32"/>
    </row>
    <row r="868" spans="1:26" ht="12.75">
      <c r="A868" s="16" t="s">
        <v>2081</v>
      </c>
      <c r="B868" s="17">
        <v>350000</v>
      </c>
      <c r="C868" s="17">
        <f t="shared" si="46"/>
        <v>9625</v>
      </c>
      <c r="D868" s="47">
        <v>44881</v>
      </c>
      <c r="E868" s="32" t="s">
        <v>11</v>
      </c>
      <c r="F868" s="32" t="s">
        <v>1448</v>
      </c>
      <c r="H868" s="32"/>
      <c r="I868" s="17"/>
      <c r="J868" s="32"/>
    </row>
    <row r="869" spans="1:26" ht="12.75">
      <c r="A869" s="16" t="s">
        <v>2082</v>
      </c>
      <c r="B869" s="17">
        <v>65000</v>
      </c>
      <c r="C869" s="17">
        <f t="shared" si="46"/>
        <v>1787.5</v>
      </c>
      <c r="D869" s="47">
        <v>44881</v>
      </c>
      <c r="E869" s="32" t="s">
        <v>69</v>
      </c>
      <c r="F869" s="32" t="s">
        <v>28</v>
      </c>
      <c r="H869" s="32"/>
      <c r="I869" s="17" t="s">
        <v>4705</v>
      </c>
      <c r="J869" s="21" t="s">
        <v>30</v>
      </c>
    </row>
    <row r="870" spans="1:26" ht="12.75">
      <c r="A870" s="16" t="s">
        <v>4717</v>
      </c>
      <c r="B870" s="17">
        <v>200000</v>
      </c>
      <c r="C870" s="17">
        <f t="shared" si="46"/>
        <v>5500</v>
      </c>
      <c r="D870" s="47">
        <v>44881</v>
      </c>
      <c r="E870" s="32" t="s">
        <v>2130</v>
      </c>
      <c r="F870" s="32" t="s">
        <v>28</v>
      </c>
      <c r="H870" s="32"/>
      <c r="I870" s="17"/>
      <c r="J870" s="32"/>
    </row>
    <row r="871" spans="1:26" ht="12.75">
      <c r="A871" s="16" t="s">
        <v>1638</v>
      </c>
      <c r="B871" s="17">
        <v>40000</v>
      </c>
      <c r="C871" s="17">
        <f t="shared" si="46"/>
        <v>1100</v>
      </c>
      <c r="D871" s="47">
        <v>44882</v>
      </c>
      <c r="E871" s="32" t="s">
        <v>11</v>
      </c>
      <c r="F871" s="32" t="s">
        <v>1448</v>
      </c>
      <c r="H871" s="32"/>
      <c r="I871" s="17"/>
      <c r="J871" s="32"/>
    </row>
    <row r="872" spans="1:26" ht="12.75">
      <c r="A872" s="16" t="s">
        <v>1692</v>
      </c>
      <c r="B872" s="17">
        <v>112500</v>
      </c>
      <c r="C872" s="17">
        <f t="shared" si="46"/>
        <v>3093.75</v>
      </c>
      <c r="D872" s="47">
        <v>44882</v>
      </c>
      <c r="E872" s="32" t="s">
        <v>11</v>
      </c>
      <c r="F872" s="32" t="s">
        <v>1448</v>
      </c>
      <c r="H872" s="32"/>
      <c r="I872" s="17"/>
      <c r="J872" s="32"/>
    </row>
    <row r="873" spans="1:26" ht="12.75">
      <c r="A873" s="16" t="s">
        <v>2083</v>
      </c>
      <c r="B873" s="17">
        <v>7000</v>
      </c>
      <c r="C873" s="17">
        <f t="shared" si="46"/>
        <v>192.5</v>
      </c>
      <c r="D873" s="47">
        <v>44882</v>
      </c>
      <c r="E873" s="32" t="s">
        <v>11</v>
      </c>
      <c r="F873" s="32" t="s">
        <v>1448</v>
      </c>
      <c r="H873" s="32"/>
      <c r="I873" s="17"/>
      <c r="J873" s="23"/>
    </row>
    <row r="874" spans="1:26" ht="12.75">
      <c r="A874" s="16" t="s">
        <v>2084</v>
      </c>
      <c r="B874" s="17">
        <v>125000</v>
      </c>
      <c r="C874" s="17">
        <f t="shared" si="46"/>
        <v>3437.5</v>
      </c>
      <c r="D874" s="47">
        <v>44882</v>
      </c>
      <c r="E874" s="32" t="s">
        <v>11</v>
      </c>
      <c r="F874" s="32" t="s">
        <v>28</v>
      </c>
      <c r="H874" s="32"/>
      <c r="I874" s="17"/>
      <c r="J874" s="21" t="s">
        <v>30</v>
      </c>
    </row>
    <row r="875" spans="1:26" ht="12.75">
      <c r="A875" s="16" t="s">
        <v>1762</v>
      </c>
      <c r="B875" s="17">
        <v>42500</v>
      </c>
      <c r="C875" s="17">
        <f t="shared" si="46"/>
        <v>1168.75</v>
      </c>
      <c r="D875" s="47">
        <v>44882</v>
      </c>
      <c r="E875" s="32" t="s">
        <v>11</v>
      </c>
      <c r="F875" s="32" t="s">
        <v>1448</v>
      </c>
      <c r="H875" s="32"/>
      <c r="I875" s="17"/>
      <c r="J875" s="32"/>
    </row>
    <row r="876" spans="1:26" ht="12.75">
      <c r="A876" s="16" t="s">
        <v>2085</v>
      </c>
      <c r="B876" s="17">
        <v>150000</v>
      </c>
      <c r="C876" s="17">
        <f t="shared" si="46"/>
        <v>4125</v>
      </c>
      <c r="D876" s="47">
        <v>44882</v>
      </c>
      <c r="E876" s="32" t="s">
        <v>11</v>
      </c>
      <c r="F876" s="32" t="s">
        <v>28</v>
      </c>
      <c r="H876" s="32"/>
      <c r="I876" s="17"/>
      <c r="J876" s="21" t="s">
        <v>30</v>
      </c>
    </row>
    <row r="877" spans="1:26" ht="12.75">
      <c r="A877" s="16" t="s">
        <v>2086</v>
      </c>
      <c r="B877" s="17">
        <v>250000</v>
      </c>
      <c r="C877" s="17">
        <f t="shared" si="46"/>
        <v>6875</v>
      </c>
      <c r="D877" s="47">
        <v>44883</v>
      </c>
      <c r="E877" s="32" t="s">
        <v>4023</v>
      </c>
      <c r="F877" s="32" t="s">
        <v>28</v>
      </c>
      <c r="H877" s="32"/>
      <c r="I877" s="17"/>
      <c r="J877" s="21" t="s">
        <v>30</v>
      </c>
    </row>
    <row r="878" spans="1:26" ht="12.75">
      <c r="A878" s="16" t="s">
        <v>4718</v>
      </c>
      <c r="B878" s="17">
        <v>2000000</v>
      </c>
      <c r="C878" s="17">
        <f t="shared" si="46"/>
        <v>55000</v>
      </c>
      <c r="D878" s="47">
        <v>44883</v>
      </c>
      <c r="E878" s="32" t="s">
        <v>2405</v>
      </c>
      <c r="F878" s="32" t="s">
        <v>1448</v>
      </c>
      <c r="H878" s="32"/>
      <c r="I878" s="17" t="s">
        <v>4719</v>
      </c>
      <c r="J878" s="32"/>
    </row>
    <row r="879" spans="1:26" ht="12.75">
      <c r="A879" s="16" t="s">
        <v>2087</v>
      </c>
      <c r="B879" s="17">
        <v>383000</v>
      </c>
      <c r="C879" s="17">
        <f t="shared" si="46"/>
        <v>10532.5</v>
      </c>
      <c r="D879" s="47">
        <v>44883</v>
      </c>
      <c r="E879" s="32" t="s">
        <v>11</v>
      </c>
      <c r="F879" s="32" t="s">
        <v>1448</v>
      </c>
      <c r="H879" s="32"/>
      <c r="I879" s="17"/>
      <c r="J879" s="32"/>
    </row>
    <row r="880" spans="1:26" ht="12.75">
      <c r="A880" s="23"/>
      <c r="B880" s="39"/>
      <c r="C880" s="39"/>
      <c r="D880" s="75"/>
      <c r="E880" s="75"/>
      <c r="F880" s="75"/>
      <c r="G880" s="23"/>
      <c r="H880" s="75"/>
      <c r="I880" s="39"/>
      <c r="J880" s="75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>
      <c r="A881" s="76" t="s">
        <v>4720</v>
      </c>
      <c r="B881" s="77"/>
      <c r="C881" s="77"/>
      <c r="D881" s="78"/>
      <c r="E881" s="78"/>
      <c r="F881" s="78"/>
      <c r="G881" s="79"/>
      <c r="H881" s="78"/>
      <c r="I881" s="77"/>
      <c r="J881" s="78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</row>
    <row r="882" spans="1:26" ht="12.75">
      <c r="A882" s="43" t="s">
        <v>4567</v>
      </c>
      <c r="B882" s="58" t="s">
        <v>1</v>
      </c>
      <c r="C882" s="58" t="s">
        <v>4721</v>
      </c>
      <c r="D882" s="43" t="s">
        <v>3</v>
      </c>
      <c r="E882" s="43" t="s">
        <v>4</v>
      </c>
      <c r="F882" s="43" t="s">
        <v>5</v>
      </c>
      <c r="G882" s="43" t="s">
        <v>4569</v>
      </c>
      <c r="H882" s="65" t="s">
        <v>4570</v>
      </c>
      <c r="I882" s="17"/>
      <c r="J882" s="32"/>
    </row>
    <row r="883" spans="1:26" ht="12.75">
      <c r="A883" s="80"/>
      <c r="B883" s="81">
        <f t="shared" ref="B883:C883" si="47">SUM(B885:B906)</f>
        <v>5933500</v>
      </c>
      <c r="C883" s="81">
        <f t="shared" si="47"/>
        <v>94473.75</v>
      </c>
      <c r="D883" s="80"/>
      <c r="E883" s="80"/>
      <c r="F883" s="80"/>
      <c r="G883" s="80"/>
      <c r="H883" s="80"/>
      <c r="I883" s="82"/>
      <c r="J883" s="83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</row>
    <row r="884" spans="1:26" ht="12.75">
      <c r="B884" s="17"/>
      <c r="C884" s="17"/>
      <c r="D884" s="32"/>
      <c r="E884" s="32"/>
      <c r="F884" s="32"/>
      <c r="H884" s="32"/>
      <c r="I884" s="17"/>
      <c r="J884" s="32"/>
    </row>
    <row r="885" spans="1:26" ht="12.75">
      <c r="A885" s="16" t="s">
        <v>4722</v>
      </c>
      <c r="B885" s="17">
        <v>100000</v>
      </c>
      <c r="C885" s="17">
        <f>0.0175*B885</f>
        <v>1750.0000000000002</v>
      </c>
      <c r="D885" s="47">
        <v>44886</v>
      </c>
      <c r="E885" s="32" t="s">
        <v>11</v>
      </c>
      <c r="F885" s="32" t="s">
        <v>2631</v>
      </c>
      <c r="H885" s="32"/>
      <c r="I885" s="17"/>
      <c r="J885" s="32"/>
    </row>
    <row r="886" spans="1:26" ht="12.75">
      <c r="A886" s="16" t="s">
        <v>3800</v>
      </c>
      <c r="B886" s="17">
        <v>125000</v>
      </c>
      <c r="C886" s="17">
        <f>SUM(B886*0.0125)</f>
        <v>1562.5</v>
      </c>
      <c r="D886" s="47">
        <v>44886</v>
      </c>
      <c r="E886" s="32" t="s">
        <v>11</v>
      </c>
      <c r="F886" s="32" t="s">
        <v>1448</v>
      </c>
      <c r="H886" s="32"/>
      <c r="I886" s="17"/>
      <c r="J886" s="32"/>
    </row>
    <row r="887" spans="1:26" ht="12.75">
      <c r="A887" s="16" t="s">
        <v>4723</v>
      </c>
      <c r="B887" s="17">
        <v>40000</v>
      </c>
      <c r="C887" s="17">
        <f t="shared" ref="C887:C888" si="48">SUM(B887*0.0175)</f>
        <v>700.00000000000011</v>
      </c>
      <c r="D887" s="47">
        <v>44887</v>
      </c>
      <c r="E887" s="32" t="s">
        <v>11</v>
      </c>
      <c r="F887" s="32" t="s">
        <v>2631</v>
      </c>
      <c r="H887" s="32"/>
      <c r="I887" s="17"/>
      <c r="J887" s="32"/>
    </row>
    <row r="888" spans="1:26" ht="12.75">
      <c r="A888" s="16" t="s">
        <v>4724</v>
      </c>
      <c r="B888" s="17">
        <v>150000</v>
      </c>
      <c r="C888" s="17">
        <f t="shared" si="48"/>
        <v>2625.0000000000005</v>
      </c>
      <c r="D888" s="47">
        <v>44887</v>
      </c>
      <c r="E888" s="32" t="s">
        <v>4573</v>
      </c>
      <c r="F888" s="32" t="s">
        <v>2631</v>
      </c>
      <c r="H888" s="32"/>
      <c r="I888" s="17"/>
      <c r="J888" s="21" t="s">
        <v>30</v>
      </c>
    </row>
    <row r="889" spans="1:26" ht="12.75">
      <c r="A889" s="16" t="s">
        <v>3641</v>
      </c>
      <c r="B889" s="17">
        <v>110000</v>
      </c>
      <c r="C889" s="17">
        <f>SUM(B889*0.0125)</f>
        <v>1375</v>
      </c>
      <c r="D889" s="47">
        <v>44887</v>
      </c>
      <c r="E889" s="32" t="s">
        <v>4573</v>
      </c>
      <c r="F889" s="32" t="s">
        <v>1448</v>
      </c>
      <c r="H889" s="32"/>
      <c r="I889" s="17"/>
      <c r="J889" s="32"/>
    </row>
    <row r="890" spans="1:26" ht="12.75">
      <c r="A890" s="16" t="s">
        <v>4725</v>
      </c>
      <c r="B890" s="17">
        <v>350000</v>
      </c>
      <c r="C890" s="17">
        <f t="shared" ref="C890:C891" si="49">0.0175*B890</f>
        <v>6125.0000000000009</v>
      </c>
      <c r="D890" s="47">
        <v>44887</v>
      </c>
      <c r="E890" s="32" t="s">
        <v>4573</v>
      </c>
      <c r="F890" s="32" t="s">
        <v>2631</v>
      </c>
      <c r="H890" s="32"/>
      <c r="I890" s="17"/>
      <c r="J890" s="21" t="s">
        <v>30</v>
      </c>
    </row>
    <row r="891" spans="1:26" ht="12.75">
      <c r="A891" s="16" t="s">
        <v>4726</v>
      </c>
      <c r="B891" s="17">
        <v>45000</v>
      </c>
      <c r="C891" s="17">
        <f t="shared" si="49"/>
        <v>787.50000000000011</v>
      </c>
      <c r="D891" s="47">
        <v>44887</v>
      </c>
      <c r="E891" s="32" t="s">
        <v>4573</v>
      </c>
      <c r="F891" s="32" t="s">
        <v>2631</v>
      </c>
      <c r="H891" s="32"/>
      <c r="I891" s="17"/>
      <c r="J891" s="21" t="s">
        <v>30</v>
      </c>
    </row>
    <row r="892" spans="1:26" ht="12.75">
      <c r="A892" s="16" t="s">
        <v>4727</v>
      </c>
      <c r="B892" s="17">
        <v>100000</v>
      </c>
      <c r="C892" s="17">
        <f>0.0125*B892</f>
        <v>1250</v>
      </c>
      <c r="D892" s="47">
        <v>44888</v>
      </c>
      <c r="E892" s="32" t="s">
        <v>4573</v>
      </c>
      <c r="F892" s="32" t="s">
        <v>1448</v>
      </c>
      <c r="H892" s="32"/>
      <c r="I892" s="17"/>
      <c r="J892" s="32"/>
    </row>
    <row r="893" spans="1:26" ht="12.75">
      <c r="A893" s="16" t="s">
        <v>4728</v>
      </c>
      <c r="B893" s="17">
        <v>300000</v>
      </c>
      <c r="C893" s="17">
        <f>0.0175*B893</f>
        <v>5250.0000000000009</v>
      </c>
      <c r="D893" s="47">
        <v>44888</v>
      </c>
      <c r="E893" s="32" t="s">
        <v>69</v>
      </c>
      <c r="F893" s="32" t="s">
        <v>2631</v>
      </c>
      <c r="H893" s="32"/>
      <c r="I893" s="17" t="s">
        <v>4705</v>
      </c>
      <c r="J893" s="21" t="s">
        <v>30</v>
      </c>
    </row>
    <row r="894" spans="1:26" ht="12.75">
      <c r="A894" s="16" t="s">
        <v>4729</v>
      </c>
      <c r="B894" s="17">
        <v>75000</v>
      </c>
      <c r="C894" s="17">
        <f>0.0125*B894</f>
        <v>937.5</v>
      </c>
      <c r="D894" s="47">
        <v>44888</v>
      </c>
      <c r="E894" s="32" t="s">
        <v>772</v>
      </c>
      <c r="F894" s="32" t="s">
        <v>1448</v>
      </c>
      <c r="H894" s="32"/>
      <c r="I894" s="17"/>
      <c r="J894" s="32"/>
    </row>
    <row r="895" spans="1:26" ht="12.75">
      <c r="A895" s="16" t="s">
        <v>3964</v>
      </c>
      <c r="B895" s="17">
        <v>72500</v>
      </c>
      <c r="C895" s="17">
        <f>SUM(B895*0.0125)</f>
        <v>906.25</v>
      </c>
      <c r="D895" s="47">
        <v>44888</v>
      </c>
      <c r="E895" s="32" t="s">
        <v>4573</v>
      </c>
      <c r="F895" s="32" t="s">
        <v>1448</v>
      </c>
      <c r="H895" s="32"/>
      <c r="I895" s="17"/>
      <c r="J895" s="32"/>
    </row>
    <row r="896" spans="1:26" ht="12.75">
      <c r="A896" s="16" t="s">
        <v>4730</v>
      </c>
      <c r="B896" s="17">
        <v>250000</v>
      </c>
      <c r="C896" s="17">
        <f t="shared" ref="C896:C897" si="50">0.0175*B896</f>
        <v>4375</v>
      </c>
      <c r="D896" s="47">
        <v>44888</v>
      </c>
      <c r="E896" s="32" t="s">
        <v>4573</v>
      </c>
      <c r="F896" s="32" t="s">
        <v>2631</v>
      </c>
      <c r="H896" s="32"/>
      <c r="I896" s="17"/>
      <c r="J896" s="32"/>
    </row>
    <row r="897" spans="1:26" ht="12.75">
      <c r="A897" s="16" t="s">
        <v>4731</v>
      </c>
      <c r="B897" s="17">
        <v>500000</v>
      </c>
      <c r="C897" s="17">
        <f t="shared" si="50"/>
        <v>8750</v>
      </c>
      <c r="D897" s="47">
        <v>44888</v>
      </c>
      <c r="E897" s="32" t="s">
        <v>92</v>
      </c>
      <c r="F897" s="32" t="s">
        <v>2631</v>
      </c>
      <c r="H897" s="32"/>
      <c r="I897" s="17"/>
      <c r="J897" s="21" t="s">
        <v>30</v>
      </c>
    </row>
    <row r="898" spans="1:26" ht="12.75">
      <c r="A898" s="16" t="s">
        <v>4732</v>
      </c>
      <c r="B898" s="17">
        <v>625000</v>
      </c>
      <c r="C898" s="17">
        <f t="shared" ref="C898:C899" si="51">0.0125*B898</f>
        <v>7812.5</v>
      </c>
      <c r="D898" s="47">
        <v>44893</v>
      </c>
      <c r="E898" s="32" t="s">
        <v>3566</v>
      </c>
      <c r="F898" s="32" t="s">
        <v>1448</v>
      </c>
      <c r="H898" s="32"/>
      <c r="I898" s="17"/>
      <c r="J898" s="32"/>
    </row>
    <row r="899" spans="1:26" ht="12.75">
      <c r="A899" s="16" t="s">
        <v>1010</v>
      </c>
      <c r="B899" s="17">
        <v>660000</v>
      </c>
      <c r="C899" s="17">
        <f t="shared" si="51"/>
        <v>8250</v>
      </c>
      <c r="D899" s="47">
        <v>44893</v>
      </c>
      <c r="E899" s="32" t="s">
        <v>4573</v>
      </c>
      <c r="F899" s="32" t="s">
        <v>1448</v>
      </c>
      <c r="H899" s="32"/>
      <c r="I899" s="17"/>
      <c r="J899" s="32"/>
    </row>
    <row r="900" spans="1:26" ht="12.75">
      <c r="A900" s="16" t="s">
        <v>4733</v>
      </c>
      <c r="B900" s="17">
        <v>50000</v>
      </c>
      <c r="C900" s="17">
        <f>SUM(B900*0.0175)</f>
        <v>875.00000000000011</v>
      </c>
      <c r="D900" s="47">
        <v>44893</v>
      </c>
      <c r="E900" s="32" t="s">
        <v>4573</v>
      </c>
      <c r="F900" s="32" t="s">
        <v>2631</v>
      </c>
      <c r="H900" s="32"/>
      <c r="I900" s="17" t="s">
        <v>4734</v>
      </c>
      <c r="J900" s="21" t="s">
        <v>30</v>
      </c>
    </row>
    <row r="901" spans="1:26" ht="12.75">
      <c r="A901" s="16" t="s">
        <v>3992</v>
      </c>
      <c r="B901" s="17">
        <v>2000000</v>
      </c>
      <c r="C901" s="17">
        <f t="shared" ref="C901:C902" si="52">0.0175*B901</f>
        <v>35000</v>
      </c>
      <c r="D901" s="47">
        <v>44895</v>
      </c>
      <c r="E901" s="32" t="s">
        <v>4023</v>
      </c>
      <c r="F901" s="32" t="s">
        <v>2631</v>
      </c>
      <c r="H901" s="32"/>
      <c r="I901" s="17"/>
      <c r="J901" s="32"/>
    </row>
    <row r="902" spans="1:26" ht="12.75">
      <c r="A902" s="16" t="s">
        <v>4735</v>
      </c>
      <c r="B902" s="17">
        <v>25000</v>
      </c>
      <c r="C902" s="17">
        <f t="shared" si="52"/>
        <v>437.50000000000006</v>
      </c>
      <c r="D902" s="47">
        <v>44895</v>
      </c>
      <c r="E902" s="32" t="s">
        <v>4573</v>
      </c>
      <c r="F902" s="32" t="s">
        <v>2631</v>
      </c>
      <c r="H902" s="32"/>
      <c r="I902" s="17"/>
      <c r="J902" s="32"/>
    </row>
    <row r="903" spans="1:26" ht="12.75">
      <c r="A903" s="23" t="s">
        <v>4736</v>
      </c>
      <c r="B903" s="39">
        <v>40000</v>
      </c>
      <c r="C903" s="39">
        <f t="shared" ref="C903:C904" si="53">0.0125*B903</f>
        <v>500</v>
      </c>
      <c r="D903" s="84">
        <v>44895</v>
      </c>
      <c r="E903" s="75" t="s">
        <v>4573</v>
      </c>
      <c r="F903" s="75" t="s">
        <v>1448</v>
      </c>
      <c r="G903" s="23"/>
      <c r="H903" s="23"/>
      <c r="I903" s="39"/>
      <c r="J903" s="75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2.75">
      <c r="A904" s="23" t="s">
        <v>2912</v>
      </c>
      <c r="B904" s="39">
        <v>65000</v>
      </c>
      <c r="C904" s="39">
        <f t="shared" si="53"/>
        <v>812.5</v>
      </c>
      <c r="D904" s="84">
        <v>44895</v>
      </c>
      <c r="E904" s="75" t="s">
        <v>4573</v>
      </c>
      <c r="F904" s="75" t="s">
        <v>1448</v>
      </c>
      <c r="G904" s="23"/>
      <c r="H904" s="23"/>
      <c r="I904" s="39"/>
      <c r="J904" s="75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2.75">
      <c r="A905" s="23" t="s">
        <v>4737</v>
      </c>
      <c r="B905" s="39">
        <v>20000</v>
      </c>
      <c r="C905" s="39">
        <f t="shared" ref="C905:C906" si="54">0.0175*B905</f>
        <v>350.00000000000006</v>
      </c>
      <c r="D905" s="84">
        <v>44895</v>
      </c>
      <c r="E905" s="75" t="s">
        <v>4573</v>
      </c>
      <c r="F905" s="75" t="s">
        <v>2631</v>
      </c>
      <c r="G905" s="23"/>
      <c r="H905" s="23"/>
      <c r="I905" s="39"/>
      <c r="J905" s="75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2.75">
      <c r="A906" s="57" t="s">
        <v>4738</v>
      </c>
      <c r="B906" s="39">
        <v>231000</v>
      </c>
      <c r="C906" s="39">
        <f t="shared" si="54"/>
        <v>4042.5000000000005</v>
      </c>
      <c r="D906" s="84">
        <v>44895</v>
      </c>
      <c r="E906" s="75" t="s">
        <v>4573</v>
      </c>
      <c r="F906" s="75" t="s">
        <v>2631</v>
      </c>
      <c r="G906" s="23"/>
      <c r="H906" s="23"/>
      <c r="I906" s="39"/>
      <c r="J906" s="75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2.75">
      <c r="A907" s="70"/>
      <c r="B907" s="61"/>
      <c r="C907" s="61"/>
      <c r="D907" s="23"/>
      <c r="E907" s="23"/>
      <c r="F907" s="23"/>
      <c r="G907" s="23"/>
      <c r="H907" s="23"/>
      <c r="I907" s="39"/>
      <c r="J907" s="75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2.75">
      <c r="A908" s="85">
        <v>44896</v>
      </c>
      <c r="B908" s="81">
        <f>SUM(B909:B1016)</f>
        <v>25801065</v>
      </c>
      <c r="C908" s="81">
        <f>SUM(C909:C1015)</f>
        <v>303388.3125</v>
      </c>
      <c r="D908" s="80"/>
      <c r="E908" s="80"/>
      <c r="F908" s="80"/>
      <c r="G908" s="80"/>
      <c r="H908" s="80"/>
      <c r="I908" s="82"/>
      <c r="J908" s="83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</row>
    <row r="909" spans="1:26" ht="12.75">
      <c r="A909" s="16" t="s">
        <v>4739</v>
      </c>
      <c r="B909" s="17">
        <v>85000</v>
      </c>
      <c r="C909" s="17">
        <f>0.0175*B909</f>
        <v>1487.5000000000002</v>
      </c>
      <c r="D909" s="47">
        <v>44896</v>
      </c>
      <c r="E909" s="32" t="s">
        <v>4023</v>
      </c>
      <c r="F909" s="32" t="s">
        <v>28</v>
      </c>
      <c r="H909" s="32"/>
      <c r="I909" s="17"/>
      <c r="J909" s="21" t="s">
        <v>30</v>
      </c>
    </row>
    <row r="910" spans="1:26" ht="12.75">
      <c r="A910" s="16" t="s">
        <v>4740</v>
      </c>
      <c r="B910" s="17">
        <v>50000</v>
      </c>
      <c r="C910" s="17">
        <f t="shared" ref="C910:C913" si="55">0.0125*B910</f>
        <v>625</v>
      </c>
      <c r="D910" s="47">
        <v>44896</v>
      </c>
      <c r="E910" s="32" t="s">
        <v>4023</v>
      </c>
      <c r="F910" s="32" t="s">
        <v>1448</v>
      </c>
      <c r="H910" s="32"/>
      <c r="I910" s="17"/>
      <c r="J910" s="32"/>
    </row>
    <row r="911" spans="1:26" ht="12.75">
      <c r="A911" s="16" t="s">
        <v>4741</v>
      </c>
      <c r="B911" s="17">
        <v>80000</v>
      </c>
      <c r="C911" s="17">
        <f t="shared" si="55"/>
        <v>1000</v>
      </c>
      <c r="D911" s="47">
        <v>44896</v>
      </c>
      <c r="E911" s="32" t="s">
        <v>4023</v>
      </c>
      <c r="F911" s="32" t="s">
        <v>1448</v>
      </c>
      <c r="H911" s="32"/>
      <c r="I911" s="17"/>
      <c r="J911" s="32"/>
    </row>
    <row r="912" spans="1:26" ht="12.75">
      <c r="A912" s="16" t="s">
        <v>3829</v>
      </c>
      <c r="B912" s="17">
        <v>605000</v>
      </c>
      <c r="C912" s="17">
        <f t="shared" si="55"/>
        <v>7562.5</v>
      </c>
      <c r="D912" s="47">
        <v>44896</v>
      </c>
      <c r="E912" s="75" t="s">
        <v>4573</v>
      </c>
      <c r="F912" s="32" t="s">
        <v>1448</v>
      </c>
      <c r="H912" s="32"/>
      <c r="I912" s="17"/>
      <c r="J912" s="32"/>
    </row>
    <row r="913" spans="1:10" ht="12.75">
      <c r="A913" s="16" t="s">
        <v>3602</v>
      </c>
      <c r="B913" s="17">
        <v>25000</v>
      </c>
      <c r="C913" s="17">
        <f t="shared" si="55"/>
        <v>312.5</v>
      </c>
      <c r="D913" s="47">
        <v>44900</v>
      </c>
      <c r="E913" s="32" t="s">
        <v>73</v>
      </c>
      <c r="F913" s="32" t="s">
        <v>1448</v>
      </c>
      <c r="H913" s="32"/>
      <c r="I913" s="17"/>
      <c r="J913" s="32"/>
    </row>
    <row r="914" spans="1:10" ht="12.75">
      <c r="A914" s="16" t="s">
        <v>4742</v>
      </c>
      <c r="B914" s="17">
        <v>250000</v>
      </c>
      <c r="C914" s="17">
        <f>0.0175*B914</f>
        <v>4375</v>
      </c>
      <c r="D914" s="47">
        <v>44901</v>
      </c>
      <c r="E914" s="32" t="s">
        <v>2184</v>
      </c>
      <c r="F914" s="32" t="s">
        <v>28</v>
      </c>
      <c r="H914" s="32"/>
      <c r="I914" s="17" t="s">
        <v>4705</v>
      </c>
      <c r="J914" s="21" t="s">
        <v>30</v>
      </c>
    </row>
    <row r="915" spans="1:10" ht="12.75">
      <c r="A915" s="16" t="s">
        <v>4743</v>
      </c>
      <c r="B915" s="17">
        <v>125000</v>
      </c>
      <c r="C915" s="17">
        <f>0.0125*B915</f>
        <v>1562.5</v>
      </c>
      <c r="D915" s="47">
        <v>44901</v>
      </c>
      <c r="E915" s="32" t="s">
        <v>92</v>
      </c>
      <c r="F915" s="32" t="s">
        <v>1448</v>
      </c>
      <c r="H915" s="32"/>
      <c r="I915" s="17"/>
      <c r="J915" s="32"/>
    </row>
    <row r="916" spans="1:10" ht="12.75">
      <c r="A916" s="16" t="s">
        <v>4744</v>
      </c>
      <c r="B916" s="17">
        <v>80000</v>
      </c>
      <c r="C916" s="17">
        <f>0.0175*B916</f>
        <v>1400.0000000000002</v>
      </c>
      <c r="D916" s="47">
        <v>44901</v>
      </c>
      <c r="E916" s="75" t="s">
        <v>4573</v>
      </c>
      <c r="F916" s="32" t="s">
        <v>28</v>
      </c>
      <c r="H916" s="32"/>
      <c r="I916" s="17"/>
      <c r="J916" s="21" t="s">
        <v>30</v>
      </c>
    </row>
    <row r="917" spans="1:10" ht="12.75">
      <c r="A917" s="16" t="s">
        <v>4745</v>
      </c>
      <c r="B917" s="17">
        <v>5000000</v>
      </c>
      <c r="C917" s="17">
        <v>0</v>
      </c>
      <c r="D917" s="47">
        <v>44902</v>
      </c>
      <c r="E917" s="32" t="s">
        <v>73</v>
      </c>
      <c r="F917" s="32" t="s">
        <v>28</v>
      </c>
      <c r="H917" s="32"/>
      <c r="I917" s="17" t="s">
        <v>4746</v>
      </c>
      <c r="J917" s="32"/>
    </row>
    <row r="918" spans="1:10" ht="12.75">
      <c r="A918" s="16" t="s">
        <v>4408</v>
      </c>
      <c r="B918" s="17">
        <v>25000</v>
      </c>
      <c r="C918" s="17">
        <f t="shared" ref="C918:C922" si="56">0.0125*B918</f>
        <v>312.5</v>
      </c>
      <c r="D918" s="47">
        <v>44902</v>
      </c>
      <c r="E918" s="32" t="s">
        <v>73</v>
      </c>
      <c r="F918" s="32" t="s">
        <v>1448</v>
      </c>
      <c r="H918" s="32"/>
      <c r="I918" s="17"/>
      <c r="J918" s="32"/>
    </row>
    <row r="919" spans="1:10" ht="12.75">
      <c r="A919" s="16" t="s">
        <v>4747</v>
      </c>
      <c r="B919" s="17">
        <v>300000</v>
      </c>
      <c r="C919" s="17">
        <f t="shared" si="56"/>
        <v>3750</v>
      </c>
      <c r="D919" s="47">
        <v>44902</v>
      </c>
      <c r="E919" s="75" t="s">
        <v>4573</v>
      </c>
      <c r="F919" s="32" t="s">
        <v>1448</v>
      </c>
      <c r="H919" s="32"/>
      <c r="I919" s="17"/>
      <c r="J919" s="32"/>
    </row>
    <row r="920" spans="1:10" ht="12.75">
      <c r="A920" s="16" t="s">
        <v>3724</v>
      </c>
      <c r="B920" s="17">
        <v>250000</v>
      </c>
      <c r="C920" s="17">
        <f t="shared" si="56"/>
        <v>3125</v>
      </c>
      <c r="D920" s="47">
        <v>44902</v>
      </c>
      <c r="E920" s="75" t="s">
        <v>4573</v>
      </c>
      <c r="F920" s="32" t="s">
        <v>1448</v>
      </c>
      <c r="H920" s="32"/>
      <c r="I920" s="17"/>
      <c r="J920" s="32"/>
    </row>
    <row r="921" spans="1:10" ht="12.75">
      <c r="A921" s="16" t="s">
        <v>4748</v>
      </c>
      <c r="B921" s="17">
        <v>575000</v>
      </c>
      <c r="C921" s="17">
        <f t="shared" si="56"/>
        <v>7187.5</v>
      </c>
      <c r="D921" s="47">
        <v>44902</v>
      </c>
      <c r="E921" s="32" t="s">
        <v>2405</v>
      </c>
      <c r="F921" s="32" t="s">
        <v>1448</v>
      </c>
      <c r="H921" s="32"/>
      <c r="I921" s="17"/>
      <c r="J921" s="32"/>
    </row>
    <row r="922" spans="1:10" ht="12.75">
      <c r="A922" s="16" t="s">
        <v>134</v>
      </c>
      <c r="B922" s="17">
        <v>100000</v>
      </c>
      <c r="C922" s="17">
        <f t="shared" si="56"/>
        <v>1250</v>
      </c>
      <c r="D922" s="47">
        <v>44903</v>
      </c>
      <c r="E922" s="32" t="s">
        <v>135</v>
      </c>
      <c r="F922" s="32" t="s">
        <v>1448</v>
      </c>
      <c r="H922" s="32"/>
      <c r="I922" s="17" t="s">
        <v>4705</v>
      </c>
      <c r="J922" s="32"/>
    </row>
    <row r="923" spans="1:10" ht="12.75">
      <c r="A923" s="16" t="s">
        <v>4749</v>
      </c>
      <c r="B923" s="17">
        <v>20000</v>
      </c>
      <c r="C923" s="17">
        <f t="shared" ref="C923:C928" si="57">0.0175*B923</f>
        <v>350.00000000000006</v>
      </c>
      <c r="D923" s="47">
        <v>44903</v>
      </c>
      <c r="E923" s="75" t="s">
        <v>4573</v>
      </c>
      <c r="F923" s="32" t="s">
        <v>28</v>
      </c>
      <c r="H923" s="32"/>
      <c r="I923" s="17"/>
      <c r="J923" s="32"/>
    </row>
    <row r="924" spans="1:10" ht="12.75">
      <c r="A924" s="16" t="s">
        <v>4750</v>
      </c>
      <c r="B924" s="17">
        <v>15000</v>
      </c>
      <c r="C924" s="17">
        <f t="shared" si="57"/>
        <v>262.5</v>
      </c>
      <c r="D924" s="47">
        <v>44903</v>
      </c>
      <c r="E924" s="75" t="s">
        <v>4573</v>
      </c>
      <c r="F924" s="32" t="s">
        <v>28</v>
      </c>
      <c r="H924" s="32"/>
      <c r="I924" s="17"/>
      <c r="J924" s="32"/>
    </row>
    <row r="925" spans="1:10" ht="12.75">
      <c r="A925" s="16" t="s">
        <v>4751</v>
      </c>
      <c r="B925" s="17">
        <v>150000</v>
      </c>
      <c r="C925" s="17">
        <f t="shared" si="57"/>
        <v>2625.0000000000005</v>
      </c>
      <c r="D925" s="47">
        <v>44903</v>
      </c>
      <c r="E925" s="75" t="s">
        <v>4573</v>
      </c>
      <c r="F925" s="32" t="s">
        <v>28</v>
      </c>
      <c r="H925" s="32"/>
      <c r="I925" s="17"/>
      <c r="J925" s="32"/>
    </row>
    <row r="926" spans="1:10" ht="12.75">
      <c r="A926" s="16" t="s">
        <v>4752</v>
      </c>
      <c r="B926" s="17">
        <v>15000</v>
      </c>
      <c r="C926" s="17">
        <f t="shared" si="57"/>
        <v>262.5</v>
      </c>
      <c r="D926" s="47">
        <v>44903</v>
      </c>
      <c r="E926" s="75" t="s">
        <v>4573</v>
      </c>
      <c r="F926" s="32" t="s">
        <v>28</v>
      </c>
      <c r="H926" s="32"/>
      <c r="I926" s="17"/>
      <c r="J926" s="32"/>
    </row>
    <row r="927" spans="1:10" ht="12.75">
      <c r="A927" s="16" t="s">
        <v>4753</v>
      </c>
      <c r="B927" s="17">
        <v>20000</v>
      </c>
      <c r="C927" s="17">
        <f t="shared" si="57"/>
        <v>350.00000000000006</v>
      </c>
      <c r="D927" s="47">
        <v>44903</v>
      </c>
      <c r="E927" s="75" t="s">
        <v>4573</v>
      </c>
      <c r="F927" s="32" t="s">
        <v>28</v>
      </c>
      <c r="H927" s="32"/>
      <c r="I927" s="17"/>
      <c r="J927" s="32"/>
    </row>
    <row r="928" spans="1:10" ht="12.75">
      <c r="A928" s="16" t="s">
        <v>4754</v>
      </c>
      <c r="B928" s="17">
        <v>30000</v>
      </c>
      <c r="C928" s="17">
        <f t="shared" si="57"/>
        <v>525</v>
      </c>
      <c r="D928" s="47">
        <v>44903</v>
      </c>
      <c r="E928" s="75" t="s">
        <v>4573</v>
      </c>
      <c r="F928" s="32" t="s">
        <v>28</v>
      </c>
      <c r="H928" s="32"/>
      <c r="I928" s="17"/>
      <c r="J928" s="32"/>
    </row>
    <row r="929" spans="1:10" ht="12.75">
      <c r="A929" s="16" t="s">
        <v>3766</v>
      </c>
      <c r="B929" s="17">
        <v>16500</v>
      </c>
      <c r="C929" s="17">
        <f t="shared" ref="C929:C931" si="58">0.0125*B929</f>
        <v>206.25</v>
      </c>
      <c r="D929" s="47">
        <v>44903</v>
      </c>
      <c r="E929" s="75" t="s">
        <v>4573</v>
      </c>
      <c r="F929" s="32" t="s">
        <v>1448</v>
      </c>
      <c r="H929" s="32"/>
      <c r="I929" s="17"/>
      <c r="J929" s="32"/>
    </row>
    <row r="930" spans="1:10" ht="12.75">
      <c r="A930" s="16" t="s">
        <v>4755</v>
      </c>
      <c r="B930" s="17">
        <v>25000</v>
      </c>
      <c r="C930" s="17">
        <f t="shared" si="58"/>
        <v>312.5</v>
      </c>
      <c r="D930" s="47">
        <v>44903</v>
      </c>
      <c r="E930" s="75" t="s">
        <v>4573</v>
      </c>
      <c r="F930" s="32" t="s">
        <v>1448</v>
      </c>
      <c r="H930" s="32"/>
      <c r="I930" s="17"/>
      <c r="J930" s="32"/>
    </row>
    <row r="931" spans="1:10" ht="12.75">
      <c r="A931" s="16" t="s">
        <v>4756</v>
      </c>
      <c r="B931" s="17">
        <v>10000</v>
      </c>
      <c r="C931" s="17">
        <f t="shared" si="58"/>
        <v>125</v>
      </c>
      <c r="D931" s="47">
        <v>44903</v>
      </c>
      <c r="E931" s="75" t="s">
        <v>4573</v>
      </c>
      <c r="F931" s="32" t="s">
        <v>1448</v>
      </c>
      <c r="H931" s="32"/>
      <c r="I931" s="17"/>
      <c r="J931" s="32"/>
    </row>
    <row r="932" spans="1:10" ht="12.75">
      <c r="A932" s="16" t="s">
        <v>4757</v>
      </c>
      <c r="B932" s="17">
        <v>150000</v>
      </c>
      <c r="C932" s="17">
        <f>0.0175*B932</f>
        <v>2625.0000000000005</v>
      </c>
      <c r="D932" s="47">
        <v>44904</v>
      </c>
      <c r="E932" s="32" t="s">
        <v>4023</v>
      </c>
      <c r="F932" s="32" t="s">
        <v>28</v>
      </c>
      <c r="H932" s="32"/>
      <c r="I932" s="17"/>
      <c r="J932" s="21" t="s">
        <v>30</v>
      </c>
    </row>
    <row r="933" spans="1:10" ht="12.75">
      <c r="A933" s="16" t="s">
        <v>4758</v>
      </c>
      <c r="B933" s="17">
        <v>250000</v>
      </c>
      <c r="C933" s="17">
        <f>0.0125*B933</f>
        <v>3125</v>
      </c>
      <c r="D933" s="47">
        <v>44904</v>
      </c>
      <c r="E933" s="75" t="s">
        <v>4573</v>
      </c>
      <c r="F933" s="32" t="s">
        <v>1448</v>
      </c>
      <c r="H933" s="32"/>
      <c r="I933" s="17"/>
      <c r="J933" s="32"/>
    </row>
    <row r="934" spans="1:10" ht="12.75">
      <c r="A934" s="16" t="s">
        <v>4759</v>
      </c>
      <c r="B934" s="17">
        <v>150000</v>
      </c>
      <c r="C934" s="17">
        <f t="shared" ref="C934:C935" si="59">0.0175*B934</f>
        <v>2625.0000000000005</v>
      </c>
      <c r="D934" s="47">
        <v>44907</v>
      </c>
      <c r="E934" s="32" t="s">
        <v>4023</v>
      </c>
      <c r="F934" s="32" t="s">
        <v>28</v>
      </c>
      <c r="H934" s="32"/>
      <c r="I934" s="17"/>
      <c r="J934" s="21" t="s">
        <v>30</v>
      </c>
    </row>
    <row r="935" spans="1:10" ht="12.75">
      <c r="A935" s="16" t="s">
        <v>4760</v>
      </c>
      <c r="B935" s="17">
        <v>150000</v>
      </c>
      <c r="C935" s="17">
        <f t="shared" si="59"/>
        <v>2625.0000000000005</v>
      </c>
      <c r="D935" s="47">
        <v>44907</v>
      </c>
      <c r="E935" s="32" t="s">
        <v>92</v>
      </c>
      <c r="F935" s="32" t="s">
        <v>28</v>
      </c>
      <c r="H935" s="32"/>
      <c r="I935" s="17"/>
      <c r="J935" s="21" t="s">
        <v>30</v>
      </c>
    </row>
    <row r="936" spans="1:10" ht="12.75">
      <c r="A936" s="16" t="s">
        <v>4761</v>
      </c>
      <c r="B936" s="17">
        <v>410000</v>
      </c>
      <c r="C936" s="17">
        <f t="shared" ref="C936:C937" si="60">0.0125*B936</f>
        <v>5125</v>
      </c>
      <c r="D936" s="47">
        <v>44907</v>
      </c>
      <c r="E936" s="32" t="s">
        <v>4023</v>
      </c>
      <c r="F936" s="32" t="s">
        <v>1448</v>
      </c>
      <c r="H936" s="32"/>
      <c r="I936" s="17"/>
      <c r="J936" s="32"/>
    </row>
    <row r="937" spans="1:10" ht="12.75">
      <c r="A937" s="16" t="s">
        <v>4762</v>
      </c>
      <c r="B937" s="17">
        <v>250000</v>
      </c>
      <c r="C937" s="17">
        <f t="shared" si="60"/>
        <v>3125</v>
      </c>
      <c r="D937" s="47">
        <v>44907</v>
      </c>
      <c r="E937" s="75" t="s">
        <v>4573</v>
      </c>
      <c r="F937" s="32" t="s">
        <v>1448</v>
      </c>
      <c r="H937" s="32"/>
      <c r="I937" s="17"/>
      <c r="J937" s="32"/>
    </row>
    <row r="938" spans="1:10" ht="12.75">
      <c r="A938" s="16" t="s">
        <v>4763</v>
      </c>
      <c r="B938" s="17">
        <v>80000</v>
      </c>
      <c r="C938" s="17">
        <f t="shared" ref="C938:C939" si="61">0.0175*B938</f>
        <v>1400.0000000000002</v>
      </c>
      <c r="D938" s="47">
        <v>44907</v>
      </c>
      <c r="E938" s="32" t="s">
        <v>147</v>
      </c>
      <c r="F938" s="32" t="s">
        <v>28</v>
      </c>
      <c r="H938" s="32"/>
      <c r="I938" s="17"/>
      <c r="J938" s="21" t="s">
        <v>30</v>
      </c>
    </row>
    <row r="939" spans="1:10" ht="12.75">
      <c r="A939" s="16" t="s">
        <v>4764</v>
      </c>
      <c r="B939" s="17">
        <v>1250000</v>
      </c>
      <c r="C939" s="17">
        <f t="shared" si="61"/>
        <v>21875.000000000004</v>
      </c>
      <c r="D939" s="47">
        <v>44907</v>
      </c>
      <c r="E939" s="32" t="s">
        <v>75</v>
      </c>
      <c r="F939" s="32" t="s">
        <v>28</v>
      </c>
      <c r="H939" s="32"/>
      <c r="I939" s="17"/>
      <c r="J939" s="21" t="s">
        <v>30</v>
      </c>
    </row>
    <row r="940" spans="1:10" ht="12.75">
      <c r="A940" s="16" t="s">
        <v>543</v>
      </c>
      <c r="B940" s="17">
        <v>85000</v>
      </c>
      <c r="C940" s="17">
        <f>0.0125*B940</f>
        <v>1062.5</v>
      </c>
      <c r="D940" s="47">
        <v>44908</v>
      </c>
      <c r="E940" s="32" t="s">
        <v>73</v>
      </c>
      <c r="F940" s="32" t="s">
        <v>1448</v>
      </c>
      <c r="H940" s="32"/>
      <c r="I940" s="17"/>
      <c r="J940" s="32"/>
    </row>
    <row r="941" spans="1:10" ht="12.75">
      <c r="A941" s="16" t="s">
        <v>4765</v>
      </c>
      <c r="B941" s="17">
        <v>250000</v>
      </c>
      <c r="C941" s="17">
        <f t="shared" ref="C941:C942" si="62">0.0175*B941</f>
        <v>4375</v>
      </c>
      <c r="D941" s="47">
        <v>44908</v>
      </c>
      <c r="E941" s="32" t="s">
        <v>3757</v>
      </c>
      <c r="F941" s="32" t="s">
        <v>28</v>
      </c>
      <c r="H941" s="32"/>
      <c r="I941" s="17"/>
      <c r="J941" s="21" t="s">
        <v>30</v>
      </c>
    </row>
    <row r="942" spans="1:10" ht="12.75">
      <c r="A942" s="16" t="s">
        <v>4766</v>
      </c>
      <c r="B942" s="17">
        <v>40000</v>
      </c>
      <c r="C942" s="17">
        <f t="shared" si="62"/>
        <v>700.00000000000011</v>
      </c>
      <c r="D942" s="47">
        <v>44908</v>
      </c>
      <c r="E942" s="32" t="s">
        <v>4767</v>
      </c>
      <c r="F942" s="32" t="s">
        <v>28</v>
      </c>
      <c r="H942" s="32"/>
      <c r="I942" s="17"/>
      <c r="J942" s="21" t="s">
        <v>30</v>
      </c>
    </row>
    <row r="943" spans="1:10" ht="12.75">
      <c r="A943" s="16" t="s">
        <v>4768</v>
      </c>
      <c r="B943" s="17">
        <v>335000</v>
      </c>
      <c r="C943" s="17">
        <f t="shared" ref="C943:C944" si="63">0.0125*B943</f>
        <v>4187.5</v>
      </c>
      <c r="D943" s="47">
        <v>44909</v>
      </c>
      <c r="E943" s="32" t="s">
        <v>75</v>
      </c>
      <c r="F943" s="32" t="s">
        <v>1448</v>
      </c>
      <c r="H943" s="32"/>
      <c r="I943" s="17"/>
      <c r="J943" s="32"/>
    </row>
    <row r="944" spans="1:10" ht="12.75">
      <c r="A944" s="16" t="s">
        <v>3696</v>
      </c>
      <c r="B944" s="17">
        <v>545000</v>
      </c>
      <c r="C944" s="17">
        <f t="shared" si="63"/>
        <v>6812.5</v>
      </c>
      <c r="D944" s="47">
        <v>44909</v>
      </c>
      <c r="E944" s="32" t="s">
        <v>4573</v>
      </c>
      <c r="F944" s="32" t="s">
        <v>1448</v>
      </c>
      <c r="H944" s="32"/>
      <c r="I944" s="17"/>
      <c r="J944" s="32"/>
    </row>
    <row r="945" spans="1:10" ht="12.75">
      <c r="A945" s="16" t="s">
        <v>4769</v>
      </c>
      <c r="B945" s="17">
        <v>400000</v>
      </c>
      <c r="C945" s="17">
        <f t="shared" ref="C945:C946" si="64">0.0175*B945</f>
        <v>7000.0000000000009</v>
      </c>
      <c r="D945" s="47">
        <v>44909</v>
      </c>
      <c r="E945" s="32" t="s">
        <v>4573</v>
      </c>
      <c r="F945" s="32" t="s">
        <v>28</v>
      </c>
      <c r="H945" s="32"/>
      <c r="I945" s="17"/>
      <c r="J945" s="21" t="s">
        <v>30</v>
      </c>
    </row>
    <row r="946" spans="1:10" ht="12.75">
      <c r="A946" s="16" t="s">
        <v>4770</v>
      </c>
      <c r="B946" s="17">
        <v>100000</v>
      </c>
      <c r="C946" s="17">
        <f t="shared" si="64"/>
        <v>1750.0000000000002</v>
      </c>
      <c r="D946" s="47">
        <v>44910</v>
      </c>
      <c r="E946" s="32" t="s">
        <v>147</v>
      </c>
      <c r="F946" s="32" t="s">
        <v>28</v>
      </c>
      <c r="H946" s="32"/>
      <c r="I946" s="17"/>
      <c r="J946" s="21" t="s">
        <v>30</v>
      </c>
    </row>
    <row r="947" spans="1:10" ht="12.75">
      <c r="A947" s="16" t="s">
        <v>4771</v>
      </c>
      <c r="B947" s="17">
        <v>137500</v>
      </c>
      <c r="C947" s="17">
        <f>0.0125*B947</f>
        <v>1718.75</v>
      </c>
      <c r="D947" s="47">
        <v>44910</v>
      </c>
      <c r="E947" s="32" t="s">
        <v>4573</v>
      </c>
      <c r="F947" s="32" t="s">
        <v>1448</v>
      </c>
      <c r="H947" s="32"/>
      <c r="I947" s="17"/>
      <c r="J947" s="32"/>
    </row>
    <row r="948" spans="1:10" ht="12.75">
      <c r="A948" s="16" t="s">
        <v>4772</v>
      </c>
      <c r="B948" s="17">
        <v>30000</v>
      </c>
      <c r="C948" s="17">
        <f>0.0175*B948</f>
        <v>525</v>
      </c>
      <c r="D948" s="47">
        <v>44910</v>
      </c>
      <c r="E948" s="32" t="s">
        <v>4573</v>
      </c>
      <c r="F948" s="32" t="s">
        <v>28</v>
      </c>
      <c r="H948" s="32"/>
      <c r="I948" s="17"/>
      <c r="J948" s="32"/>
    </row>
    <row r="949" spans="1:10" ht="12.75">
      <c r="A949" s="16" t="s">
        <v>4773</v>
      </c>
      <c r="B949" s="17">
        <v>125000</v>
      </c>
      <c r="C949" s="17">
        <f>0.0125*B949</f>
        <v>1562.5</v>
      </c>
      <c r="D949" s="47">
        <v>44910</v>
      </c>
      <c r="E949" s="32" t="s">
        <v>4774</v>
      </c>
      <c r="F949" s="32" t="s">
        <v>1448</v>
      </c>
      <c r="H949" s="32"/>
      <c r="I949" s="17"/>
      <c r="J949" s="32"/>
    </row>
    <row r="950" spans="1:10" ht="12.75">
      <c r="A950" s="16" t="s">
        <v>4775</v>
      </c>
      <c r="B950" s="17">
        <v>30000</v>
      </c>
      <c r="C950" s="17">
        <f t="shared" ref="C950:C953" si="65">0.0175*B950</f>
        <v>525</v>
      </c>
      <c r="D950" s="47">
        <v>44910</v>
      </c>
      <c r="E950" s="32" t="s">
        <v>4573</v>
      </c>
      <c r="F950" s="32" t="s">
        <v>28</v>
      </c>
      <c r="H950" s="32"/>
      <c r="I950" s="17"/>
      <c r="J950" s="32"/>
    </row>
    <row r="951" spans="1:10" ht="12.75">
      <c r="A951" s="16" t="s">
        <v>4776</v>
      </c>
      <c r="B951" s="17">
        <v>15000</v>
      </c>
      <c r="C951" s="17">
        <f t="shared" si="65"/>
        <v>262.5</v>
      </c>
      <c r="D951" s="47">
        <v>44910</v>
      </c>
      <c r="E951" s="32" t="s">
        <v>4573</v>
      </c>
      <c r="F951" s="32" t="s">
        <v>28</v>
      </c>
      <c r="H951" s="32"/>
      <c r="I951" s="17"/>
      <c r="J951" s="32"/>
    </row>
    <row r="952" spans="1:10" ht="12.75">
      <c r="A952" s="16" t="s">
        <v>4777</v>
      </c>
      <c r="B952" s="17">
        <v>20000</v>
      </c>
      <c r="C952" s="17">
        <f t="shared" si="65"/>
        <v>350.00000000000006</v>
      </c>
      <c r="D952" s="47">
        <v>44910</v>
      </c>
      <c r="E952" s="32" t="s">
        <v>92</v>
      </c>
      <c r="F952" s="32" t="s">
        <v>28</v>
      </c>
      <c r="H952" s="32"/>
      <c r="I952" s="17"/>
      <c r="J952" s="32"/>
    </row>
    <row r="953" spans="1:10" ht="12.75">
      <c r="A953" s="16" t="s">
        <v>4778</v>
      </c>
      <c r="B953" s="17">
        <v>40000</v>
      </c>
      <c r="C953" s="17">
        <f t="shared" si="65"/>
        <v>700.00000000000011</v>
      </c>
      <c r="D953" s="47">
        <v>44910</v>
      </c>
      <c r="E953" s="32" t="s">
        <v>4573</v>
      </c>
      <c r="F953" s="32" t="s">
        <v>28</v>
      </c>
      <c r="H953" s="32"/>
      <c r="I953" s="17"/>
      <c r="J953" s="32"/>
    </row>
    <row r="954" spans="1:10" ht="12.75">
      <c r="A954" s="16" t="s">
        <v>4779</v>
      </c>
      <c r="B954" s="17">
        <v>122500</v>
      </c>
      <c r="C954" s="17">
        <f t="shared" ref="C954:C955" si="66">0.0125*B954</f>
        <v>1531.25</v>
      </c>
      <c r="D954" s="47">
        <v>44910</v>
      </c>
      <c r="E954" s="32" t="s">
        <v>4023</v>
      </c>
      <c r="F954" s="32" t="s">
        <v>1448</v>
      </c>
      <c r="H954" s="32"/>
      <c r="I954" s="17"/>
      <c r="J954" s="32"/>
    </row>
    <row r="955" spans="1:10" ht="12.75">
      <c r="A955" s="16" t="s">
        <v>3876</v>
      </c>
      <c r="B955" s="17">
        <v>137500</v>
      </c>
      <c r="C955" s="17">
        <f t="shared" si="66"/>
        <v>1718.75</v>
      </c>
      <c r="D955" s="47">
        <v>44910</v>
      </c>
      <c r="E955" s="32" t="s">
        <v>4573</v>
      </c>
      <c r="F955" s="32" t="s">
        <v>1448</v>
      </c>
      <c r="H955" s="32"/>
      <c r="I955" s="17"/>
      <c r="J955" s="32"/>
    </row>
    <row r="956" spans="1:10" ht="12.75">
      <c r="A956" s="16" t="s">
        <v>4780</v>
      </c>
      <c r="B956" s="17">
        <v>150000</v>
      </c>
      <c r="C956" s="17">
        <f>0.0175*B956</f>
        <v>2625.0000000000005</v>
      </c>
      <c r="D956" s="47">
        <v>44910</v>
      </c>
      <c r="E956" s="32" t="s">
        <v>4023</v>
      </c>
      <c r="F956" s="32" t="s">
        <v>28</v>
      </c>
      <c r="H956" s="32"/>
      <c r="I956" s="17"/>
      <c r="J956" s="21" t="s">
        <v>30</v>
      </c>
    </row>
    <row r="957" spans="1:10" ht="12.75">
      <c r="A957" s="16" t="s">
        <v>2365</v>
      </c>
      <c r="B957" s="17">
        <v>490000</v>
      </c>
      <c r="C957" s="17">
        <f t="shared" ref="C957:C959" si="67">0.0125*B957</f>
        <v>6125</v>
      </c>
      <c r="D957" s="47">
        <v>44910</v>
      </c>
      <c r="E957" s="32" t="s">
        <v>4573</v>
      </c>
      <c r="F957" s="32" t="s">
        <v>1448</v>
      </c>
      <c r="H957" s="32"/>
      <c r="I957" s="17"/>
      <c r="J957" s="32"/>
    </row>
    <row r="958" spans="1:10" ht="12.75">
      <c r="A958" s="16" t="s">
        <v>4781</v>
      </c>
      <c r="B958" s="17">
        <v>1819565</v>
      </c>
      <c r="C958" s="17">
        <f t="shared" si="67"/>
        <v>22744.5625</v>
      </c>
      <c r="D958" s="47">
        <v>44911</v>
      </c>
      <c r="E958" s="32" t="s">
        <v>4573</v>
      </c>
      <c r="F958" s="32" t="s">
        <v>1448</v>
      </c>
      <c r="H958" s="32"/>
      <c r="I958" s="17" t="s">
        <v>4782</v>
      </c>
      <c r="J958" s="32"/>
    </row>
    <row r="959" spans="1:10" ht="12.75">
      <c r="A959" s="16" t="s">
        <v>3674</v>
      </c>
      <c r="B959" s="17">
        <v>300000</v>
      </c>
      <c r="C959" s="17">
        <f t="shared" si="67"/>
        <v>3750</v>
      </c>
      <c r="D959" s="47">
        <v>44911</v>
      </c>
      <c r="E959" s="32" t="s">
        <v>4573</v>
      </c>
      <c r="F959" s="32" t="s">
        <v>1448</v>
      </c>
      <c r="H959" s="32"/>
      <c r="I959" s="17"/>
      <c r="J959" s="32"/>
    </row>
    <row r="960" spans="1:10" ht="12.75">
      <c r="A960" s="16" t="s">
        <v>4783</v>
      </c>
      <c r="B960" s="17">
        <v>225000</v>
      </c>
      <c r="C960" s="17">
        <f t="shared" ref="C960:C962" si="68">0.0175*B960</f>
        <v>3937.5000000000005</v>
      </c>
      <c r="D960" s="47">
        <v>44914</v>
      </c>
      <c r="E960" s="34" t="s">
        <v>69</v>
      </c>
      <c r="F960" s="32" t="s">
        <v>28</v>
      </c>
      <c r="H960" s="32"/>
      <c r="I960" s="17" t="s">
        <v>4705</v>
      </c>
      <c r="J960" s="21" t="s">
        <v>30</v>
      </c>
    </row>
    <row r="961" spans="1:10" ht="12.75">
      <c r="A961" s="16" t="s">
        <v>4784</v>
      </c>
      <c r="B961" s="17">
        <v>150000</v>
      </c>
      <c r="C961" s="17">
        <f t="shared" si="68"/>
        <v>2625.0000000000005</v>
      </c>
      <c r="D961" s="47">
        <v>44914</v>
      </c>
      <c r="E961" s="32" t="s">
        <v>4023</v>
      </c>
      <c r="F961" s="32" t="s">
        <v>28</v>
      </c>
      <c r="H961" s="32"/>
      <c r="I961" s="17"/>
      <c r="J961" s="21" t="s">
        <v>30</v>
      </c>
    </row>
    <row r="962" spans="1:10" ht="12.75">
      <c r="A962" s="16" t="s">
        <v>4785</v>
      </c>
      <c r="B962" s="17">
        <v>75000</v>
      </c>
      <c r="C962" s="17">
        <f t="shared" si="68"/>
        <v>1312.5000000000002</v>
      </c>
      <c r="D962" s="47">
        <v>44914</v>
      </c>
      <c r="E962" s="32" t="s">
        <v>92</v>
      </c>
      <c r="F962" s="32" t="s">
        <v>28</v>
      </c>
      <c r="H962" s="32"/>
      <c r="I962" s="17"/>
      <c r="J962" s="21" t="s">
        <v>30</v>
      </c>
    </row>
    <row r="963" spans="1:10" ht="12.75">
      <c r="A963" s="16" t="s">
        <v>4786</v>
      </c>
      <c r="B963" s="17">
        <v>1700000</v>
      </c>
      <c r="C963" s="17">
        <f t="shared" ref="C963:C970" si="69">0.0125*B963</f>
        <v>21250</v>
      </c>
      <c r="D963" s="47">
        <v>44914</v>
      </c>
      <c r="E963" s="32" t="s">
        <v>3745</v>
      </c>
      <c r="F963" s="32" t="s">
        <v>1448</v>
      </c>
      <c r="H963" s="32"/>
      <c r="I963" s="17"/>
      <c r="J963" s="32"/>
    </row>
    <row r="964" spans="1:10" ht="12.75">
      <c r="A964" s="16" t="s">
        <v>4787</v>
      </c>
      <c r="B964" s="17">
        <v>60000</v>
      </c>
      <c r="C964" s="17">
        <f t="shared" si="69"/>
        <v>750</v>
      </c>
      <c r="D964" s="47">
        <v>44915</v>
      </c>
      <c r="E964" s="32" t="s">
        <v>73</v>
      </c>
      <c r="F964" s="32" t="s">
        <v>1448</v>
      </c>
      <c r="H964" s="32"/>
      <c r="I964" s="17"/>
      <c r="J964" s="32"/>
    </row>
    <row r="965" spans="1:10" ht="12.75">
      <c r="A965" s="16" t="s">
        <v>4788</v>
      </c>
      <c r="B965" s="17">
        <v>150000</v>
      </c>
      <c r="C965" s="17">
        <f t="shared" si="69"/>
        <v>1875</v>
      </c>
      <c r="D965" s="47">
        <v>44915</v>
      </c>
      <c r="E965" s="32" t="s">
        <v>73</v>
      </c>
      <c r="F965" s="32" t="s">
        <v>1448</v>
      </c>
      <c r="H965" s="32"/>
      <c r="I965" s="17"/>
      <c r="J965" s="32"/>
    </row>
    <row r="966" spans="1:10" ht="12.75">
      <c r="A966" s="16" t="s">
        <v>4541</v>
      </c>
      <c r="B966" s="17">
        <v>125000</v>
      </c>
      <c r="C966" s="17">
        <f t="shared" si="69"/>
        <v>1562.5</v>
      </c>
      <c r="D966" s="47">
        <v>44915</v>
      </c>
      <c r="E966" s="32" t="s">
        <v>73</v>
      </c>
      <c r="F966" s="32" t="s">
        <v>1448</v>
      </c>
      <c r="H966" s="32"/>
      <c r="I966" s="17"/>
      <c r="J966" s="32"/>
    </row>
    <row r="967" spans="1:10" ht="12.75">
      <c r="A967" s="16" t="s">
        <v>4542</v>
      </c>
      <c r="B967" s="17">
        <v>125000</v>
      </c>
      <c r="C967" s="17">
        <f t="shared" si="69"/>
        <v>1562.5</v>
      </c>
      <c r="D967" s="47">
        <v>44915</v>
      </c>
      <c r="E967" s="32" t="s">
        <v>73</v>
      </c>
      <c r="F967" s="32" t="s">
        <v>1448</v>
      </c>
      <c r="H967" s="32"/>
      <c r="I967" s="17"/>
      <c r="J967" s="32"/>
    </row>
    <row r="968" spans="1:10" ht="12.75">
      <c r="A968" s="16" t="s">
        <v>3429</v>
      </c>
      <c r="B968" s="17">
        <v>125000</v>
      </c>
      <c r="C968" s="17">
        <f t="shared" si="69"/>
        <v>1562.5</v>
      </c>
      <c r="D968" s="47">
        <v>44916</v>
      </c>
      <c r="E968" s="32" t="s">
        <v>73</v>
      </c>
      <c r="F968" s="32" t="s">
        <v>1448</v>
      </c>
      <c r="H968" s="32"/>
      <c r="I968" s="17"/>
      <c r="J968" s="32"/>
    </row>
    <row r="969" spans="1:10" ht="12.75">
      <c r="A969" s="16" t="s">
        <v>3602</v>
      </c>
      <c r="B969" s="17">
        <v>55000</v>
      </c>
      <c r="C969" s="17">
        <f t="shared" si="69"/>
        <v>687.5</v>
      </c>
      <c r="D969" s="47">
        <v>44916</v>
      </c>
      <c r="E969" s="32" t="s">
        <v>73</v>
      </c>
      <c r="F969" s="32" t="s">
        <v>1448</v>
      </c>
      <c r="H969" s="32"/>
      <c r="I969" s="17"/>
      <c r="J969" s="32"/>
    </row>
    <row r="970" spans="1:10" ht="12.75">
      <c r="A970" s="16" t="s">
        <v>4057</v>
      </c>
      <c r="B970" s="17">
        <v>215000</v>
      </c>
      <c r="C970" s="17">
        <f t="shared" si="69"/>
        <v>2687.5</v>
      </c>
      <c r="D970" s="47">
        <v>44916</v>
      </c>
      <c r="E970" s="32" t="s">
        <v>4573</v>
      </c>
      <c r="F970" s="32" t="s">
        <v>1448</v>
      </c>
      <c r="H970" s="32"/>
      <c r="I970" s="17"/>
      <c r="J970" s="32"/>
    </row>
    <row r="971" spans="1:10" ht="12.75">
      <c r="A971" s="16" t="s">
        <v>4789</v>
      </c>
      <c r="B971" s="17">
        <v>200000</v>
      </c>
      <c r="C971" s="17">
        <f t="shared" ref="C971:C978" si="70">0.0175*B971</f>
        <v>3500.0000000000005</v>
      </c>
      <c r="D971" s="47">
        <v>44916</v>
      </c>
      <c r="E971" s="32" t="s">
        <v>4573</v>
      </c>
      <c r="F971" s="32" t="s">
        <v>28</v>
      </c>
      <c r="H971" s="32"/>
      <c r="I971" s="17"/>
      <c r="J971" s="21" t="s">
        <v>30</v>
      </c>
    </row>
    <row r="972" spans="1:10" ht="12.75">
      <c r="A972" s="16" t="s">
        <v>4790</v>
      </c>
      <c r="B972" s="17">
        <v>150000</v>
      </c>
      <c r="C972" s="17">
        <f t="shared" si="70"/>
        <v>2625.0000000000005</v>
      </c>
      <c r="D972" s="47">
        <v>44916</v>
      </c>
      <c r="E972" s="32" t="s">
        <v>4573</v>
      </c>
      <c r="F972" s="32" t="s">
        <v>28</v>
      </c>
      <c r="H972" s="32"/>
      <c r="I972" s="17"/>
      <c r="J972" s="21" t="s">
        <v>30</v>
      </c>
    </row>
    <row r="973" spans="1:10" ht="12.75">
      <c r="A973" s="16" t="s">
        <v>4791</v>
      </c>
      <c r="B973" s="17">
        <v>150000</v>
      </c>
      <c r="C973" s="17">
        <f t="shared" si="70"/>
        <v>2625.0000000000005</v>
      </c>
      <c r="D973" s="47">
        <v>44917</v>
      </c>
      <c r="E973" s="32" t="s">
        <v>92</v>
      </c>
      <c r="F973" s="32" t="s">
        <v>28</v>
      </c>
      <c r="H973" s="32"/>
      <c r="I973" s="17"/>
      <c r="J973" s="21" t="s">
        <v>30</v>
      </c>
    </row>
    <row r="974" spans="1:10" ht="12.75">
      <c r="A974" s="16" t="s">
        <v>4792</v>
      </c>
      <c r="B974" s="17">
        <v>90000</v>
      </c>
      <c r="C974" s="17">
        <f t="shared" si="70"/>
        <v>1575.0000000000002</v>
      </c>
      <c r="D974" s="47">
        <v>44917</v>
      </c>
      <c r="E974" s="32" t="s">
        <v>69</v>
      </c>
      <c r="F974" s="32" t="s">
        <v>28</v>
      </c>
      <c r="H974" s="32"/>
      <c r="I974" s="17" t="s">
        <v>4705</v>
      </c>
      <c r="J974" s="21" t="s">
        <v>30</v>
      </c>
    </row>
    <row r="975" spans="1:10" ht="12.75">
      <c r="A975" s="16" t="s">
        <v>4793</v>
      </c>
      <c r="B975" s="17">
        <v>50000</v>
      </c>
      <c r="C975" s="17">
        <f t="shared" si="70"/>
        <v>875.00000000000011</v>
      </c>
      <c r="D975" s="47">
        <v>44917</v>
      </c>
      <c r="E975" s="32" t="s">
        <v>4573</v>
      </c>
      <c r="F975" s="32" t="s">
        <v>28</v>
      </c>
      <c r="H975" s="32"/>
      <c r="I975" s="17"/>
      <c r="J975" s="32"/>
    </row>
    <row r="976" spans="1:10" ht="12.75">
      <c r="A976" s="16" t="s">
        <v>4794</v>
      </c>
      <c r="B976" s="17">
        <v>60000</v>
      </c>
      <c r="C976" s="17">
        <f t="shared" si="70"/>
        <v>1050</v>
      </c>
      <c r="D976" s="47">
        <v>44917</v>
      </c>
      <c r="E976" s="32" t="s">
        <v>4573</v>
      </c>
      <c r="F976" s="32" t="s">
        <v>28</v>
      </c>
      <c r="H976" s="32"/>
      <c r="I976" s="17"/>
      <c r="J976" s="32"/>
    </row>
    <row r="977" spans="1:10" ht="12.75">
      <c r="A977" s="16" t="s">
        <v>4795</v>
      </c>
      <c r="B977" s="17">
        <v>105000</v>
      </c>
      <c r="C977" s="17">
        <f t="shared" si="70"/>
        <v>1837.5000000000002</v>
      </c>
      <c r="D977" s="47">
        <v>44917</v>
      </c>
      <c r="E977" s="32" t="s">
        <v>4573</v>
      </c>
      <c r="F977" s="32" t="s">
        <v>28</v>
      </c>
      <c r="H977" s="32"/>
      <c r="I977" s="17"/>
      <c r="J977" s="32"/>
    </row>
    <row r="978" spans="1:10" ht="12.75">
      <c r="A978" s="16" t="s">
        <v>4796</v>
      </c>
      <c r="B978" s="17">
        <v>75000</v>
      </c>
      <c r="C978" s="17">
        <f t="shared" si="70"/>
        <v>1312.5000000000002</v>
      </c>
      <c r="D978" s="47">
        <v>44917</v>
      </c>
      <c r="E978" s="32" t="s">
        <v>4573</v>
      </c>
      <c r="F978" s="32" t="s">
        <v>28</v>
      </c>
      <c r="H978" s="32"/>
      <c r="I978" s="17"/>
      <c r="J978" s="32"/>
    </row>
    <row r="979" spans="1:10" ht="12.75">
      <c r="A979" s="16" t="s">
        <v>2181</v>
      </c>
      <c r="B979" s="17">
        <v>250000</v>
      </c>
      <c r="C979" s="17">
        <f t="shared" ref="C979:C983" si="71">0.0125*B979</f>
        <v>3125</v>
      </c>
      <c r="D979" s="47">
        <v>44917</v>
      </c>
      <c r="E979" s="32" t="s">
        <v>4573</v>
      </c>
      <c r="F979" s="32" t="s">
        <v>1448</v>
      </c>
      <c r="H979" s="32"/>
      <c r="I979" s="17"/>
      <c r="J979" s="32"/>
    </row>
    <row r="980" spans="1:10" ht="12.75">
      <c r="A980" s="16" t="s">
        <v>4797</v>
      </c>
      <c r="B980" s="17">
        <v>175000</v>
      </c>
      <c r="C980" s="17">
        <f t="shared" si="71"/>
        <v>2187.5</v>
      </c>
      <c r="D980" s="47">
        <v>44917</v>
      </c>
      <c r="E980" s="32" t="s">
        <v>4573</v>
      </c>
      <c r="F980" s="32" t="s">
        <v>1448</v>
      </c>
      <c r="H980" s="32"/>
      <c r="I980" s="17"/>
      <c r="J980" s="32"/>
    </row>
    <row r="981" spans="1:10" ht="12.75">
      <c r="A981" s="16" t="s">
        <v>4798</v>
      </c>
      <c r="B981" s="17">
        <v>60000</v>
      </c>
      <c r="C981" s="17">
        <f t="shared" si="71"/>
        <v>750</v>
      </c>
      <c r="D981" s="47">
        <v>44917</v>
      </c>
      <c r="E981" s="32" t="s">
        <v>4573</v>
      </c>
      <c r="F981" s="32" t="s">
        <v>1448</v>
      </c>
      <c r="H981" s="32"/>
      <c r="I981" s="17"/>
      <c r="J981" s="32"/>
    </row>
    <row r="982" spans="1:10" ht="12.75">
      <c r="A982" s="16" t="s">
        <v>4799</v>
      </c>
      <c r="B982" s="17">
        <v>150000</v>
      </c>
      <c r="C982" s="17">
        <f t="shared" si="71"/>
        <v>1875</v>
      </c>
      <c r="D982" s="47">
        <v>44917</v>
      </c>
      <c r="E982" s="32" t="s">
        <v>4573</v>
      </c>
      <c r="F982" s="32" t="s">
        <v>1448</v>
      </c>
      <c r="H982" s="32"/>
      <c r="I982" s="17"/>
      <c r="J982" s="32"/>
    </row>
    <row r="983" spans="1:10" ht="12.75">
      <c r="A983" s="16" t="s">
        <v>4800</v>
      </c>
      <c r="B983" s="17">
        <v>75000</v>
      </c>
      <c r="C983" s="17">
        <f t="shared" si="71"/>
        <v>937.5</v>
      </c>
      <c r="D983" s="47">
        <v>44917</v>
      </c>
      <c r="E983" s="32" t="s">
        <v>4573</v>
      </c>
      <c r="F983" s="32" t="s">
        <v>1448</v>
      </c>
      <c r="H983" s="32"/>
      <c r="I983" s="17"/>
      <c r="J983" s="32"/>
    </row>
    <row r="984" spans="1:10" ht="12.75">
      <c r="A984" s="16" t="s">
        <v>4801</v>
      </c>
      <c r="B984" s="17">
        <v>750000</v>
      </c>
      <c r="C984" s="17">
        <f t="shared" ref="C984:C986" si="72">0.0175*B984</f>
        <v>13125.000000000002</v>
      </c>
      <c r="D984" s="47">
        <v>44917</v>
      </c>
      <c r="E984" s="32" t="s">
        <v>3566</v>
      </c>
      <c r="F984" s="32" t="s">
        <v>28</v>
      </c>
      <c r="H984" s="32"/>
      <c r="I984" s="17"/>
      <c r="J984" s="21" t="s">
        <v>30</v>
      </c>
    </row>
    <row r="985" spans="1:10" ht="12.75">
      <c r="A985" s="16" t="s">
        <v>4802</v>
      </c>
      <c r="B985" s="17">
        <v>50000</v>
      </c>
      <c r="C985" s="17">
        <f t="shared" si="72"/>
        <v>875.00000000000011</v>
      </c>
      <c r="D985" s="47">
        <v>44917</v>
      </c>
      <c r="E985" s="32" t="s">
        <v>4573</v>
      </c>
      <c r="F985" s="32" t="s">
        <v>28</v>
      </c>
      <c r="H985" s="32"/>
      <c r="I985" s="17"/>
      <c r="J985" s="21" t="s">
        <v>30</v>
      </c>
    </row>
    <row r="986" spans="1:10" ht="12.75">
      <c r="A986" s="16" t="s">
        <v>4803</v>
      </c>
      <c r="B986" s="17">
        <v>375000</v>
      </c>
      <c r="C986" s="17">
        <f t="shared" si="72"/>
        <v>6562.5000000000009</v>
      </c>
      <c r="D986" s="47">
        <v>44918</v>
      </c>
      <c r="E986" s="32" t="s">
        <v>69</v>
      </c>
      <c r="F986" s="32" t="s">
        <v>28</v>
      </c>
      <c r="H986" s="32"/>
      <c r="I986" s="17" t="s">
        <v>4705</v>
      </c>
      <c r="J986" s="21" t="s">
        <v>30</v>
      </c>
    </row>
    <row r="987" spans="1:10" ht="12.75">
      <c r="A987" s="16" t="s">
        <v>4804</v>
      </c>
      <c r="B987" s="17">
        <v>380000</v>
      </c>
      <c r="C987" s="17">
        <f t="shared" ref="C987:C988" si="73">0.0125*B987</f>
        <v>4750</v>
      </c>
      <c r="D987" s="47">
        <v>44922</v>
      </c>
      <c r="E987" s="32" t="s">
        <v>4573</v>
      </c>
      <c r="F987" s="32" t="s">
        <v>1448</v>
      </c>
      <c r="H987" s="32"/>
      <c r="I987" s="17"/>
      <c r="J987" s="32"/>
    </row>
    <row r="988" spans="1:10" ht="12.75">
      <c r="A988" s="16" t="s">
        <v>3963</v>
      </c>
      <c r="B988" s="17">
        <v>130000</v>
      </c>
      <c r="C988" s="17">
        <f t="shared" si="73"/>
        <v>1625</v>
      </c>
      <c r="D988" s="47">
        <v>44922</v>
      </c>
      <c r="E988" s="32" t="s">
        <v>4573</v>
      </c>
      <c r="F988" s="32" t="s">
        <v>1448</v>
      </c>
      <c r="H988" s="32"/>
      <c r="I988" s="17"/>
      <c r="J988" s="32"/>
    </row>
    <row r="989" spans="1:10" ht="12.75">
      <c r="A989" s="16" t="s">
        <v>4805</v>
      </c>
      <c r="B989" s="17">
        <v>755000</v>
      </c>
      <c r="C989" s="17">
        <f>0.0175*B989</f>
        <v>13212.500000000002</v>
      </c>
      <c r="D989" s="47">
        <v>44923</v>
      </c>
      <c r="E989" s="32" t="s">
        <v>4767</v>
      </c>
      <c r="F989" s="32" t="s">
        <v>28</v>
      </c>
      <c r="H989" s="32"/>
      <c r="I989" s="17"/>
      <c r="J989" s="21" t="s">
        <v>30</v>
      </c>
    </row>
    <row r="990" spans="1:10" ht="12.75">
      <c r="A990" s="16" t="s">
        <v>4806</v>
      </c>
      <c r="B990" s="17">
        <v>130000</v>
      </c>
      <c r="C990" s="17">
        <f t="shared" ref="C990:C991" si="74">0.0125*B990</f>
        <v>1625</v>
      </c>
      <c r="D990" s="47">
        <v>44923</v>
      </c>
      <c r="E990" s="32" t="s">
        <v>4573</v>
      </c>
      <c r="F990" s="32" t="s">
        <v>1448</v>
      </c>
      <c r="H990" s="32"/>
      <c r="I990" s="17"/>
      <c r="J990" s="32"/>
    </row>
    <row r="991" spans="1:10" ht="12.75">
      <c r="A991" s="16" t="s">
        <v>4807</v>
      </c>
      <c r="B991" s="17">
        <v>80000</v>
      </c>
      <c r="C991" s="17">
        <f t="shared" si="74"/>
        <v>1000</v>
      </c>
      <c r="D991" s="47">
        <v>44923</v>
      </c>
      <c r="E991" s="32" t="s">
        <v>73</v>
      </c>
      <c r="F991" s="32" t="s">
        <v>1448</v>
      </c>
      <c r="H991" s="32"/>
      <c r="I991" s="17"/>
      <c r="J991" s="32"/>
    </row>
    <row r="992" spans="1:10" ht="12.75">
      <c r="A992" s="16" t="s">
        <v>4808</v>
      </c>
      <c r="B992" s="17">
        <v>650000</v>
      </c>
      <c r="C992" s="17">
        <f>0.0175*B992</f>
        <v>11375.000000000002</v>
      </c>
      <c r="D992" s="47">
        <v>44924</v>
      </c>
      <c r="E992" s="32" t="s">
        <v>3566</v>
      </c>
      <c r="F992" s="32" t="s">
        <v>28</v>
      </c>
      <c r="H992" s="32"/>
      <c r="I992" s="17"/>
      <c r="J992" s="21" t="s">
        <v>30</v>
      </c>
    </row>
    <row r="993" spans="1:10" ht="12.75">
      <c r="A993" s="16" t="s">
        <v>4073</v>
      </c>
      <c r="B993" s="17">
        <v>100000</v>
      </c>
      <c r="C993" s="17">
        <f>0.0125*B993</f>
        <v>1250</v>
      </c>
      <c r="D993" s="47">
        <v>44924</v>
      </c>
      <c r="E993" s="32" t="s">
        <v>73</v>
      </c>
      <c r="F993" s="32" t="s">
        <v>1448</v>
      </c>
      <c r="H993" s="32"/>
      <c r="I993" s="17"/>
      <c r="J993" s="32"/>
    </row>
    <row r="994" spans="1:10" ht="12.75">
      <c r="A994" s="16" t="s">
        <v>201</v>
      </c>
      <c r="B994" s="17">
        <v>31000</v>
      </c>
      <c r="C994" s="17">
        <f t="shared" ref="C994:C997" si="75">0.0175*B994</f>
        <v>542.5</v>
      </c>
      <c r="D994" s="47">
        <v>44924</v>
      </c>
      <c r="E994" s="32" t="s">
        <v>4573</v>
      </c>
      <c r="F994" s="32" t="s">
        <v>1448</v>
      </c>
      <c r="H994" s="32"/>
      <c r="I994" s="17"/>
      <c r="J994" s="32"/>
    </row>
    <row r="995" spans="1:10" ht="12.75">
      <c r="A995" s="16" t="s">
        <v>4809</v>
      </c>
      <c r="B995" s="17">
        <v>60000</v>
      </c>
      <c r="C995" s="17">
        <f t="shared" si="75"/>
        <v>1050</v>
      </c>
      <c r="D995" s="47">
        <v>44924</v>
      </c>
      <c r="E995" s="32" t="s">
        <v>4573</v>
      </c>
      <c r="F995" s="32" t="s">
        <v>28</v>
      </c>
      <c r="H995" s="32"/>
      <c r="I995" s="17"/>
      <c r="J995" s="32"/>
    </row>
    <row r="996" spans="1:10" ht="12.75">
      <c r="A996" s="16" t="s">
        <v>4810</v>
      </c>
      <c r="B996" s="17">
        <v>100000</v>
      </c>
      <c r="C996" s="17">
        <f t="shared" si="75"/>
        <v>1750.0000000000002</v>
      </c>
      <c r="D996" s="47">
        <v>44924</v>
      </c>
      <c r="E996" s="32" t="s">
        <v>4573</v>
      </c>
      <c r="F996" s="32" t="s">
        <v>28</v>
      </c>
      <c r="H996" s="32"/>
      <c r="I996" s="17"/>
      <c r="J996" s="32"/>
    </row>
    <row r="997" spans="1:10" ht="12.75">
      <c r="A997" s="16" t="s">
        <v>4811</v>
      </c>
      <c r="B997" s="17">
        <v>50000</v>
      </c>
      <c r="C997" s="17">
        <f t="shared" si="75"/>
        <v>875.00000000000011</v>
      </c>
      <c r="D997" s="47">
        <v>44924</v>
      </c>
      <c r="E997" s="32" t="s">
        <v>4573</v>
      </c>
      <c r="F997" s="32" t="s">
        <v>28</v>
      </c>
      <c r="H997" s="32"/>
      <c r="I997" s="17"/>
      <c r="J997" s="32"/>
    </row>
    <row r="998" spans="1:10" ht="12.75">
      <c r="A998" s="16" t="s">
        <v>4812</v>
      </c>
      <c r="B998" s="17">
        <v>500000</v>
      </c>
      <c r="C998" s="17">
        <f>0.0125*B998</f>
        <v>6250</v>
      </c>
      <c r="D998" s="47">
        <v>44924</v>
      </c>
      <c r="E998" s="32" t="s">
        <v>4573</v>
      </c>
      <c r="F998" s="32" t="s">
        <v>1448</v>
      </c>
      <c r="H998" s="32"/>
      <c r="I998" s="17"/>
      <c r="J998" s="32"/>
    </row>
    <row r="999" spans="1:10" ht="12.75">
      <c r="A999" s="16" t="s">
        <v>4813</v>
      </c>
      <c r="B999" s="17">
        <v>85000</v>
      </c>
      <c r="C999" s="17">
        <f t="shared" ref="C999:C1001" si="76">0.0175*B999</f>
        <v>1487.5000000000002</v>
      </c>
      <c r="D999" s="47">
        <v>44924</v>
      </c>
      <c r="E999" s="32" t="s">
        <v>4573</v>
      </c>
      <c r="F999" s="32" t="s">
        <v>28</v>
      </c>
      <c r="H999" s="32"/>
      <c r="I999" s="17"/>
      <c r="J999" s="32"/>
    </row>
    <row r="1000" spans="1:10" ht="12.75">
      <c r="A1000" s="16" t="s">
        <v>4814</v>
      </c>
      <c r="B1000" s="17">
        <v>7000</v>
      </c>
      <c r="C1000" s="17">
        <f t="shared" si="76"/>
        <v>122.50000000000001</v>
      </c>
      <c r="D1000" s="47">
        <v>44924</v>
      </c>
      <c r="E1000" s="32" t="s">
        <v>4573</v>
      </c>
      <c r="F1000" s="32" t="s">
        <v>28</v>
      </c>
      <c r="H1000" s="32"/>
      <c r="I1000" s="17"/>
      <c r="J1000" s="32"/>
    </row>
    <row r="1001" spans="1:10" ht="12.75">
      <c r="A1001" s="16" t="s">
        <v>4815</v>
      </c>
      <c r="B1001" s="17">
        <v>7500</v>
      </c>
      <c r="C1001" s="17">
        <f t="shared" si="76"/>
        <v>131.25</v>
      </c>
      <c r="D1001" s="47">
        <v>44924</v>
      </c>
      <c r="E1001" s="32" t="s">
        <v>4573</v>
      </c>
      <c r="F1001" s="32" t="s">
        <v>28</v>
      </c>
      <c r="H1001" s="32"/>
      <c r="I1001" s="17"/>
      <c r="J1001" s="32"/>
    </row>
    <row r="1002" spans="1:10" ht="12.75">
      <c r="A1002" s="16" t="s">
        <v>4124</v>
      </c>
      <c r="B1002" s="17">
        <v>125000</v>
      </c>
      <c r="C1002" s="17">
        <f>0.0125*B1002</f>
        <v>1562.5</v>
      </c>
      <c r="D1002" s="47">
        <v>44924</v>
      </c>
      <c r="E1002" s="32" t="s">
        <v>4573</v>
      </c>
      <c r="F1002" s="32" t="s">
        <v>1448</v>
      </c>
      <c r="H1002" s="32"/>
      <c r="I1002" s="17"/>
      <c r="J1002" s="32"/>
    </row>
    <row r="1003" spans="1:10" ht="12.75">
      <c r="A1003" s="16" t="s">
        <v>4816</v>
      </c>
      <c r="B1003" s="17">
        <v>50000</v>
      </c>
      <c r="C1003" s="17">
        <f>0.0175*B1003</f>
        <v>875.00000000000011</v>
      </c>
      <c r="D1003" s="47">
        <v>44924</v>
      </c>
      <c r="E1003" s="32" t="s">
        <v>4573</v>
      </c>
      <c r="F1003" s="32" t="s">
        <v>28</v>
      </c>
      <c r="H1003" s="32"/>
      <c r="I1003" s="17"/>
      <c r="J1003" s="32"/>
    </row>
    <row r="1004" spans="1:10" ht="12.75">
      <c r="A1004" s="16" t="s">
        <v>4052</v>
      </c>
      <c r="B1004" s="17">
        <v>35000</v>
      </c>
      <c r="C1004" s="17">
        <f>0.0125*B1004</f>
        <v>437.5</v>
      </c>
      <c r="D1004" s="47">
        <v>44924</v>
      </c>
      <c r="E1004" s="32" t="s">
        <v>4573</v>
      </c>
      <c r="F1004" s="32" t="s">
        <v>1448</v>
      </c>
      <c r="H1004" s="32"/>
      <c r="I1004" s="17"/>
      <c r="J1004" s="32"/>
    </row>
    <row r="1005" spans="1:10" ht="12.75">
      <c r="A1005" s="16" t="s">
        <v>4817</v>
      </c>
      <c r="B1005" s="17">
        <v>500000</v>
      </c>
      <c r="C1005" s="17">
        <f>0.0175*B1005</f>
        <v>8750</v>
      </c>
      <c r="D1005" s="47">
        <v>44924</v>
      </c>
      <c r="E1005" s="32" t="s">
        <v>4573</v>
      </c>
      <c r="F1005" s="32" t="s">
        <v>28</v>
      </c>
      <c r="H1005" s="32"/>
      <c r="I1005" s="17"/>
      <c r="J1005" s="21" t="s">
        <v>30</v>
      </c>
    </row>
    <row r="1006" spans="1:10" ht="12.75">
      <c r="A1006" s="16" t="s">
        <v>4818</v>
      </c>
      <c r="B1006" s="17">
        <v>100000</v>
      </c>
      <c r="C1006" s="17">
        <f>0.0125*B1006</f>
        <v>1250</v>
      </c>
      <c r="D1006" s="47">
        <v>44925</v>
      </c>
      <c r="E1006" s="32" t="s">
        <v>147</v>
      </c>
      <c r="F1006" s="32" t="s">
        <v>1448</v>
      </c>
      <c r="H1006" s="32"/>
      <c r="I1006" s="17"/>
      <c r="J1006" s="32"/>
    </row>
    <row r="1007" spans="1:10" ht="12.75">
      <c r="A1007" s="16" t="s">
        <v>4819</v>
      </c>
      <c r="B1007" s="17">
        <v>110000</v>
      </c>
      <c r="C1007" s="17">
        <f t="shared" ref="C1007:C1016" si="77">0.0175*B1007</f>
        <v>1925.0000000000002</v>
      </c>
      <c r="D1007" s="47">
        <v>44925</v>
      </c>
      <c r="E1007" s="32" t="s">
        <v>4023</v>
      </c>
      <c r="F1007" s="32" t="s">
        <v>28</v>
      </c>
      <c r="H1007" s="32"/>
      <c r="I1007" s="17"/>
      <c r="J1007" s="21" t="s">
        <v>30</v>
      </c>
    </row>
    <row r="1008" spans="1:10" ht="12.75">
      <c r="A1008" s="16" t="s">
        <v>4820</v>
      </c>
      <c r="B1008" s="17">
        <v>35000</v>
      </c>
      <c r="C1008" s="17">
        <f t="shared" si="77"/>
        <v>612.50000000000011</v>
      </c>
      <c r="D1008" s="47">
        <v>44925</v>
      </c>
      <c r="E1008" s="32" t="s">
        <v>4573</v>
      </c>
      <c r="F1008" s="32" t="s">
        <v>28</v>
      </c>
      <c r="H1008" s="32"/>
      <c r="I1008" s="17"/>
      <c r="J1008" s="32"/>
    </row>
    <row r="1009" spans="1:10" ht="12.75">
      <c r="A1009" s="16" t="s">
        <v>4821</v>
      </c>
      <c r="B1009" s="17">
        <v>45000</v>
      </c>
      <c r="C1009" s="17">
        <f t="shared" si="77"/>
        <v>787.50000000000011</v>
      </c>
      <c r="D1009" s="47">
        <v>44925</v>
      </c>
      <c r="E1009" s="32" t="s">
        <v>4573</v>
      </c>
      <c r="F1009" s="32" t="s">
        <v>28</v>
      </c>
      <c r="H1009" s="32"/>
      <c r="I1009" s="17"/>
      <c r="J1009" s="32"/>
    </row>
    <row r="1010" spans="1:10" ht="12.75">
      <c r="A1010" s="16" t="s">
        <v>4822</v>
      </c>
      <c r="B1010" s="17">
        <v>40000</v>
      </c>
      <c r="C1010" s="17">
        <f t="shared" si="77"/>
        <v>700.00000000000011</v>
      </c>
      <c r="D1010" s="47">
        <v>44925</v>
      </c>
      <c r="E1010" s="32" t="s">
        <v>4573</v>
      </c>
      <c r="F1010" s="32" t="s">
        <v>28</v>
      </c>
      <c r="H1010" s="32"/>
      <c r="I1010" s="17"/>
      <c r="J1010" s="32"/>
    </row>
    <row r="1011" spans="1:10" ht="12.75">
      <c r="A1011" s="16" t="s">
        <v>4823</v>
      </c>
      <c r="B1011" s="17">
        <v>25000</v>
      </c>
      <c r="C1011" s="17">
        <f t="shared" si="77"/>
        <v>437.50000000000006</v>
      </c>
      <c r="D1011" s="47">
        <v>44925</v>
      </c>
      <c r="E1011" s="32" t="s">
        <v>4573</v>
      </c>
      <c r="F1011" s="32" t="s">
        <v>28</v>
      </c>
      <c r="H1011" s="32"/>
      <c r="I1011" s="17"/>
      <c r="J1011" s="32"/>
    </row>
    <row r="1012" spans="1:10" ht="12.75">
      <c r="A1012" s="16" t="s">
        <v>4824</v>
      </c>
      <c r="B1012" s="17">
        <v>100000</v>
      </c>
      <c r="C1012" s="17">
        <f t="shared" si="77"/>
        <v>1750.0000000000002</v>
      </c>
      <c r="D1012" s="47">
        <v>44925</v>
      </c>
      <c r="E1012" s="32" t="s">
        <v>4573</v>
      </c>
      <c r="F1012" s="32" t="s">
        <v>28</v>
      </c>
      <c r="H1012" s="32"/>
      <c r="I1012" s="17"/>
      <c r="J1012" s="32"/>
    </row>
    <row r="1013" spans="1:10" ht="12.75">
      <c r="A1013" s="16" t="s">
        <v>4825</v>
      </c>
      <c r="B1013" s="17">
        <v>27000</v>
      </c>
      <c r="C1013" s="17">
        <f t="shared" si="77"/>
        <v>472.50000000000006</v>
      </c>
      <c r="D1013" s="47">
        <v>44925</v>
      </c>
      <c r="E1013" s="32" t="s">
        <v>4573</v>
      </c>
      <c r="F1013" s="32" t="s">
        <v>28</v>
      </c>
      <c r="H1013" s="32"/>
      <c r="I1013" s="17"/>
      <c r="J1013" s="32"/>
    </row>
    <row r="1014" spans="1:10" ht="12.75">
      <c r="A1014" s="16" t="s">
        <v>4826</v>
      </c>
      <c r="B1014" s="17">
        <v>15000</v>
      </c>
      <c r="C1014" s="17">
        <f t="shared" si="77"/>
        <v>262.5</v>
      </c>
      <c r="D1014" s="47">
        <v>44900</v>
      </c>
      <c r="E1014" s="32" t="s">
        <v>4573</v>
      </c>
      <c r="F1014" s="32" t="s">
        <v>28</v>
      </c>
      <c r="H1014" s="32"/>
      <c r="I1014" s="17"/>
      <c r="J1014" s="32"/>
    </row>
    <row r="1015" spans="1:10" ht="12.75">
      <c r="A1015" s="16" t="s">
        <v>4827</v>
      </c>
      <c r="B1015" s="17">
        <v>20000</v>
      </c>
      <c r="C1015" s="17">
        <f t="shared" si="77"/>
        <v>350.00000000000006</v>
      </c>
      <c r="D1015" s="47">
        <v>44909</v>
      </c>
      <c r="E1015" s="32" t="s">
        <v>4573</v>
      </c>
      <c r="F1015" s="32" t="s">
        <v>28</v>
      </c>
      <c r="H1015" s="32"/>
      <c r="I1015" s="17"/>
      <c r="J1015" s="32"/>
    </row>
    <row r="1016" spans="1:10" ht="12.75">
      <c r="A1016" s="16" t="s">
        <v>2799</v>
      </c>
      <c r="B1016" s="17">
        <v>25000</v>
      </c>
      <c r="C1016" s="17">
        <f t="shared" si="77"/>
        <v>437.50000000000006</v>
      </c>
      <c r="D1016" s="47">
        <v>44925</v>
      </c>
      <c r="E1016" s="32"/>
      <c r="F1016" s="32"/>
      <c r="H1016" s="32"/>
      <c r="I1016" s="17"/>
      <c r="J1016" s="32"/>
    </row>
    <row r="1017" spans="1:10" ht="12.75">
      <c r="B1017" s="17"/>
      <c r="C1017" s="17"/>
      <c r="D1017" s="47"/>
      <c r="E1017" s="32"/>
      <c r="F1017" s="32"/>
      <c r="H1017" s="32"/>
      <c r="I1017" s="17"/>
      <c r="J1017" s="32"/>
    </row>
    <row r="1018" spans="1:10" ht="12.75">
      <c r="B1018" s="17"/>
      <c r="C1018" s="17"/>
      <c r="D1018" s="47"/>
      <c r="E1018" s="32"/>
      <c r="F1018" s="32"/>
      <c r="H1018" s="32"/>
      <c r="I1018" s="17"/>
      <c r="J1018" s="32"/>
    </row>
    <row r="1019" spans="1:10" ht="12.75">
      <c r="B1019" s="17"/>
      <c r="C1019" s="17"/>
      <c r="D1019" s="47"/>
      <c r="E1019" s="32"/>
      <c r="F1019" s="32"/>
      <c r="H1019" s="32"/>
      <c r="I1019" s="17"/>
      <c r="J1019" s="32"/>
    </row>
    <row r="1020" spans="1:10" ht="12.75">
      <c r="B1020" s="17"/>
      <c r="C1020" s="17"/>
      <c r="D1020" s="47"/>
      <c r="E1020" s="32"/>
      <c r="F1020" s="32"/>
      <c r="H1020" s="32"/>
      <c r="I1020" s="17"/>
      <c r="J1020" s="32"/>
    </row>
    <row r="1021" spans="1:10" ht="12.75">
      <c r="B1021" s="17"/>
      <c r="C1021" s="17"/>
      <c r="D1021" s="47"/>
      <c r="E1021" s="32"/>
      <c r="F1021" s="32"/>
      <c r="H1021" s="32"/>
      <c r="I1021" s="17"/>
      <c r="J1021" s="32"/>
    </row>
    <row r="1022" spans="1:10" ht="12.75">
      <c r="B1022" s="17"/>
      <c r="C1022" s="17"/>
      <c r="D1022" s="47"/>
      <c r="E1022" s="32"/>
      <c r="F1022" s="32"/>
      <c r="H1022" s="32"/>
      <c r="I1022" s="17"/>
      <c r="J1022" s="32"/>
    </row>
    <row r="1023" spans="1:10" ht="12.75">
      <c r="B1023" s="17"/>
      <c r="C1023" s="17"/>
      <c r="D1023" s="47"/>
      <c r="E1023" s="32"/>
      <c r="F1023" s="32"/>
      <c r="H1023" s="32"/>
      <c r="I1023" s="17"/>
      <c r="J1023" s="32"/>
    </row>
    <row r="1024" spans="1:10" ht="12.75">
      <c r="B1024" s="17"/>
      <c r="C1024" s="17"/>
      <c r="D1024" s="47"/>
      <c r="E1024" s="32"/>
      <c r="F1024" s="32"/>
      <c r="H1024" s="32"/>
      <c r="I1024" s="17"/>
      <c r="J1024" s="32"/>
    </row>
    <row r="1025" spans="2:10" ht="12.75">
      <c r="B1025" s="17"/>
      <c r="C1025" s="17"/>
      <c r="D1025" s="47"/>
      <c r="E1025" s="32"/>
      <c r="F1025" s="32"/>
      <c r="H1025" s="32"/>
      <c r="I1025" s="17"/>
      <c r="J1025" s="32"/>
    </row>
    <row r="1026" spans="2:10" ht="12.75">
      <c r="B1026" s="17"/>
      <c r="C1026" s="17"/>
      <c r="D1026" s="47"/>
      <c r="E1026" s="32"/>
      <c r="F1026" s="32"/>
      <c r="H1026" s="32"/>
      <c r="I1026" s="17"/>
      <c r="J1026" s="32"/>
    </row>
    <row r="1027" spans="2:10" ht="12.75">
      <c r="B1027" s="17"/>
      <c r="C1027" s="17"/>
      <c r="D1027" s="47"/>
      <c r="E1027" s="32"/>
      <c r="F1027" s="32"/>
      <c r="H1027" s="32"/>
      <c r="I1027" s="17"/>
      <c r="J1027" s="32"/>
    </row>
    <row r="1028" spans="2:10" ht="12.75">
      <c r="B1028" s="17"/>
      <c r="C1028" s="17"/>
      <c r="D1028" s="47"/>
      <c r="E1028" s="32"/>
      <c r="F1028" s="32"/>
      <c r="H1028" s="32"/>
      <c r="I1028" s="17"/>
      <c r="J1028" s="32"/>
    </row>
    <row r="1029" spans="2:10" ht="12.75">
      <c r="B1029" s="17"/>
      <c r="C1029" s="17"/>
      <c r="D1029" s="47"/>
      <c r="E1029" s="32"/>
      <c r="F1029" s="32"/>
      <c r="H1029" s="32"/>
      <c r="I1029" s="17"/>
      <c r="J1029" s="32"/>
    </row>
    <row r="1030" spans="2:10" ht="12.75">
      <c r="B1030" s="17"/>
      <c r="C1030" s="17"/>
      <c r="D1030" s="47"/>
      <c r="E1030" s="32"/>
      <c r="F1030" s="32"/>
      <c r="H1030" s="32"/>
      <c r="I1030" s="17"/>
      <c r="J1030" s="32"/>
    </row>
    <row r="1031" spans="2:10" ht="12.75">
      <c r="B1031" s="17"/>
      <c r="C1031" s="17"/>
      <c r="D1031" s="47"/>
      <c r="E1031" s="32"/>
      <c r="F1031" s="32"/>
      <c r="H1031" s="32"/>
      <c r="I1031" s="17"/>
      <c r="J1031" s="32"/>
    </row>
    <row r="1032" spans="2:10" ht="12.75">
      <c r="B1032" s="17"/>
      <c r="C1032" s="17"/>
      <c r="D1032" s="47"/>
      <c r="E1032" s="32"/>
      <c r="F1032" s="32"/>
      <c r="H1032" s="32"/>
      <c r="I1032" s="17"/>
      <c r="J1032" s="32"/>
    </row>
    <row r="1033" spans="2:10" ht="12.75">
      <c r="B1033" s="17"/>
      <c r="C1033" s="17"/>
      <c r="D1033" s="47"/>
      <c r="E1033" s="32"/>
      <c r="F1033" s="32"/>
      <c r="H1033" s="32"/>
      <c r="I1033" s="17"/>
      <c r="J1033" s="32"/>
    </row>
    <row r="1034" spans="2:10" ht="12.75">
      <c r="B1034" s="17"/>
      <c r="C1034" s="17"/>
      <c r="D1034" s="47"/>
      <c r="E1034" s="32"/>
      <c r="F1034" s="32"/>
      <c r="H1034" s="32"/>
      <c r="I1034" s="17"/>
      <c r="J1034" s="32"/>
    </row>
    <row r="1035" spans="2:10" ht="12.75">
      <c r="B1035" s="17"/>
      <c r="C1035" s="17"/>
      <c r="D1035" s="47"/>
      <c r="E1035" s="32"/>
      <c r="F1035" s="32"/>
      <c r="H1035" s="32"/>
      <c r="I1035" s="17"/>
      <c r="J1035" s="32"/>
    </row>
    <row r="1036" spans="2:10" ht="12.75">
      <c r="B1036" s="17"/>
      <c r="C1036" s="17"/>
      <c r="D1036" s="47"/>
      <c r="E1036" s="32"/>
      <c r="F1036" s="32"/>
      <c r="H1036" s="32"/>
      <c r="I1036" s="17"/>
      <c r="J1036" s="32"/>
    </row>
    <row r="1037" spans="2:10" ht="12.75">
      <c r="B1037" s="17"/>
      <c r="C1037" s="17"/>
      <c r="D1037" s="47"/>
      <c r="E1037" s="32"/>
      <c r="F1037" s="32"/>
      <c r="H1037" s="32"/>
      <c r="I1037" s="17"/>
      <c r="J1037" s="32"/>
    </row>
    <row r="1038" spans="2:10" ht="12.75">
      <c r="B1038" s="17"/>
      <c r="C1038" s="17"/>
      <c r="D1038" s="47"/>
      <c r="E1038" s="32"/>
      <c r="F1038" s="32"/>
      <c r="H1038" s="32"/>
      <c r="I1038" s="17"/>
      <c r="J1038" s="32"/>
    </row>
    <row r="1039" spans="2:10" ht="12.75">
      <c r="B1039" s="17"/>
      <c r="C1039" s="17"/>
      <c r="D1039" s="47"/>
      <c r="E1039" s="32"/>
      <c r="F1039" s="32"/>
      <c r="H1039" s="32"/>
      <c r="I1039" s="17"/>
      <c r="J1039" s="32"/>
    </row>
    <row r="1040" spans="2:10" ht="12.75">
      <c r="B1040" s="17"/>
      <c r="C1040" s="17"/>
      <c r="D1040" s="47"/>
      <c r="E1040" s="32"/>
      <c r="F1040" s="32"/>
      <c r="H1040" s="32"/>
      <c r="I1040" s="17"/>
      <c r="J1040" s="32"/>
    </row>
    <row r="1041" spans="2:10" ht="12.75">
      <c r="B1041" s="17"/>
      <c r="C1041" s="17"/>
      <c r="D1041" s="47"/>
      <c r="E1041" s="32"/>
      <c r="F1041" s="32"/>
      <c r="H1041" s="32"/>
      <c r="I1041" s="17"/>
      <c r="J1041" s="32"/>
    </row>
    <row r="1042" spans="2:10" ht="12.75">
      <c r="B1042" s="17"/>
      <c r="C1042" s="17"/>
      <c r="D1042" s="47"/>
      <c r="E1042" s="32"/>
      <c r="F1042" s="32"/>
      <c r="H1042" s="32"/>
      <c r="I1042" s="17"/>
      <c r="J1042" s="32"/>
    </row>
    <row r="1043" spans="2:10" ht="12.75">
      <c r="B1043" s="17"/>
      <c r="C1043" s="17"/>
      <c r="D1043" s="47"/>
      <c r="E1043" s="32"/>
      <c r="F1043" s="32"/>
      <c r="H1043" s="32"/>
      <c r="I1043" s="17"/>
      <c r="J1043" s="32"/>
    </row>
    <row r="1044" spans="2:10" ht="12.75">
      <c r="B1044" s="17"/>
      <c r="C1044" s="17"/>
      <c r="D1044" s="47"/>
      <c r="E1044" s="32"/>
      <c r="F1044" s="32"/>
      <c r="H1044" s="32"/>
      <c r="I1044" s="17"/>
      <c r="J1044" s="32"/>
    </row>
    <row r="1045" spans="2:10" ht="12.75">
      <c r="B1045" s="17"/>
      <c r="C1045" s="17"/>
      <c r="D1045" s="47"/>
      <c r="E1045" s="32"/>
      <c r="F1045" s="32"/>
      <c r="H1045" s="32"/>
      <c r="I1045" s="17"/>
      <c r="J1045" s="32"/>
    </row>
    <row r="1046" spans="2:10" ht="12.75">
      <c r="B1046" s="17"/>
      <c r="C1046" s="17"/>
      <c r="D1046" s="47"/>
      <c r="E1046" s="32"/>
      <c r="F1046" s="32"/>
      <c r="H1046" s="32"/>
      <c r="I1046" s="17"/>
      <c r="J1046" s="32"/>
    </row>
    <row r="1047" spans="2:10" ht="12.75">
      <c r="B1047" s="17"/>
      <c r="C1047" s="17"/>
      <c r="D1047" s="47"/>
      <c r="E1047" s="32"/>
      <c r="F1047" s="32"/>
      <c r="H1047" s="32"/>
      <c r="I1047" s="17"/>
      <c r="J1047" s="32"/>
    </row>
    <row r="1048" spans="2:10" ht="12.75">
      <c r="B1048" s="17"/>
      <c r="C1048" s="17"/>
      <c r="D1048" s="47"/>
      <c r="E1048" s="32"/>
      <c r="F1048" s="32"/>
      <c r="H1048" s="32"/>
      <c r="I1048" s="17"/>
      <c r="J1048" s="32"/>
    </row>
    <row r="1049" spans="2:10" ht="12.75">
      <c r="B1049" s="17"/>
      <c r="C1049" s="17"/>
      <c r="D1049" s="47"/>
      <c r="E1049" s="32"/>
      <c r="F1049" s="32"/>
      <c r="H1049" s="32"/>
      <c r="I1049" s="17"/>
      <c r="J1049" s="32"/>
    </row>
    <row r="1050" spans="2:10" ht="12.75">
      <c r="B1050" s="17"/>
      <c r="C1050" s="17"/>
      <c r="D1050" s="47"/>
      <c r="E1050" s="32"/>
      <c r="F1050" s="32"/>
      <c r="H1050" s="32"/>
      <c r="I1050" s="17"/>
      <c r="J1050" s="32"/>
    </row>
    <row r="1051" spans="2:10" ht="12.75">
      <c r="B1051" s="17"/>
      <c r="C1051" s="17"/>
      <c r="D1051" s="47"/>
      <c r="E1051" s="32"/>
      <c r="F1051" s="32"/>
      <c r="H1051" s="32"/>
      <c r="I1051" s="17"/>
      <c r="J1051" s="32"/>
    </row>
    <row r="1052" spans="2:10" ht="12.75">
      <c r="B1052" s="17"/>
      <c r="C1052" s="17"/>
      <c r="D1052" s="47"/>
      <c r="E1052" s="32"/>
      <c r="F1052" s="32"/>
      <c r="H1052" s="32"/>
      <c r="I1052" s="17"/>
      <c r="J1052" s="32"/>
    </row>
    <row r="1053" spans="2:10" ht="12.75">
      <c r="B1053" s="17"/>
      <c r="C1053" s="17"/>
      <c r="D1053" s="47"/>
      <c r="E1053" s="32"/>
      <c r="F1053" s="32"/>
      <c r="H1053" s="32"/>
      <c r="I1053" s="17"/>
      <c r="J1053" s="32"/>
    </row>
    <row r="1054" spans="2:10" ht="12.75">
      <c r="B1054" s="17"/>
      <c r="C1054" s="17"/>
      <c r="D1054" s="47"/>
      <c r="E1054" s="32"/>
      <c r="F1054" s="32"/>
      <c r="H1054" s="32"/>
      <c r="I1054" s="17"/>
      <c r="J1054" s="32"/>
    </row>
    <row r="1055" spans="2:10" ht="12.75">
      <c r="B1055" s="17"/>
      <c r="C1055" s="17"/>
      <c r="D1055" s="47"/>
      <c r="E1055" s="32"/>
      <c r="F1055" s="32"/>
      <c r="H1055" s="32"/>
      <c r="I1055" s="17"/>
      <c r="J1055" s="32"/>
    </row>
    <row r="1056" spans="2:10" ht="12.75">
      <c r="B1056" s="17"/>
      <c r="C1056" s="17"/>
      <c r="D1056" s="47"/>
      <c r="E1056" s="32"/>
      <c r="F1056" s="32"/>
      <c r="H1056" s="32"/>
      <c r="I1056" s="17"/>
      <c r="J1056" s="32"/>
    </row>
    <row r="1057" spans="2:10" ht="12.75">
      <c r="B1057" s="17"/>
      <c r="C1057" s="17"/>
      <c r="D1057" s="47"/>
      <c r="E1057" s="32"/>
      <c r="F1057" s="32"/>
      <c r="H1057" s="32"/>
      <c r="I1057" s="17"/>
      <c r="J1057" s="32"/>
    </row>
    <row r="1058" spans="2:10" ht="12.75">
      <c r="B1058" s="17"/>
      <c r="C1058" s="17"/>
      <c r="D1058" s="47"/>
      <c r="E1058" s="32"/>
      <c r="F1058" s="32"/>
      <c r="H1058" s="32"/>
      <c r="I1058" s="17"/>
      <c r="J1058" s="32"/>
    </row>
    <row r="1059" spans="2:10" ht="12.75">
      <c r="B1059" s="17"/>
      <c r="C1059" s="17"/>
      <c r="D1059" s="47"/>
      <c r="E1059" s="32"/>
      <c r="F1059" s="32"/>
      <c r="H1059" s="32"/>
      <c r="I1059" s="17"/>
      <c r="J1059" s="32"/>
    </row>
    <row r="1060" spans="2:10" ht="12.75">
      <c r="B1060" s="17"/>
      <c r="C1060" s="17"/>
      <c r="D1060" s="47"/>
      <c r="E1060" s="32"/>
      <c r="F1060" s="32"/>
      <c r="H1060" s="32"/>
      <c r="I1060" s="17"/>
      <c r="J1060" s="32"/>
    </row>
    <row r="1061" spans="2:10" ht="12.75">
      <c r="B1061" s="17"/>
      <c r="C1061" s="17"/>
      <c r="D1061" s="47"/>
      <c r="E1061" s="32"/>
      <c r="F1061" s="32"/>
      <c r="H1061" s="32"/>
      <c r="I1061" s="17"/>
      <c r="J1061" s="32"/>
    </row>
    <row r="1062" spans="2:10" ht="12.75">
      <c r="B1062" s="17"/>
      <c r="C1062" s="17"/>
      <c r="D1062" s="47"/>
      <c r="E1062" s="32"/>
      <c r="F1062" s="32"/>
      <c r="H1062" s="32"/>
      <c r="I1062" s="17"/>
      <c r="J1062" s="32"/>
    </row>
    <row r="1063" spans="2:10" ht="12.75">
      <c r="B1063" s="17"/>
      <c r="C1063" s="17"/>
      <c r="D1063" s="47"/>
      <c r="E1063" s="32"/>
      <c r="F1063" s="32"/>
      <c r="H1063" s="32"/>
      <c r="I1063" s="17"/>
      <c r="J1063" s="32"/>
    </row>
    <row r="1064" spans="2:10" ht="12.75">
      <c r="B1064" s="17"/>
      <c r="C1064" s="17"/>
      <c r="D1064" s="47"/>
      <c r="E1064" s="32"/>
      <c r="F1064" s="32"/>
      <c r="H1064" s="32"/>
      <c r="I1064" s="17"/>
      <c r="J1064" s="32"/>
    </row>
    <row r="1065" spans="2:10" ht="12.75">
      <c r="B1065" s="17"/>
      <c r="C1065" s="17"/>
      <c r="D1065" s="47"/>
      <c r="E1065" s="32"/>
      <c r="F1065" s="32"/>
      <c r="H1065" s="32"/>
      <c r="I1065" s="17"/>
      <c r="J1065" s="32"/>
    </row>
    <row r="1066" spans="2:10" ht="12.75">
      <c r="B1066" s="17"/>
      <c r="C1066" s="17"/>
      <c r="D1066" s="47"/>
      <c r="E1066" s="32"/>
      <c r="F1066" s="32"/>
      <c r="H1066" s="32"/>
      <c r="I1066" s="17"/>
      <c r="J1066" s="32"/>
    </row>
    <row r="1067" spans="2:10" ht="12.75">
      <c r="B1067" s="17"/>
      <c r="C1067" s="17"/>
      <c r="D1067" s="47"/>
      <c r="E1067" s="32"/>
      <c r="F1067" s="32"/>
      <c r="H1067" s="32"/>
      <c r="I1067" s="17"/>
      <c r="J1067" s="32"/>
    </row>
    <row r="1068" spans="2:10" ht="12.75">
      <c r="B1068" s="17"/>
      <c r="C1068" s="17"/>
      <c r="D1068" s="47"/>
      <c r="E1068" s="32"/>
      <c r="F1068" s="32"/>
      <c r="H1068" s="32"/>
      <c r="I1068" s="17"/>
      <c r="J1068" s="32"/>
    </row>
    <row r="1069" spans="2:10" ht="12.75">
      <c r="B1069" s="17"/>
      <c r="C1069" s="17"/>
      <c r="D1069" s="47"/>
      <c r="E1069" s="32"/>
      <c r="F1069" s="32"/>
      <c r="H1069" s="32"/>
      <c r="I1069" s="17"/>
      <c r="J1069" s="32"/>
    </row>
    <row r="1070" spans="2:10" ht="12.75">
      <c r="B1070" s="17"/>
      <c r="C1070" s="17"/>
      <c r="D1070" s="47"/>
      <c r="E1070" s="32"/>
      <c r="F1070" s="32"/>
      <c r="H1070" s="32"/>
      <c r="I1070" s="17"/>
      <c r="J1070" s="32"/>
    </row>
    <row r="1071" spans="2:10" ht="12.75">
      <c r="B1071" s="17"/>
      <c r="C1071" s="17"/>
      <c r="D1071" s="47"/>
      <c r="E1071" s="32"/>
      <c r="F1071" s="32"/>
      <c r="H1071" s="32"/>
      <c r="I1071" s="17"/>
      <c r="J1071" s="32"/>
    </row>
    <row r="1072" spans="2:10" ht="12.75">
      <c r="B1072" s="17"/>
      <c r="C1072" s="17"/>
      <c r="D1072" s="47"/>
      <c r="E1072" s="32"/>
      <c r="F1072" s="32"/>
      <c r="H1072" s="32"/>
      <c r="I1072" s="17"/>
      <c r="J1072" s="32"/>
    </row>
    <row r="1073" spans="2:10" ht="12.75">
      <c r="B1073" s="17"/>
      <c r="C1073" s="17"/>
      <c r="D1073" s="47"/>
      <c r="E1073" s="32"/>
      <c r="F1073" s="32"/>
      <c r="H1073" s="32"/>
      <c r="I1073" s="17"/>
      <c r="J1073" s="32"/>
    </row>
    <row r="1074" spans="2:10" ht="12.75">
      <c r="B1074" s="17"/>
      <c r="C1074" s="17"/>
      <c r="D1074" s="47"/>
      <c r="E1074" s="32"/>
      <c r="F1074" s="32"/>
      <c r="H1074" s="32"/>
      <c r="I1074" s="17"/>
      <c r="J1074" s="32"/>
    </row>
    <row r="1075" spans="2:10" ht="12.75">
      <c r="B1075" s="17"/>
      <c r="C1075" s="17"/>
      <c r="D1075" s="47"/>
      <c r="E1075" s="32"/>
      <c r="F1075" s="32"/>
      <c r="H1075" s="32"/>
      <c r="I1075" s="17"/>
      <c r="J1075" s="32"/>
    </row>
    <row r="1076" spans="2:10" ht="12.75">
      <c r="B1076" s="17"/>
      <c r="C1076" s="17"/>
      <c r="D1076" s="47"/>
      <c r="E1076" s="32"/>
      <c r="F1076" s="32"/>
      <c r="H1076" s="32"/>
      <c r="I1076" s="17"/>
      <c r="J1076" s="32"/>
    </row>
    <row r="1077" spans="2:10" ht="12.75">
      <c r="B1077" s="17"/>
      <c r="C1077" s="17"/>
      <c r="D1077" s="47"/>
      <c r="E1077" s="32"/>
      <c r="F1077" s="32"/>
      <c r="H1077" s="32"/>
      <c r="I1077" s="17"/>
      <c r="J1077" s="32"/>
    </row>
    <row r="1078" spans="2:10" ht="12.75">
      <c r="B1078" s="17"/>
      <c r="C1078" s="17"/>
      <c r="D1078" s="47"/>
      <c r="E1078" s="32"/>
      <c r="F1078" s="32"/>
      <c r="H1078" s="32"/>
      <c r="I1078" s="17"/>
      <c r="J1078" s="32"/>
    </row>
    <row r="1079" spans="2:10" ht="12.75">
      <c r="B1079" s="17"/>
      <c r="C1079" s="17"/>
      <c r="D1079" s="47"/>
      <c r="E1079" s="32"/>
      <c r="F1079" s="32"/>
      <c r="H1079" s="32"/>
      <c r="I1079" s="17"/>
      <c r="J1079" s="32"/>
    </row>
    <row r="1080" spans="2:10" ht="12.75">
      <c r="B1080" s="17"/>
      <c r="C1080" s="17"/>
      <c r="D1080" s="47"/>
      <c r="E1080" s="32"/>
      <c r="F1080" s="32"/>
      <c r="H1080" s="32"/>
      <c r="I1080" s="17"/>
      <c r="J1080" s="32"/>
    </row>
    <row r="1081" spans="2:10" ht="12.75">
      <c r="B1081" s="17"/>
      <c r="C1081" s="17"/>
      <c r="D1081" s="47"/>
      <c r="E1081" s="32"/>
      <c r="F1081" s="32"/>
      <c r="H1081" s="32"/>
      <c r="I1081" s="17"/>
      <c r="J1081" s="32"/>
    </row>
    <row r="1082" spans="2:10" ht="12.75">
      <c r="B1082" s="17"/>
      <c r="C1082" s="17"/>
      <c r="D1082" s="47"/>
      <c r="E1082" s="32"/>
      <c r="F1082" s="32"/>
      <c r="H1082" s="32"/>
      <c r="I1082" s="17"/>
      <c r="J1082" s="32"/>
    </row>
    <row r="1083" spans="2:10" ht="12.75">
      <c r="B1083" s="17"/>
      <c r="C1083" s="17"/>
      <c r="D1083" s="47"/>
      <c r="E1083" s="32"/>
      <c r="F1083" s="32"/>
      <c r="H1083" s="32"/>
      <c r="I1083" s="17"/>
      <c r="J1083" s="32"/>
    </row>
    <row r="1084" spans="2:10" ht="12.75">
      <c r="B1084" s="17"/>
      <c r="C1084" s="17"/>
      <c r="D1084" s="47"/>
      <c r="E1084" s="32"/>
      <c r="F1084" s="32"/>
      <c r="H1084" s="32"/>
      <c r="I1084" s="17"/>
      <c r="J1084" s="32"/>
    </row>
    <row r="1085" spans="2:10" ht="12.75">
      <c r="B1085" s="17"/>
      <c r="C1085" s="17"/>
      <c r="D1085" s="47"/>
      <c r="E1085" s="32"/>
      <c r="F1085" s="32"/>
      <c r="H1085" s="32"/>
      <c r="I1085" s="17"/>
      <c r="J1085" s="32"/>
    </row>
    <row r="1086" spans="2:10" ht="12.75">
      <c r="B1086" s="17"/>
      <c r="C1086" s="17"/>
      <c r="D1086" s="47"/>
      <c r="E1086" s="32"/>
      <c r="F1086" s="32"/>
      <c r="H1086" s="32"/>
      <c r="I1086" s="17"/>
      <c r="J1086" s="32"/>
    </row>
    <row r="1087" spans="2:10" ht="12.75">
      <c r="B1087" s="17"/>
      <c r="C1087" s="17"/>
      <c r="D1087" s="47"/>
      <c r="E1087" s="32"/>
      <c r="F1087" s="32"/>
      <c r="H1087" s="32"/>
      <c r="I1087" s="17"/>
      <c r="J1087" s="32"/>
    </row>
    <row r="1088" spans="2:10" ht="12.75">
      <c r="B1088" s="17"/>
      <c r="C1088" s="17"/>
      <c r="D1088" s="47"/>
      <c r="E1088" s="32"/>
      <c r="F1088" s="32"/>
      <c r="H1088" s="32"/>
      <c r="I1088" s="17"/>
      <c r="J1088" s="32"/>
    </row>
    <row r="1089" spans="2:10" ht="12.75">
      <c r="B1089" s="17"/>
      <c r="C1089" s="17"/>
      <c r="D1089" s="47"/>
      <c r="E1089" s="32"/>
      <c r="F1089" s="32"/>
      <c r="H1089" s="32"/>
      <c r="I1089" s="17"/>
      <c r="J1089" s="32"/>
    </row>
    <row r="1090" spans="2:10" ht="12.75">
      <c r="B1090" s="17"/>
      <c r="C1090" s="17"/>
      <c r="D1090" s="47"/>
      <c r="E1090" s="32"/>
      <c r="F1090" s="32"/>
      <c r="H1090" s="32"/>
      <c r="I1090" s="17"/>
      <c r="J1090" s="32"/>
    </row>
    <row r="1091" spans="2:10" ht="12.75">
      <c r="B1091" s="17"/>
      <c r="C1091" s="17"/>
      <c r="D1091" s="47"/>
      <c r="E1091" s="32"/>
      <c r="F1091" s="32"/>
      <c r="H1091" s="32"/>
      <c r="I1091" s="17"/>
      <c r="J1091" s="32"/>
    </row>
    <row r="1092" spans="2:10" ht="12.75">
      <c r="B1092" s="17"/>
      <c r="C1092" s="17"/>
      <c r="D1092" s="47"/>
      <c r="E1092" s="32"/>
      <c r="F1092" s="32"/>
      <c r="H1092" s="32"/>
      <c r="I1092" s="17"/>
      <c r="J1092" s="32"/>
    </row>
    <row r="1093" spans="2:10" ht="12.75">
      <c r="B1093" s="17"/>
      <c r="C1093" s="17"/>
      <c r="D1093" s="47"/>
      <c r="E1093" s="32"/>
      <c r="F1093" s="32"/>
      <c r="H1093" s="32"/>
      <c r="I1093" s="17"/>
      <c r="J1093" s="32"/>
    </row>
    <row r="1094" spans="2:10" ht="12.75">
      <c r="B1094" s="17"/>
      <c r="C1094" s="17"/>
      <c r="D1094" s="47"/>
      <c r="E1094" s="32"/>
      <c r="F1094" s="32"/>
      <c r="H1094" s="32"/>
      <c r="I1094" s="17"/>
      <c r="J1094" s="32"/>
    </row>
    <row r="1095" spans="2:10" ht="12.75">
      <c r="B1095" s="17"/>
      <c r="C1095" s="17"/>
      <c r="D1095" s="47"/>
      <c r="E1095" s="32"/>
      <c r="F1095" s="32"/>
      <c r="H1095" s="32"/>
      <c r="I1095" s="17"/>
      <c r="J1095" s="32"/>
    </row>
    <row r="1096" spans="2:10" ht="12.75">
      <c r="B1096" s="17"/>
      <c r="C1096" s="17"/>
      <c r="D1096" s="47"/>
      <c r="E1096" s="32"/>
      <c r="F1096" s="32"/>
      <c r="H1096" s="32"/>
      <c r="I1096" s="17"/>
      <c r="J1096" s="32"/>
    </row>
    <row r="1097" spans="2:10" ht="12.75">
      <c r="B1097" s="17"/>
      <c r="C1097" s="17"/>
      <c r="D1097" s="47"/>
      <c r="E1097" s="32"/>
      <c r="F1097" s="32"/>
      <c r="H1097" s="32"/>
      <c r="I1097" s="17"/>
      <c r="J1097" s="32"/>
    </row>
    <row r="1098" spans="2:10" ht="12.75">
      <c r="B1098" s="17"/>
      <c r="C1098" s="17"/>
      <c r="D1098" s="47"/>
      <c r="E1098" s="32"/>
      <c r="F1098" s="32"/>
      <c r="H1098" s="32"/>
      <c r="I1098" s="17"/>
      <c r="J1098" s="32"/>
    </row>
    <row r="1099" spans="2:10" ht="12.75">
      <c r="B1099" s="17"/>
      <c r="C1099" s="17"/>
      <c r="D1099" s="47"/>
      <c r="E1099" s="32"/>
      <c r="F1099" s="32"/>
      <c r="H1099" s="32"/>
      <c r="I1099" s="17"/>
      <c r="J1099" s="32"/>
    </row>
    <row r="1100" spans="2:10" ht="12.75">
      <c r="B1100" s="17"/>
      <c r="C1100" s="17"/>
      <c r="D1100" s="47"/>
      <c r="E1100" s="32"/>
      <c r="F1100" s="32"/>
      <c r="H1100" s="32"/>
      <c r="I1100" s="17"/>
      <c r="J1100" s="32"/>
    </row>
    <row r="1101" spans="2:10" ht="12.75">
      <c r="B1101" s="17"/>
      <c r="C1101" s="17"/>
      <c r="D1101" s="47"/>
      <c r="E1101" s="32"/>
      <c r="F1101" s="32"/>
      <c r="H1101" s="32"/>
      <c r="I1101" s="17"/>
      <c r="J1101" s="32"/>
    </row>
    <row r="1102" spans="2:10" ht="12.75">
      <c r="B1102" s="17"/>
      <c r="C1102" s="17"/>
      <c r="D1102" s="47"/>
      <c r="E1102" s="32"/>
      <c r="F1102" s="32"/>
      <c r="H1102" s="32"/>
      <c r="I1102" s="17"/>
      <c r="J1102" s="32"/>
    </row>
    <row r="1103" spans="2:10" ht="12.75">
      <c r="B1103" s="17"/>
      <c r="C1103" s="17"/>
      <c r="D1103" s="47"/>
      <c r="E1103" s="32"/>
      <c r="F1103" s="32"/>
      <c r="H1103" s="32"/>
      <c r="I1103" s="17"/>
      <c r="J1103" s="32"/>
    </row>
    <row r="1104" spans="2:10" ht="12.75">
      <c r="B1104" s="17"/>
      <c r="C1104" s="17"/>
      <c r="D1104" s="47"/>
      <c r="E1104" s="32"/>
      <c r="F1104" s="32"/>
      <c r="H1104" s="32"/>
      <c r="I1104" s="17"/>
      <c r="J1104" s="32"/>
    </row>
    <row r="1105" spans="2:10" ht="12.75">
      <c r="B1105" s="17"/>
      <c r="C1105" s="17"/>
      <c r="D1105" s="47"/>
      <c r="E1105" s="32"/>
      <c r="F1105" s="32"/>
      <c r="H1105" s="32"/>
      <c r="I1105" s="17"/>
      <c r="J1105" s="32"/>
    </row>
    <row r="1106" spans="2:10" ht="12.75">
      <c r="B1106" s="17"/>
      <c r="C1106" s="17"/>
      <c r="D1106" s="47"/>
      <c r="E1106" s="32"/>
      <c r="F1106" s="32"/>
      <c r="H1106" s="32"/>
      <c r="I1106" s="17"/>
      <c r="J1106" s="32"/>
    </row>
    <row r="1107" spans="2:10" ht="12.75">
      <c r="B1107" s="17"/>
      <c r="C1107" s="17"/>
      <c r="D1107" s="47"/>
      <c r="E1107" s="32"/>
      <c r="F1107" s="32"/>
      <c r="H1107" s="32"/>
      <c r="I1107" s="17"/>
      <c r="J1107" s="32"/>
    </row>
    <row r="1108" spans="2:10" ht="12.75">
      <c r="B1108" s="17"/>
      <c r="C1108" s="17"/>
      <c r="D1108" s="47"/>
      <c r="E1108" s="32"/>
      <c r="F1108" s="32"/>
      <c r="H1108" s="32"/>
      <c r="I1108" s="17"/>
      <c r="J1108" s="32"/>
    </row>
    <row r="1109" spans="2:10" ht="12.75">
      <c r="B1109" s="17"/>
      <c r="C1109" s="17"/>
      <c r="D1109" s="47"/>
      <c r="E1109" s="32"/>
      <c r="F1109" s="32"/>
      <c r="H1109" s="32"/>
      <c r="I1109" s="17"/>
      <c r="J1109" s="32"/>
    </row>
    <row r="1110" spans="2:10" ht="12.75">
      <c r="B1110" s="17"/>
      <c r="C1110" s="17"/>
      <c r="D1110" s="47"/>
      <c r="E1110" s="32"/>
      <c r="F1110" s="32"/>
      <c r="H1110" s="32"/>
      <c r="I1110" s="17"/>
      <c r="J1110" s="32"/>
    </row>
    <row r="1111" spans="2:10" ht="12.75">
      <c r="B1111" s="17"/>
      <c r="C1111" s="17"/>
      <c r="D1111" s="47"/>
      <c r="E1111" s="32"/>
      <c r="F1111" s="32"/>
      <c r="H1111" s="32"/>
      <c r="I1111" s="17"/>
      <c r="J1111" s="32"/>
    </row>
    <row r="1112" spans="2:10" ht="12.75">
      <c r="B1112" s="17"/>
      <c r="C1112" s="17"/>
      <c r="D1112" s="47"/>
      <c r="E1112" s="32"/>
      <c r="F1112" s="32"/>
      <c r="H1112" s="32"/>
      <c r="I1112" s="17"/>
      <c r="J1112" s="32"/>
    </row>
    <row r="1113" spans="2:10" ht="12.75">
      <c r="B1113" s="17"/>
      <c r="C1113" s="17"/>
      <c r="D1113" s="47"/>
      <c r="E1113" s="32"/>
      <c r="F1113" s="32"/>
      <c r="H1113" s="32"/>
      <c r="I1113" s="17"/>
      <c r="J1113" s="32"/>
    </row>
    <row r="1114" spans="2:10" ht="12.75">
      <c r="B1114" s="17"/>
      <c r="C1114" s="17"/>
      <c r="D1114" s="47"/>
      <c r="E1114" s="32"/>
      <c r="F1114" s="32"/>
      <c r="H1114" s="32"/>
      <c r="I1114" s="17"/>
      <c r="J1114" s="32"/>
    </row>
    <row r="1115" spans="2:10" ht="12.75">
      <c r="B1115" s="17"/>
      <c r="C1115" s="17"/>
      <c r="D1115" s="47"/>
      <c r="E1115" s="32"/>
      <c r="F1115" s="32"/>
      <c r="H1115" s="32"/>
      <c r="I1115" s="17"/>
      <c r="J1115" s="32"/>
    </row>
    <row r="1116" spans="2:10" ht="12.75">
      <c r="B1116" s="17"/>
      <c r="C1116" s="17"/>
      <c r="D1116" s="47"/>
      <c r="E1116" s="32"/>
      <c r="F1116" s="32"/>
      <c r="H1116" s="32"/>
      <c r="I1116" s="17"/>
      <c r="J1116" s="32"/>
    </row>
    <row r="1117" spans="2:10" ht="12.75">
      <c r="B1117" s="17"/>
      <c r="C1117" s="17"/>
      <c r="D1117" s="47"/>
      <c r="E1117" s="32"/>
      <c r="F1117" s="32"/>
      <c r="H1117" s="32"/>
      <c r="I1117" s="17"/>
      <c r="J1117" s="32"/>
    </row>
    <row r="1118" spans="2:10" ht="12.75">
      <c r="B1118" s="17"/>
      <c r="C1118" s="17"/>
      <c r="D1118" s="47"/>
      <c r="E1118" s="32"/>
      <c r="F1118" s="32"/>
      <c r="H1118" s="32"/>
      <c r="I1118" s="17"/>
      <c r="J1118" s="32"/>
    </row>
    <row r="1119" spans="2:10" ht="12.75">
      <c r="B1119" s="17"/>
      <c r="C1119" s="17"/>
      <c r="D1119" s="47"/>
      <c r="E1119" s="32"/>
      <c r="F1119" s="32"/>
      <c r="H1119" s="32"/>
      <c r="I1119" s="17"/>
      <c r="J1119" s="32"/>
    </row>
    <row r="1120" spans="2:10" ht="12.75">
      <c r="B1120" s="17"/>
      <c r="C1120" s="17"/>
      <c r="D1120" s="47"/>
      <c r="E1120" s="32"/>
      <c r="F1120" s="32"/>
      <c r="H1120" s="32"/>
      <c r="I1120" s="17"/>
      <c r="J1120" s="32"/>
    </row>
    <row r="1121" spans="2:10" ht="12.75">
      <c r="B1121" s="17"/>
      <c r="C1121" s="17"/>
      <c r="D1121" s="47"/>
      <c r="E1121" s="32"/>
      <c r="F1121" s="32"/>
      <c r="H1121" s="32"/>
      <c r="I1121" s="17"/>
      <c r="J1121" s="32"/>
    </row>
    <row r="1122" spans="2:10" ht="12.75">
      <c r="B1122" s="17"/>
      <c r="C1122" s="17"/>
      <c r="D1122" s="47"/>
      <c r="E1122" s="32"/>
      <c r="F1122" s="32"/>
      <c r="H1122" s="32"/>
      <c r="I1122" s="17"/>
      <c r="J1122" s="32"/>
    </row>
    <row r="1123" spans="2:10" ht="12.75">
      <c r="B1123" s="17"/>
      <c r="C1123" s="17"/>
      <c r="D1123" s="47"/>
      <c r="E1123" s="32"/>
      <c r="F1123" s="32"/>
      <c r="H1123" s="32"/>
      <c r="I1123" s="17"/>
      <c r="J1123" s="32"/>
    </row>
    <row r="1124" spans="2:10" ht="12.75">
      <c r="B1124" s="17"/>
      <c r="C1124" s="17"/>
      <c r="D1124" s="47"/>
      <c r="E1124" s="32"/>
      <c r="F1124" s="32"/>
      <c r="H1124" s="32"/>
      <c r="I1124" s="17"/>
      <c r="J1124" s="32"/>
    </row>
    <row r="1125" spans="2:10" ht="12.75">
      <c r="B1125" s="17"/>
      <c r="C1125" s="17"/>
      <c r="D1125" s="47"/>
      <c r="E1125" s="32"/>
      <c r="F1125" s="32"/>
      <c r="H1125" s="32"/>
      <c r="I1125" s="17"/>
      <c r="J1125" s="32"/>
    </row>
    <row r="1126" spans="2:10" ht="12.75">
      <c r="B1126" s="17"/>
      <c r="C1126" s="17"/>
      <c r="D1126" s="47"/>
      <c r="E1126" s="32"/>
      <c r="F1126" s="32"/>
      <c r="H1126" s="32"/>
      <c r="I1126" s="17"/>
      <c r="J1126" s="32"/>
    </row>
    <row r="1127" spans="2:10" ht="12.75">
      <c r="B1127" s="17"/>
      <c r="C1127" s="17"/>
      <c r="D1127" s="47"/>
      <c r="E1127" s="32"/>
      <c r="F1127" s="32"/>
      <c r="H1127" s="32"/>
      <c r="I1127" s="17"/>
      <c r="J1127" s="32"/>
    </row>
    <row r="1128" spans="2:10" ht="12.75">
      <c r="B1128" s="17"/>
      <c r="C1128" s="17"/>
      <c r="D1128" s="47"/>
      <c r="E1128" s="32"/>
      <c r="F1128" s="32"/>
      <c r="H1128" s="32"/>
      <c r="I1128" s="17"/>
      <c r="J1128" s="32"/>
    </row>
    <row r="1129" spans="2:10" ht="12.75">
      <c r="B1129" s="17"/>
      <c r="C1129" s="17"/>
      <c r="D1129" s="47"/>
      <c r="E1129" s="32"/>
      <c r="F1129" s="32"/>
      <c r="H1129" s="32"/>
      <c r="I1129" s="17"/>
      <c r="J1129" s="32"/>
    </row>
    <row r="1130" spans="2:10" ht="12.75">
      <c r="B1130" s="17"/>
      <c r="C1130" s="17"/>
      <c r="D1130" s="47"/>
      <c r="E1130" s="32"/>
      <c r="F1130" s="32"/>
      <c r="H1130" s="32"/>
      <c r="I1130" s="17"/>
      <c r="J1130" s="32"/>
    </row>
    <row r="1131" spans="2:10" ht="12.75">
      <c r="B1131" s="17"/>
      <c r="C1131" s="17"/>
      <c r="D1131" s="47"/>
      <c r="E1131" s="32"/>
      <c r="F1131" s="32"/>
      <c r="H1131" s="32"/>
      <c r="I1131" s="17"/>
      <c r="J1131" s="32"/>
    </row>
    <row r="1132" spans="2:10" ht="12.75">
      <c r="B1132" s="17"/>
      <c r="C1132" s="17"/>
      <c r="D1132" s="47"/>
      <c r="E1132" s="32"/>
      <c r="F1132" s="32"/>
      <c r="H1132" s="32"/>
      <c r="I1132" s="17"/>
      <c r="J1132" s="32"/>
    </row>
    <row r="1133" spans="2:10" ht="12.75">
      <c r="B1133" s="17"/>
      <c r="C1133" s="17"/>
      <c r="D1133" s="47"/>
      <c r="E1133" s="32"/>
      <c r="F1133" s="32"/>
      <c r="H1133" s="32"/>
      <c r="I1133" s="17"/>
      <c r="J1133" s="32"/>
    </row>
    <row r="1134" spans="2:10" ht="12.75">
      <c r="B1134" s="17"/>
      <c r="C1134" s="17"/>
      <c r="D1134" s="47"/>
      <c r="E1134" s="32"/>
      <c r="F1134" s="32"/>
      <c r="H1134" s="32"/>
      <c r="I1134" s="17"/>
      <c r="J1134" s="32"/>
    </row>
    <row r="1135" spans="2:10" ht="12.75">
      <c r="B1135" s="17"/>
      <c r="C1135" s="17"/>
      <c r="D1135" s="47"/>
      <c r="E1135" s="32"/>
      <c r="F1135" s="32"/>
      <c r="H1135" s="32"/>
      <c r="I1135" s="17"/>
      <c r="J1135" s="32"/>
    </row>
    <row r="1136" spans="2:10" ht="12.75">
      <c r="B1136" s="17"/>
      <c r="C1136" s="17"/>
      <c r="D1136" s="47"/>
      <c r="E1136" s="32"/>
      <c r="F1136" s="32"/>
      <c r="H1136" s="32"/>
      <c r="I1136" s="17"/>
      <c r="J1136" s="32"/>
    </row>
    <row r="1137" spans="2:10" ht="12.75">
      <c r="B1137" s="17"/>
      <c r="C1137" s="17"/>
      <c r="D1137" s="47"/>
      <c r="E1137" s="32"/>
      <c r="F1137" s="32"/>
      <c r="H1137" s="32"/>
      <c r="I1137" s="17"/>
      <c r="J1137" s="32"/>
    </row>
    <row r="1138" spans="2:10" ht="12.75">
      <c r="B1138" s="17"/>
      <c r="C1138" s="17"/>
      <c r="D1138" s="47"/>
      <c r="E1138" s="32"/>
      <c r="F1138" s="32"/>
      <c r="H1138" s="32"/>
      <c r="I1138" s="17"/>
      <c r="J1138" s="32"/>
    </row>
    <row r="1139" spans="2:10" ht="12.75">
      <c r="B1139" s="17"/>
      <c r="C1139" s="17"/>
      <c r="D1139" s="47"/>
      <c r="E1139" s="32"/>
      <c r="F1139" s="32"/>
      <c r="H1139" s="32"/>
      <c r="I1139" s="17"/>
      <c r="J1139" s="32"/>
    </row>
    <row r="1140" spans="2:10" ht="12.75">
      <c r="B1140" s="17"/>
      <c r="C1140" s="17"/>
      <c r="D1140" s="47"/>
      <c r="E1140" s="32"/>
      <c r="F1140" s="32"/>
      <c r="H1140" s="32"/>
      <c r="I1140" s="17"/>
      <c r="J1140" s="32"/>
    </row>
    <row r="1141" spans="2:10" ht="12.75">
      <c r="B1141" s="17"/>
      <c r="C1141" s="17"/>
      <c r="D1141" s="47"/>
      <c r="E1141" s="32"/>
      <c r="F1141" s="32"/>
      <c r="H1141" s="32"/>
      <c r="I1141" s="17"/>
      <c r="J1141" s="32"/>
    </row>
    <row r="1142" spans="2:10" ht="12.75">
      <c r="B1142" s="17"/>
      <c r="C1142" s="17"/>
      <c r="D1142" s="47"/>
      <c r="E1142" s="32"/>
      <c r="F1142" s="32"/>
      <c r="H1142" s="32"/>
      <c r="I1142" s="17"/>
      <c r="J1142" s="32"/>
    </row>
    <row r="1143" spans="2:10" ht="12.75">
      <c r="B1143" s="17"/>
      <c r="C1143" s="17"/>
      <c r="D1143" s="47"/>
      <c r="E1143" s="32"/>
      <c r="F1143" s="32"/>
      <c r="H1143" s="32"/>
      <c r="I1143" s="17"/>
      <c r="J1143" s="32"/>
    </row>
    <row r="1144" spans="2:10" ht="12.75">
      <c r="B1144" s="17"/>
      <c r="C1144" s="17"/>
      <c r="D1144" s="47"/>
      <c r="E1144" s="32"/>
      <c r="F1144" s="32"/>
      <c r="H1144" s="32"/>
      <c r="I1144" s="17"/>
      <c r="J1144" s="32"/>
    </row>
    <row r="1145" spans="2:10" ht="12.75">
      <c r="B1145" s="17"/>
      <c r="C1145" s="17"/>
      <c r="D1145" s="47"/>
      <c r="E1145" s="32"/>
      <c r="F1145" s="32"/>
      <c r="H1145" s="32"/>
      <c r="I1145" s="17"/>
      <c r="J1145" s="32"/>
    </row>
    <row r="1146" spans="2:10" ht="12.75">
      <c r="B1146" s="17"/>
      <c r="C1146" s="17"/>
      <c r="D1146" s="47"/>
      <c r="E1146" s="32"/>
      <c r="F1146" s="32"/>
      <c r="H1146" s="32"/>
      <c r="I1146" s="17"/>
      <c r="J1146" s="32"/>
    </row>
    <row r="1147" spans="2:10" ht="12.75">
      <c r="B1147" s="17"/>
      <c r="C1147" s="17"/>
      <c r="D1147" s="47"/>
      <c r="E1147" s="32"/>
      <c r="F1147" s="32"/>
      <c r="H1147" s="32"/>
      <c r="I1147" s="17"/>
      <c r="J1147" s="32"/>
    </row>
    <row r="1148" spans="2:10" ht="12.75">
      <c r="B1148" s="17"/>
      <c r="C1148" s="17"/>
      <c r="D1148" s="47"/>
      <c r="E1148" s="32"/>
      <c r="F1148" s="32"/>
      <c r="H1148" s="32"/>
      <c r="I1148" s="17"/>
      <c r="J1148" s="32"/>
    </row>
    <row r="1149" spans="2:10" ht="12.75">
      <c r="B1149" s="17"/>
      <c r="C1149" s="17"/>
      <c r="D1149" s="47"/>
      <c r="E1149" s="32"/>
      <c r="F1149" s="32"/>
      <c r="H1149" s="32"/>
      <c r="I1149" s="17"/>
      <c r="J1149" s="32"/>
    </row>
    <row r="1150" spans="2:10" ht="12.75">
      <c r="B1150" s="17"/>
      <c r="C1150" s="17"/>
      <c r="D1150" s="47"/>
      <c r="E1150" s="32"/>
      <c r="F1150" s="32"/>
      <c r="H1150" s="32"/>
      <c r="I1150" s="17"/>
      <c r="J1150" s="32"/>
    </row>
    <row r="1151" spans="2:10" ht="12.75">
      <c r="B1151" s="17"/>
      <c r="C1151" s="17"/>
      <c r="D1151" s="47"/>
      <c r="E1151" s="32"/>
      <c r="F1151" s="32"/>
      <c r="H1151" s="32"/>
      <c r="I1151" s="17"/>
      <c r="J1151" s="32"/>
    </row>
    <row r="1152" spans="2:10" ht="12.75">
      <c r="B1152" s="17"/>
      <c r="C1152" s="17"/>
      <c r="D1152" s="47"/>
      <c r="E1152" s="32"/>
      <c r="F1152" s="32"/>
      <c r="H1152" s="32"/>
      <c r="I1152" s="17"/>
      <c r="J1152" s="32"/>
    </row>
    <row r="1153" spans="2:10" ht="12.75">
      <c r="B1153" s="17"/>
      <c r="C1153" s="17"/>
      <c r="D1153" s="47"/>
      <c r="E1153" s="32"/>
      <c r="F1153" s="32"/>
      <c r="H1153" s="32"/>
      <c r="I1153" s="17"/>
      <c r="J1153" s="32"/>
    </row>
    <row r="1154" spans="2:10" ht="12.75">
      <c r="B1154" s="17"/>
      <c r="C1154" s="17"/>
      <c r="D1154" s="47"/>
      <c r="E1154" s="32"/>
      <c r="F1154" s="32"/>
      <c r="H1154" s="32"/>
      <c r="I1154" s="17"/>
      <c r="J1154" s="32"/>
    </row>
    <row r="1155" spans="2:10" ht="12.75">
      <c r="B1155" s="17"/>
      <c r="C1155" s="17"/>
      <c r="D1155" s="47"/>
      <c r="E1155" s="32"/>
      <c r="F1155" s="32"/>
      <c r="H1155" s="32"/>
      <c r="I1155" s="17"/>
      <c r="J1155" s="32"/>
    </row>
    <row r="1156" spans="2:10" ht="12.75">
      <c r="B1156" s="17"/>
      <c r="C1156" s="17"/>
      <c r="D1156" s="47"/>
      <c r="E1156" s="32"/>
      <c r="F1156" s="32"/>
      <c r="H1156" s="32"/>
      <c r="I1156" s="17"/>
      <c r="J1156" s="32"/>
    </row>
    <row r="1157" spans="2:10" ht="12.75">
      <c r="B1157" s="17"/>
      <c r="C1157" s="17"/>
      <c r="D1157" s="47"/>
      <c r="E1157" s="32"/>
      <c r="F1157" s="32"/>
      <c r="H1157" s="32"/>
      <c r="I1157" s="17"/>
      <c r="J1157" s="32"/>
    </row>
    <row r="1158" spans="2:10" ht="12.75">
      <c r="B1158" s="17"/>
      <c r="C1158" s="17"/>
      <c r="D1158" s="47"/>
      <c r="E1158" s="32"/>
      <c r="F1158" s="32"/>
      <c r="H1158" s="32"/>
      <c r="I1158" s="17"/>
      <c r="J1158" s="32"/>
    </row>
    <row r="1159" spans="2:10" ht="12.75">
      <c r="B1159" s="17"/>
      <c r="C1159" s="17"/>
      <c r="D1159" s="47"/>
      <c r="E1159" s="32"/>
      <c r="F1159" s="32"/>
      <c r="H1159" s="32"/>
      <c r="I1159" s="17"/>
      <c r="J1159" s="32"/>
    </row>
    <row r="1160" spans="2:10" ht="12.75">
      <c r="B1160" s="17"/>
      <c r="C1160" s="17"/>
      <c r="D1160" s="47"/>
      <c r="E1160" s="32"/>
      <c r="F1160" s="32"/>
      <c r="H1160" s="32"/>
      <c r="I1160" s="17"/>
      <c r="J1160" s="32"/>
    </row>
    <row r="1161" spans="2:10" ht="12.75">
      <c r="B1161" s="17"/>
      <c r="C1161" s="17"/>
      <c r="D1161" s="47"/>
      <c r="E1161" s="32"/>
      <c r="F1161" s="32"/>
      <c r="H1161" s="32"/>
      <c r="I1161" s="17"/>
      <c r="J1161" s="32"/>
    </row>
    <row r="1162" spans="2:10" ht="12.75">
      <c r="B1162" s="17"/>
      <c r="C1162" s="17"/>
      <c r="D1162" s="47"/>
      <c r="E1162" s="32"/>
      <c r="F1162" s="32"/>
      <c r="H1162" s="32"/>
      <c r="I1162" s="17"/>
      <c r="J1162" s="32"/>
    </row>
    <row r="1163" spans="2:10" ht="12.75">
      <c r="B1163" s="17"/>
      <c r="C1163" s="17"/>
      <c r="D1163" s="47"/>
      <c r="E1163" s="32"/>
      <c r="F1163" s="32"/>
      <c r="H1163" s="32"/>
      <c r="I1163" s="17"/>
      <c r="J1163" s="32"/>
    </row>
    <row r="1164" spans="2:10" ht="12.75">
      <c r="B1164" s="17"/>
      <c r="C1164" s="17"/>
      <c r="D1164" s="47"/>
      <c r="E1164" s="32"/>
      <c r="F1164" s="32"/>
      <c r="H1164" s="32"/>
      <c r="I1164" s="17"/>
      <c r="J1164" s="32"/>
    </row>
    <row r="1165" spans="2:10" ht="12.75">
      <c r="B1165" s="17"/>
      <c r="C1165" s="17"/>
      <c r="D1165" s="47"/>
      <c r="E1165" s="32"/>
      <c r="F1165" s="32"/>
      <c r="H1165" s="32"/>
      <c r="I1165" s="17"/>
      <c r="J1165" s="32"/>
    </row>
    <row r="1166" spans="2:10" ht="12.75">
      <c r="B1166" s="17"/>
      <c r="C1166" s="17"/>
      <c r="D1166" s="47"/>
      <c r="E1166" s="32"/>
      <c r="F1166" s="32"/>
      <c r="H1166" s="32"/>
      <c r="I1166" s="17"/>
      <c r="J1166" s="32"/>
    </row>
    <row r="1167" spans="2:10" ht="12.75">
      <c r="B1167" s="17"/>
      <c r="C1167" s="17"/>
      <c r="D1167" s="47"/>
      <c r="E1167" s="32"/>
      <c r="F1167" s="32"/>
      <c r="H1167" s="32"/>
      <c r="I1167" s="17"/>
      <c r="J1167" s="32"/>
    </row>
    <row r="1168" spans="2:10" ht="12.75">
      <c r="B1168" s="17"/>
      <c r="C1168" s="17"/>
      <c r="D1168" s="47"/>
      <c r="E1168" s="32"/>
      <c r="F1168" s="32"/>
      <c r="H1168" s="32"/>
      <c r="I1168" s="17"/>
      <c r="J1168" s="32"/>
    </row>
    <row r="1169" spans="2:10" ht="12.75">
      <c r="B1169" s="17"/>
      <c r="C1169" s="17"/>
      <c r="D1169" s="47"/>
      <c r="E1169" s="32"/>
      <c r="F1169" s="32"/>
      <c r="H1169" s="32"/>
      <c r="I1169" s="17"/>
      <c r="J1169" s="32"/>
    </row>
    <row r="1170" spans="2:10" ht="12.75">
      <c r="B1170" s="17"/>
      <c r="C1170" s="17"/>
      <c r="D1170" s="47"/>
      <c r="E1170" s="32"/>
      <c r="F1170" s="32"/>
      <c r="H1170" s="32"/>
      <c r="I1170" s="17"/>
      <c r="J1170" s="32"/>
    </row>
    <row r="1171" spans="2:10" ht="12.75">
      <c r="B1171" s="17"/>
      <c r="C1171" s="17"/>
      <c r="D1171" s="47"/>
      <c r="E1171" s="32"/>
      <c r="F1171" s="32"/>
      <c r="H1171" s="32"/>
      <c r="I1171" s="17"/>
      <c r="J1171" s="32"/>
    </row>
    <row r="1172" spans="2:10" ht="12.75">
      <c r="B1172" s="17"/>
      <c r="C1172" s="17"/>
      <c r="D1172" s="47"/>
      <c r="E1172" s="32"/>
      <c r="F1172" s="32"/>
      <c r="H1172" s="32"/>
      <c r="I1172" s="17"/>
      <c r="J1172" s="32"/>
    </row>
    <row r="1173" spans="2:10" ht="12.75">
      <c r="B1173" s="17"/>
      <c r="C1173" s="17"/>
      <c r="D1173" s="47"/>
      <c r="E1173" s="32"/>
      <c r="F1173" s="32"/>
      <c r="H1173" s="32"/>
      <c r="I1173" s="17"/>
      <c r="J1173" s="32"/>
    </row>
    <row r="1174" spans="2:10" ht="12.75">
      <c r="B1174" s="17"/>
      <c r="C1174" s="17"/>
      <c r="D1174" s="47"/>
      <c r="E1174" s="32"/>
      <c r="F1174" s="32"/>
      <c r="H1174" s="32"/>
      <c r="I1174" s="17"/>
      <c r="J1174" s="32"/>
    </row>
    <row r="1175" spans="2:10" ht="12.75">
      <c r="B1175" s="17"/>
      <c r="C1175" s="17"/>
      <c r="D1175" s="47"/>
      <c r="E1175" s="32"/>
      <c r="F1175" s="32"/>
      <c r="H1175" s="32"/>
      <c r="I1175" s="17"/>
      <c r="J1175" s="32"/>
    </row>
    <row r="1176" spans="2:10" ht="12.75">
      <c r="B1176" s="17"/>
      <c r="C1176" s="17"/>
      <c r="D1176" s="47"/>
      <c r="E1176" s="32"/>
      <c r="F1176" s="32"/>
      <c r="H1176" s="32"/>
      <c r="I1176" s="17"/>
      <c r="J1176" s="32"/>
    </row>
    <row r="1177" spans="2:10" ht="12.75">
      <c r="B1177" s="17"/>
      <c r="C1177" s="17"/>
      <c r="D1177" s="47"/>
      <c r="E1177" s="32"/>
      <c r="F1177" s="32"/>
      <c r="H1177" s="32"/>
      <c r="I1177" s="17"/>
      <c r="J1177" s="32"/>
    </row>
    <row r="1178" spans="2:10" ht="12.75">
      <c r="B1178" s="17"/>
      <c r="C1178" s="17"/>
      <c r="D1178" s="47"/>
      <c r="E1178" s="32"/>
      <c r="F1178" s="32"/>
      <c r="H1178" s="32"/>
      <c r="I1178" s="17"/>
      <c r="J1178" s="32"/>
    </row>
    <row r="1179" spans="2:10" ht="12.75">
      <c r="B1179" s="17"/>
      <c r="C1179" s="17"/>
      <c r="D1179" s="47"/>
      <c r="E1179" s="32"/>
      <c r="F1179" s="32"/>
      <c r="H1179" s="32"/>
      <c r="I1179" s="17"/>
      <c r="J1179" s="32"/>
    </row>
    <row r="1180" spans="2:10" ht="12.75">
      <c r="B1180" s="17"/>
      <c r="C1180" s="17"/>
      <c r="D1180" s="47"/>
      <c r="E1180" s="32"/>
      <c r="F1180" s="32"/>
      <c r="H1180" s="32"/>
      <c r="I1180" s="17"/>
      <c r="J1180" s="32"/>
    </row>
    <row r="1181" spans="2:10" ht="12.75">
      <c r="B1181" s="17"/>
      <c r="C1181" s="17"/>
      <c r="D1181" s="47"/>
      <c r="E1181" s="32"/>
      <c r="F1181" s="32"/>
      <c r="H1181" s="32"/>
      <c r="I1181" s="17"/>
      <c r="J1181" s="32"/>
    </row>
    <row r="1182" spans="2:10" ht="12.75">
      <c r="B1182" s="17"/>
      <c r="C1182" s="17"/>
      <c r="D1182" s="47"/>
      <c r="E1182" s="32"/>
      <c r="F1182" s="32"/>
      <c r="H1182" s="32"/>
      <c r="I1182" s="17"/>
      <c r="J1182" s="32"/>
    </row>
    <row r="1183" spans="2:10" ht="12.75">
      <c r="B1183" s="17"/>
      <c r="C1183" s="17"/>
      <c r="D1183" s="47"/>
      <c r="E1183" s="32"/>
      <c r="F1183" s="32"/>
      <c r="H1183" s="32"/>
      <c r="I1183" s="17"/>
      <c r="J1183" s="32"/>
    </row>
    <row r="1184" spans="2:10" ht="12.75">
      <c r="B1184" s="17"/>
      <c r="C1184" s="17"/>
      <c r="D1184" s="47"/>
      <c r="E1184" s="32"/>
      <c r="F1184" s="32"/>
      <c r="H1184" s="32"/>
      <c r="I1184" s="17"/>
      <c r="J1184" s="32"/>
    </row>
    <row r="1185" spans="2:10" ht="12.75">
      <c r="B1185" s="17"/>
      <c r="C1185" s="17"/>
      <c r="D1185" s="47"/>
      <c r="E1185" s="32"/>
      <c r="F1185" s="32"/>
      <c r="H1185" s="32"/>
      <c r="I1185" s="17"/>
      <c r="J1185" s="32"/>
    </row>
    <row r="1186" spans="2:10" ht="12.75">
      <c r="B1186" s="17"/>
      <c r="C1186" s="17"/>
      <c r="D1186" s="47"/>
      <c r="E1186" s="32"/>
      <c r="F1186" s="32"/>
      <c r="H1186" s="32"/>
      <c r="I1186" s="17"/>
      <c r="J1186" s="32"/>
    </row>
    <row r="1187" spans="2:10" ht="12.75">
      <c r="B1187" s="17"/>
      <c r="C1187" s="17"/>
      <c r="D1187" s="47"/>
      <c r="E1187" s="32"/>
      <c r="F1187" s="32"/>
      <c r="H1187" s="32"/>
      <c r="I1187" s="17"/>
      <c r="J1187" s="32"/>
    </row>
    <row r="1188" spans="2:10" ht="12.75">
      <c r="B1188" s="17"/>
      <c r="C1188" s="17"/>
      <c r="D1188" s="47"/>
      <c r="E1188" s="32"/>
      <c r="F1188" s="32"/>
      <c r="H1188" s="32"/>
      <c r="I1188" s="17"/>
      <c r="J1188" s="32"/>
    </row>
    <row r="1189" spans="2:10" ht="12.75">
      <c r="B1189" s="17"/>
      <c r="C1189" s="17"/>
      <c r="D1189" s="47"/>
      <c r="E1189" s="32"/>
      <c r="F1189" s="32"/>
      <c r="H1189" s="32"/>
      <c r="I1189" s="17"/>
      <c r="J1189" s="32"/>
    </row>
    <row r="1190" spans="2:10" ht="12.75">
      <c r="B1190" s="17"/>
      <c r="C1190" s="17"/>
      <c r="D1190" s="47"/>
      <c r="E1190" s="32"/>
      <c r="F1190" s="32"/>
      <c r="H1190" s="32"/>
      <c r="I1190" s="17"/>
      <c r="J1190" s="32"/>
    </row>
    <row r="1191" spans="2:10" ht="12.75">
      <c r="B1191" s="17"/>
      <c r="C1191" s="17"/>
      <c r="D1191" s="47"/>
      <c r="E1191" s="32"/>
      <c r="F1191" s="32"/>
      <c r="H1191" s="32"/>
      <c r="I1191" s="17"/>
      <c r="J1191" s="32"/>
    </row>
    <row r="1192" spans="2:10" ht="12.75">
      <c r="B1192" s="17"/>
      <c r="C1192" s="17"/>
      <c r="D1192" s="47"/>
      <c r="E1192" s="32"/>
      <c r="F1192" s="32"/>
      <c r="H1192" s="32"/>
      <c r="I1192" s="17"/>
      <c r="J1192" s="32"/>
    </row>
    <row r="1193" spans="2:10" ht="12.75">
      <c r="B1193" s="17"/>
      <c r="C1193" s="17"/>
      <c r="D1193" s="47"/>
      <c r="E1193" s="32"/>
      <c r="F1193" s="32"/>
      <c r="H1193" s="32"/>
      <c r="I1193" s="17"/>
      <c r="J1193" s="32"/>
    </row>
    <row r="1194" spans="2:10" ht="12.75">
      <c r="B1194" s="17"/>
      <c r="C1194" s="17"/>
      <c r="D1194" s="47"/>
      <c r="E1194" s="32"/>
      <c r="F1194" s="32"/>
      <c r="H1194" s="32"/>
      <c r="I1194" s="17"/>
      <c r="J1194" s="32"/>
    </row>
    <row r="1195" spans="2:10" ht="12.75">
      <c r="B1195" s="17"/>
      <c r="C1195" s="17"/>
      <c r="D1195" s="47"/>
      <c r="E1195" s="32"/>
      <c r="F1195" s="32"/>
      <c r="H1195" s="32"/>
      <c r="I1195" s="17"/>
      <c r="J1195" s="32"/>
    </row>
    <row r="1196" spans="2:10" ht="12.75">
      <c r="B1196" s="17"/>
      <c r="C1196" s="17"/>
      <c r="D1196" s="47"/>
      <c r="E1196" s="32"/>
      <c r="F1196" s="32"/>
      <c r="H1196" s="32"/>
      <c r="I1196" s="17"/>
      <c r="J1196" s="32"/>
    </row>
    <row r="1197" spans="2:10" ht="12.75">
      <c r="B1197" s="17"/>
      <c r="C1197" s="17"/>
      <c r="D1197" s="47"/>
      <c r="E1197" s="32"/>
      <c r="F1197" s="32"/>
      <c r="H1197" s="32"/>
      <c r="I1197" s="17"/>
      <c r="J1197" s="32"/>
    </row>
    <row r="1198" spans="2:10" ht="12.75">
      <c r="B1198" s="17"/>
      <c r="C1198" s="17"/>
      <c r="D1198" s="47"/>
      <c r="E1198" s="32"/>
      <c r="F1198" s="32"/>
      <c r="H1198" s="32"/>
      <c r="I1198" s="17"/>
      <c r="J1198" s="32"/>
    </row>
    <row r="1199" spans="2:10" ht="12.75">
      <c r="B1199" s="17"/>
      <c r="C1199" s="17"/>
      <c r="D1199" s="47"/>
      <c r="E1199" s="32"/>
      <c r="F1199" s="32"/>
      <c r="H1199" s="32"/>
      <c r="I1199" s="17"/>
      <c r="J1199" s="32"/>
    </row>
    <row r="1200" spans="2:10" ht="12.75">
      <c r="B1200" s="17"/>
      <c r="C1200" s="17"/>
      <c r="D1200" s="47"/>
      <c r="E1200" s="32"/>
      <c r="F1200" s="32"/>
      <c r="H1200" s="32"/>
      <c r="I1200" s="17"/>
      <c r="J1200" s="32"/>
    </row>
    <row r="1201" spans="2:10" ht="12.75">
      <c r="B1201" s="17"/>
      <c r="C1201" s="17"/>
      <c r="D1201" s="47"/>
      <c r="E1201" s="32"/>
      <c r="F1201" s="32"/>
      <c r="H1201" s="32"/>
      <c r="I1201" s="17"/>
      <c r="J1201" s="32"/>
    </row>
    <row r="1202" spans="2:10" ht="12.75">
      <c r="B1202" s="17"/>
      <c r="C1202" s="17"/>
      <c r="D1202" s="47"/>
      <c r="E1202" s="32"/>
      <c r="F1202" s="32"/>
      <c r="H1202" s="32"/>
      <c r="I1202" s="17"/>
      <c r="J1202" s="32"/>
    </row>
    <row r="1203" spans="2:10" ht="12.75">
      <c r="B1203" s="17"/>
      <c r="C1203" s="17"/>
      <c r="D1203" s="47"/>
      <c r="E1203" s="32"/>
      <c r="F1203" s="32"/>
      <c r="H1203" s="32"/>
      <c r="I1203" s="17"/>
      <c r="J1203" s="32"/>
    </row>
    <row r="1204" spans="2:10" ht="12.75">
      <c r="B1204" s="17"/>
      <c r="C1204" s="17"/>
      <c r="D1204" s="47"/>
      <c r="E1204" s="32"/>
      <c r="F1204" s="32"/>
      <c r="H1204" s="32"/>
      <c r="I1204" s="17"/>
      <c r="J1204" s="32"/>
    </row>
    <row r="1205" spans="2:10" ht="12.75">
      <c r="B1205" s="17"/>
      <c r="C1205" s="17"/>
      <c r="D1205" s="47"/>
      <c r="E1205" s="32"/>
      <c r="F1205" s="32"/>
      <c r="H1205" s="32"/>
      <c r="I1205" s="17"/>
      <c r="J1205" s="32"/>
    </row>
    <row r="1206" spans="2:10" ht="12.75">
      <c r="B1206" s="17"/>
      <c r="C1206" s="17"/>
      <c r="D1206" s="47"/>
      <c r="E1206" s="32"/>
      <c r="F1206" s="32"/>
      <c r="H1206" s="32"/>
      <c r="I1206" s="17"/>
      <c r="J1206" s="32"/>
    </row>
    <row r="1207" spans="2:10" ht="12.75">
      <c r="B1207" s="17"/>
      <c r="C1207" s="17"/>
      <c r="D1207" s="47"/>
      <c r="E1207" s="32"/>
      <c r="F1207" s="32"/>
      <c r="H1207" s="32"/>
      <c r="I1207" s="17"/>
      <c r="J1207" s="32"/>
    </row>
    <row r="1208" spans="2:10" ht="12.75">
      <c r="B1208" s="17"/>
      <c r="C1208" s="17"/>
      <c r="D1208" s="47"/>
      <c r="E1208" s="32"/>
      <c r="F1208" s="32"/>
      <c r="H1208" s="32"/>
      <c r="I1208" s="17"/>
      <c r="J1208" s="32"/>
    </row>
    <row r="1209" spans="2:10" ht="12.75">
      <c r="B1209" s="17"/>
      <c r="C1209" s="17"/>
      <c r="D1209" s="47"/>
      <c r="E1209" s="32"/>
      <c r="F1209" s="32"/>
      <c r="H1209" s="32"/>
      <c r="I1209" s="17"/>
      <c r="J1209" s="32"/>
    </row>
    <row r="1210" spans="2:10" ht="12.75">
      <c r="B1210" s="17"/>
      <c r="C1210" s="17"/>
      <c r="D1210" s="47"/>
      <c r="E1210" s="32"/>
      <c r="F1210" s="32"/>
      <c r="H1210" s="32"/>
      <c r="I1210" s="17"/>
      <c r="J1210" s="32"/>
    </row>
    <row r="1211" spans="2:10" ht="12.75">
      <c r="B1211" s="17"/>
      <c r="C1211" s="17"/>
      <c r="D1211" s="47"/>
      <c r="E1211" s="32"/>
      <c r="F1211" s="32"/>
      <c r="H1211" s="32"/>
      <c r="I1211" s="17"/>
      <c r="J1211" s="32"/>
    </row>
    <row r="1212" spans="2:10" ht="12.75">
      <c r="B1212" s="17"/>
      <c r="C1212" s="17"/>
      <c r="D1212" s="47"/>
      <c r="E1212" s="32"/>
      <c r="F1212" s="32"/>
      <c r="H1212" s="32"/>
      <c r="I1212" s="17"/>
      <c r="J1212" s="32"/>
    </row>
    <row r="1213" spans="2:10" ht="12.75">
      <c r="B1213" s="17"/>
      <c r="C1213" s="17"/>
      <c r="D1213" s="47"/>
      <c r="E1213" s="32"/>
      <c r="F1213" s="32"/>
      <c r="H1213" s="32"/>
      <c r="I1213" s="17"/>
      <c r="J1213" s="32"/>
    </row>
    <row r="1214" spans="2:10" ht="12.75">
      <c r="B1214" s="17"/>
      <c r="C1214" s="17"/>
      <c r="D1214" s="47"/>
      <c r="E1214" s="32"/>
      <c r="F1214" s="32"/>
      <c r="H1214" s="32"/>
      <c r="I1214" s="17"/>
      <c r="J1214" s="32"/>
    </row>
    <row r="1215" spans="2:10" ht="12.75">
      <c r="B1215" s="17"/>
      <c r="C1215" s="17"/>
      <c r="D1215" s="47"/>
      <c r="E1215" s="32"/>
      <c r="F1215" s="32"/>
      <c r="H1215" s="32"/>
      <c r="I1215" s="17"/>
      <c r="J1215" s="32"/>
    </row>
    <row r="1216" spans="2:10" ht="12.75">
      <c r="B1216" s="17"/>
      <c r="C1216" s="17"/>
      <c r="D1216" s="47"/>
      <c r="E1216" s="32"/>
      <c r="F1216" s="32"/>
      <c r="H1216" s="32"/>
      <c r="I1216" s="17"/>
      <c r="J1216" s="32"/>
    </row>
    <row r="1217" spans="2:10" ht="12.75">
      <c r="B1217" s="17"/>
      <c r="C1217" s="17"/>
      <c r="D1217" s="47"/>
      <c r="E1217" s="32"/>
      <c r="F1217" s="32"/>
      <c r="H1217" s="32"/>
      <c r="I1217" s="17"/>
      <c r="J1217" s="32"/>
    </row>
    <row r="1218" spans="2:10" ht="12.75">
      <c r="B1218" s="17"/>
      <c r="C1218" s="17"/>
      <c r="D1218" s="47"/>
      <c r="E1218" s="32"/>
      <c r="F1218" s="32"/>
      <c r="H1218" s="32"/>
      <c r="I1218" s="17"/>
      <c r="J1218" s="32"/>
    </row>
    <row r="1219" spans="2:10" ht="12.75">
      <c r="B1219" s="17"/>
      <c r="C1219" s="17"/>
      <c r="D1219" s="47"/>
      <c r="E1219" s="32"/>
      <c r="F1219" s="32"/>
      <c r="H1219" s="32"/>
      <c r="I1219" s="17"/>
      <c r="J1219" s="32"/>
    </row>
    <row r="1220" spans="2:10" ht="12.75">
      <c r="B1220" s="17"/>
      <c r="C1220" s="17"/>
      <c r="D1220" s="47"/>
      <c r="E1220" s="32"/>
      <c r="F1220" s="32"/>
      <c r="H1220" s="32"/>
      <c r="I1220" s="17"/>
      <c r="J1220" s="32"/>
    </row>
    <row r="1221" spans="2:10" ht="12.75">
      <c r="B1221" s="17"/>
      <c r="C1221" s="17"/>
      <c r="D1221" s="47"/>
      <c r="E1221" s="32"/>
      <c r="F1221" s="32"/>
      <c r="H1221" s="32"/>
      <c r="I1221" s="17"/>
      <c r="J1221" s="32"/>
    </row>
    <row r="1222" spans="2:10" ht="12.75">
      <c r="B1222" s="17"/>
      <c r="C1222" s="17"/>
      <c r="D1222" s="47"/>
      <c r="E1222" s="32"/>
      <c r="F1222" s="32"/>
      <c r="H1222" s="32"/>
      <c r="I1222" s="17"/>
      <c r="J1222" s="32"/>
    </row>
    <row r="1223" spans="2:10" ht="12.75">
      <c r="B1223" s="17"/>
      <c r="C1223" s="17"/>
      <c r="D1223" s="47"/>
      <c r="E1223" s="32"/>
      <c r="F1223" s="32"/>
      <c r="H1223" s="32"/>
      <c r="I1223" s="17"/>
      <c r="J1223" s="32"/>
    </row>
    <row r="1224" spans="2:10" ht="12.75">
      <c r="B1224" s="17"/>
      <c r="C1224" s="17"/>
      <c r="D1224" s="47"/>
      <c r="E1224" s="32"/>
      <c r="F1224" s="32"/>
      <c r="H1224" s="32"/>
      <c r="I1224" s="17"/>
      <c r="J1224" s="32"/>
    </row>
    <row r="1225" spans="2:10" ht="12.75">
      <c r="B1225" s="17"/>
      <c r="C1225" s="17"/>
      <c r="D1225" s="47"/>
      <c r="E1225" s="32"/>
      <c r="F1225" s="32"/>
      <c r="H1225" s="32"/>
      <c r="I1225" s="17"/>
      <c r="J1225" s="32"/>
    </row>
    <row r="1226" spans="2:10" ht="12.75">
      <c r="B1226" s="17"/>
      <c r="C1226" s="17"/>
      <c r="D1226" s="47"/>
      <c r="E1226" s="32"/>
      <c r="F1226" s="32"/>
      <c r="H1226" s="32"/>
      <c r="I1226" s="17"/>
      <c r="J1226" s="32"/>
    </row>
    <row r="1227" spans="2:10" ht="12.75">
      <c r="B1227" s="17"/>
      <c r="C1227" s="17"/>
      <c r="D1227" s="47"/>
      <c r="E1227" s="32"/>
      <c r="F1227" s="32"/>
      <c r="H1227" s="32"/>
      <c r="I1227" s="17"/>
      <c r="J1227" s="32"/>
    </row>
    <row r="1228" spans="2:10" ht="12.75">
      <c r="B1228" s="17"/>
      <c r="C1228" s="17"/>
      <c r="D1228" s="47"/>
      <c r="E1228" s="32"/>
      <c r="F1228" s="32"/>
      <c r="H1228" s="32"/>
      <c r="I1228" s="17"/>
      <c r="J1228" s="32"/>
    </row>
    <row r="1229" spans="2:10" ht="12.75">
      <c r="B1229" s="17"/>
      <c r="C1229" s="17"/>
      <c r="D1229" s="47"/>
      <c r="E1229" s="32"/>
      <c r="F1229" s="32"/>
      <c r="H1229" s="32"/>
      <c r="I1229" s="17"/>
      <c r="J1229" s="32"/>
    </row>
    <row r="1230" spans="2:10" ht="12.75">
      <c r="B1230" s="17"/>
      <c r="C1230" s="17"/>
      <c r="D1230" s="47"/>
      <c r="E1230" s="32"/>
      <c r="F1230" s="32"/>
      <c r="H1230" s="32"/>
      <c r="I1230" s="17"/>
      <c r="J1230" s="32"/>
    </row>
    <row r="1231" spans="2:10" ht="12.75">
      <c r="B1231" s="17"/>
      <c r="C1231" s="17"/>
      <c r="D1231" s="47"/>
      <c r="E1231" s="32"/>
      <c r="F1231" s="32"/>
      <c r="H1231" s="32"/>
      <c r="I1231" s="17"/>
      <c r="J1231" s="32"/>
    </row>
    <row r="1232" spans="2:10" ht="12.75">
      <c r="B1232" s="17"/>
      <c r="C1232" s="17"/>
      <c r="D1232" s="47"/>
      <c r="E1232" s="32"/>
      <c r="F1232" s="32"/>
      <c r="H1232" s="32"/>
      <c r="I1232" s="17"/>
      <c r="J1232" s="32"/>
    </row>
    <row r="1233" spans="2:10" ht="12.75">
      <c r="B1233" s="17"/>
      <c r="C1233" s="17"/>
      <c r="D1233" s="47"/>
      <c r="E1233" s="32"/>
      <c r="F1233" s="32"/>
      <c r="H1233" s="32"/>
      <c r="I1233" s="17"/>
      <c r="J1233" s="32"/>
    </row>
    <row r="1234" spans="2:10" ht="12.75">
      <c r="B1234" s="17"/>
      <c r="C1234" s="17"/>
      <c r="D1234" s="47"/>
      <c r="E1234" s="32"/>
      <c r="F1234" s="32"/>
      <c r="H1234" s="32"/>
      <c r="I1234" s="17"/>
      <c r="J1234" s="32"/>
    </row>
    <row r="1235" spans="2:10" ht="12.75">
      <c r="B1235" s="17"/>
      <c r="C1235" s="17"/>
      <c r="D1235" s="47"/>
      <c r="E1235" s="32"/>
      <c r="F1235" s="32"/>
      <c r="H1235" s="32"/>
      <c r="I1235" s="17"/>
      <c r="J1235" s="32"/>
    </row>
    <row r="1236" spans="2:10" ht="12.75">
      <c r="B1236" s="17"/>
      <c r="C1236" s="17"/>
      <c r="D1236" s="47"/>
      <c r="E1236" s="32"/>
      <c r="F1236" s="32"/>
      <c r="H1236" s="32"/>
      <c r="I1236" s="17"/>
      <c r="J1236" s="32"/>
    </row>
    <row r="1237" spans="2:10" ht="12.75">
      <c r="B1237" s="17"/>
      <c r="C1237" s="17"/>
      <c r="D1237" s="47"/>
      <c r="E1237" s="32"/>
      <c r="F1237" s="32"/>
      <c r="H1237" s="32"/>
      <c r="I1237" s="17"/>
      <c r="J1237" s="32"/>
    </row>
    <row r="1238" spans="2:10" ht="12.75">
      <c r="B1238" s="17"/>
      <c r="C1238" s="17"/>
      <c r="D1238" s="47"/>
      <c r="E1238" s="32"/>
      <c r="F1238" s="32"/>
      <c r="H1238" s="32"/>
      <c r="I1238" s="17"/>
      <c r="J1238" s="32"/>
    </row>
    <row r="1239" spans="2:10" ht="12.75">
      <c r="B1239" s="17"/>
      <c r="C1239" s="17"/>
      <c r="D1239" s="47"/>
      <c r="E1239" s="32"/>
      <c r="F1239" s="32"/>
      <c r="H1239" s="32"/>
      <c r="I1239" s="17"/>
      <c r="J1239" s="32"/>
    </row>
    <row r="1240" spans="2:10" ht="12.75">
      <c r="B1240" s="17"/>
      <c r="C1240" s="17"/>
      <c r="D1240" s="47"/>
      <c r="E1240" s="32"/>
      <c r="F1240" s="32"/>
      <c r="H1240" s="32"/>
      <c r="I1240" s="17"/>
      <c r="J1240" s="32"/>
    </row>
    <row r="1241" spans="2:10" ht="12.75">
      <c r="B1241" s="17"/>
      <c r="C1241" s="17"/>
      <c r="D1241" s="47"/>
      <c r="E1241" s="32"/>
      <c r="F1241" s="32"/>
      <c r="H1241" s="32"/>
      <c r="I1241" s="17"/>
      <c r="J1241" s="32"/>
    </row>
    <row r="1242" spans="2:10" ht="12.75">
      <c r="B1242" s="17"/>
      <c r="C1242" s="17"/>
      <c r="D1242" s="47"/>
      <c r="E1242" s="32"/>
      <c r="F1242" s="32"/>
      <c r="H1242" s="32"/>
      <c r="I1242" s="17"/>
      <c r="J1242" s="32"/>
    </row>
    <row r="1243" spans="2:10" ht="12.75">
      <c r="B1243" s="17"/>
      <c r="C1243" s="17"/>
      <c r="D1243" s="47"/>
      <c r="E1243" s="32"/>
      <c r="F1243" s="32"/>
      <c r="H1243" s="32"/>
      <c r="I1243" s="17"/>
      <c r="J1243" s="32"/>
    </row>
    <row r="1244" spans="2:10" ht="12.75">
      <c r="B1244" s="17"/>
      <c r="C1244" s="17"/>
      <c r="D1244" s="47"/>
      <c r="E1244" s="32"/>
      <c r="F1244" s="32"/>
      <c r="H1244" s="32"/>
      <c r="I1244" s="17"/>
      <c r="J1244" s="32"/>
    </row>
    <row r="1245" spans="2:10" ht="12.75">
      <c r="B1245" s="17"/>
      <c r="C1245" s="17"/>
      <c r="D1245" s="47"/>
      <c r="E1245" s="32"/>
      <c r="F1245" s="32"/>
      <c r="H1245" s="32"/>
      <c r="I1245" s="17"/>
      <c r="J1245" s="32"/>
    </row>
    <row r="1246" spans="2:10" ht="12.75">
      <c r="B1246" s="17"/>
      <c r="C1246" s="17"/>
      <c r="D1246" s="47"/>
      <c r="E1246" s="32"/>
      <c r="F1246" s="32"/>
      <c r="H1246" s="32"/>
      <c r="I1246" s="17"/>
      <c r="J1246" s="32"/>
    </row>
    <row r="1247" spans="2:10" ht="12.75">
      <c r="B1247" s="17"/>
      <c r="C1247" s="17"/>
      <c r="D1247" s="47"/>
      <c r="E1247" s="32"/>
      <c r="F1247" s="32"/>
      <c r="H1247" s="32"/>
      <c r="I1247" s="17"/>
      <c r="J1247" s="32"/>
    </row>
    <row r="1248" spans="2:10" ht="12.75">
      <c r="B1248" s="17"/>
      <c r="C1248" s="17"/>
      <c r="D1248" s="47"/>
      <c r="E1248" s="32"/>
      <c r="F1248" s="32"/>
      <c r="H1248" s="32"/>
      <c r="I1248" s="17"/>
      <c r="J1248" s="32"/>
    </row>
    <row r="1249" spans="2:10" ht="12.75">
      <c r="B1249" s="17"/>
      <c r="C1249" s="17"/>
      <c r="D1249" s="47"/>
      <c r="E1249" s="32"/>
      <c r="F1249" s="32"/>
      <c r="H1249" s="32"/>
      <c r="I1249" s="17"/>
      <c r="J1249" s="32"/>
    </row>
    <row r="1250" spans="2:10" ht="12.75">
      <c r="B1250" s="17"/>
      <c r="C1250" s="17"/>
      <c r="D1250" s="47"/>
      <c r="E1250" s="32"/>
      <c r="F1250" s="32"/>
      <c r="H1250" s="32"/>
      <c r="I1250" s="17"/>
      <c r="J1250" s="32"/>
    </row>
    <row r="1251" spans="2:10" ht="12.75">
      <c r="B1251" s="17"/>
      <c r="C1251" s="17"/>
      <c r="D1251" s="47"/>
      <c r="E1251" s="32"/>
      <c r="F1251" s="32"/>
      <c r="H1251" s="32"/>
      <c r="I1251" s="17"/>
      <c r="J1251" s="32"/>
    </row>
    <row r="1252" spans="2:10" ht="12.75">
      <c r="B1252" s="17"/>
      <c r="C1252" s="17"/>
      <c r="D1252" s="47"/>
      <c r="E1252" s="32"/>
      <c r="F1252" s="32"/>
      <c r="H1252" s="32"/>
      <c r="I1252" s="17"/>
      <c r="J1252" s="32"/>
    </row>
    <row r="1253" spans="2:10" ht="12.75">
      <c r="B1253" s="17"/>
      <c r="C1253" s="17"/>
      <c r="D1253" s="47"/>
      <c r="E1253" s="32"/>
      <c r="F1253" s="32"/>
      <c r="H1253" s="32"/>
      <c r="I1253" s="17"/>
      <c r="J1253" s="32"/>
    </row>
    <row r="1254" spans="2:10" ht="12.75">
      <c r="B1254" s="17"/>
      <c r="C1254" s="17"/>
      <c r="D1254" s="47"/>
      <c r="E1254" s="32"/>
      <c r="F1254" s="32"/>
      <c r="H1254" s="32"/>
      <c r="I1254" s="17"/>
      <c r="J1254" s="32"/>
    </row>
    <row r="1255" spans="2:10" ht="12.75">
      <c r="B1255" s="17"/>
      <c r="C1255" s="17"/>
      <c r="D1255" s="47"/>
      <c r="E1255" s="32"/>
      <c r="F1255" s="32"/>
      <c r="H1255" s="32"/>
      <c r="I1255" s="17"/>
      <c r="J1255" s="32"/>
    </row>
    <row r="1256" spans="2:10" ht="12.75">
      <c r="B1256" s="17"/>
      <c r="C1256" s="17"/>
      <c r="D1256" s="47"/>
      <c r="E1256" s="32"/>
      <c r="F1256" s="32"/>
      <c r="H1256" s="32"/>
      <c r="I1256" s="17"/>
      <c r="J1256" s="32"/>
    </row>
    <row r="1257" spans="2:10" ht="12.75">
      <c r="B1257" s="17"/>
      <c r="C1257" s="17"/>
      <c r="D1257" s="47"/>
      <c r="E1257" s="32"/>
      <c r="F1257" s="32"/>
      <c r="H1257" s="32"/>
      <c r="I1257" s="17"/>
      <c r="J1257" s="32"/>
    </row>
    <row r="1258" spans="2:10" ht="12.75">
      <c r="B1258" s="17"/>
      <c r="C1258" s="17"/>
      <c r="D1258" s="47"/>
      <c r="E1258" s="32"/>
      <c r="F1258" s="32"/>
      <c r="H1258" s="32"/>
      <c r="I1258" s="17"/>
      <c r="J1258" s="32"/>
    </row>
    <row r="1259" spans="2:10" ht="12.75">
      <c r="B1259" s="17"/>
      <c r="C1259" s="17"/>
      <c r="D1259" s="47"/>
      <c r="E1259" s="32"/>
      <c r="F1259" s="32"/>
      <c r="H1259" s="32"/>
      <c r="I1259" s="17"/>
      <c r="J1259" s="32"/>
    </row>
    <row r="1260" spans="2:10" ht="12.75">
      <c r="B1260" s="17"/>
      <c r="C1260" s="17"/>
      <c r="D1260" s="47"/>
      <c r="E1260" s="32"/>
      <c r="F1260" s="32"/>
      <c r="H1260" s="32"/>
      <c r="I1260" s="17"/>
      <c r="J1260" s="32"/>
    </row>
    <row r="1261" spans="2:10" ht="12.75">
      <c r="B1261" s="17"/>
      <c r="C1261" s="17"/>
      <c r="D1261" s="47"/>
      <c r="E1261" s="32"/>
      <c r="F1261" s="32"/>
      <c r="H1261" s="32"/>
      <c r="I1261" s="17"/>
      <c r="J1261" s="32"/>
    </row>
    <row r="1262" spans="2:10" ht="12.75">
      <c r="B1262" s="17"/>
      <c r="C1262" s="17"/>
      <c r="D1262" s="47"/>
      <c r="E1262" s="32"/>
      <c r="F1262" s="32"/>
      <c r="H1262" s="32"/>
      <c r="I1262" s="17"/>
      <c r="J1262" s="32"/>
    </row>
    <row r="1263" spans="2:10" ht="12.75">
      <c r="B1263" s="17"/>
      <c r="C1263" s="17"/>
      <c r="D1263" s="47"/>
      <c r="E1263" s="32"/>
      <c r="F1263" s="32"/>
      <c r="H1263" s="32"/>
      <c r="I1263" s="17"/>
      <c r="J1263" s="32"/>
    </row>
    <row r="1264" spans="2:10" ht="12.75">
      <c r="B1264" s="17"/>
      <c r="C1264" s="17"/>
      <c r="D1264" s="47"/>
      <c r="E1264" s="32"/>
      <c r="F1264" s="32"/>
      <c r="H1264" s="32"/>
      <c r="I1264" s="17"/>
      <c r="J1264" s="32"/>
    </row>
    <row r="1265" spans="2:10" ht="12.75">
      <c r="B1265" s="17"/>
      <c r="C1265" s="17"/>
      <c r="D1265" s="47"/>
      <c r="E1265" s="32"/>
      <c r="F1265" s="32"/>
      <c r="H1265" s="32"/>
      <c r="I1265" s="17"/>
      <c r="J1265" s="32"/>
    </row>
    <row r="1266" spans="2:10" ht="12.75">
      <c r="B1266" s="17"/>
      <c r="C1266" s="17"/>
      <c r="D1266" s="47"/>
      <c r="E1266" s="32"/>
      <c r="F1266" s="32"/>
      <c r="H1266" s="32"/>
      <c r="I1266" s="17"/>
      <c r="J1266" s="32"/>
    </row>
    <row r="1267" spans="2:10" ht="12.75">
      <c r="B1267" s="17"/>
      <c r="C1267" s="17"/>
      <c r="D1267" s="47"/>
      <c r="E1267" s="32"/>
      <c r="F1267" s="32"/>
      <c r="H1267" s="32"/>
      <c r="I1267" s="17"/>
      <c r="J1267" s="32"/>
    </row>
    <row r="1268" spans="2:10" ht="12.75">
      <c r="B1268" s="17"/>
      <c r="C1268" s="17"/>
      <c r="D1268" s="47"/>
      <c r="E1268" s="32"/>
      <c r="F1268" s="32"/>
      <c r="H1268" s="32"/>
      <c r="I1268" s="17"/>
      <c r="J1268" s="32"/>
    </row>
    <row r="1269" spans="2:10" ht="12.75">
      <c r="B1269" s="17"/>
      <c r="C1269" s="17"/>
      <c r="D1269" s="47"/>
      <c r="E1269" s="32"/>
      <c r="F1269" s="32"/>
      <c r="H1269" s="32"/>
      <c r="I1269" s="17"/>
      <c r="J1269" s="32"/>
    </row>
    <row r="1270" spans="2:10" ht="12.75">
      <c r="B1270" s="17"/>
      <c r="C1270" s="17"/>
      <c r="D1270" s="47"/>
      <c r="E1270" s="32"/>
      <c r="F1270" s="32"/>
      <c r="H1270" s="32"/>
      <c r="I1270" s="17"/>
      <c r="J1270" s="32"/>
    </row>
    <row r="1271" spans="2:10" ht="12.75">
      <c r="B1271" s="17"/>
      <c r="C1271" s="17"/>
      <c r="D1271" s="47"/>
      <c r="E1271" s="32"/>
      <c r="F1271" s="32"/>
      <c r="H1271" s="32"/>
      <c r="I1271" s="17"/>
      <c r="J1271" s="32"/>
    </row>
    <row r="1272" spans="2:10" ht="12.75">
      <c r="B1272" s="17"/>
      <c r="C1272" s="17"/>
      <c r="D1272" s="47"/>
      <c r="E1272" s="32"/>
      <c r="F1272" s="32"/>
      <c r="H1272" s="32"/>
      <c r="I1272" s="17"/>
      <c r="J1272" s="32"/>
    </row>
    <row r="1273" spans="2:10" ht="12.75">
      <c r="B1273" s="17"/>
      <c r="C1273" s="17"/>
      <c r="D1273" s="47"/>
      <c r="E1273" s="32"/>
      <c r="F1273" s="32"/>
      <c r="H1273" s="32"/>
      <c r="I1273" s="17"/>
      <c r="J1273" s="32"/>
    </row>
    <row r="1274" spans="2:10" ht="12.75">
      <c r="B1274" s="17"/>
      <c r="C1274" s="17"/>
      <c r="D1274" s="47"/>
      <c r="E1274" s="32"/>
      <c r="F1274" s="32"/>
      <c r="H1274" s="32"/>
      <c r="I1274" s="17"/>
      <c r="J1274" s="32"/>
    </row>
    <row r="1275" spans="2:10" ht="12.75">
      <c r="B1275" s="17"/>
      <c r="C1275" s="17"/>
      <c r="D1275" s="47"/>
      <c r="E1275" s="32"/>
      <c r="F1275" s="32"/>
      <c r="H1275" s="32"/>
      <c r="I1275" s="17"/>
      <c r="J1275" s="32"/>
    </row>
    <row r="1276" spans="2:10" ht="12.75">
      <c r="B1276" s="17"/>
      <c r="C1276" s="17"/>
      <c r="D1276" s="47"/>
      <c r="E1276" s="32"/>
      <c r="F1276" s="32"/>
      <c r="H1276" s="32"/>
      <c r="I1276" s="17"/>
      <c r="J1276" s="32"/>
    </row>
    <row r="1277" spans="2:10" ht="12.75">
      <c r="B1277" s="17"/>
      <c r="C1277" s="17"/>
      <c r="D1277" s="47"/>
      <c r="E1277" s="32"/>
      <c r="F1277" s="32"/>
      <c r="H1277" s="32"/>
      <c r="I1277" s="17"/>
      <c r="J1277" s="32"/>
    </row>
    <row r="1278" spans="2:10" ht="12.75">
      <c r="B1278" s="17"/>
      <c r="C1278" s="17"/>
      <c r="D1278" s="47"/>
      <c r="E1278" s="32"/>
      <c r="F1278" s="32"/>
      <c r="H1278" s="32"/>
      <c r="I1278" s="17"/>
      <c r="J1278" s="32"/>
    </row>
    <row r="1279" spans="2:10" ht="12.75">
      <c r="B1279" s="17"/>
      <c r="C1279" s="17"/>
      <c r="D1279" s="47"/>
      <c r="E1279" s="32"/>
      <c r="F1279" s="32"/>
      <c r="H1279" s="32"/>
      <c r="I1279" s="17"/>
      <c r="J1279" s="32"/>
    </row>
    <row r="1280" spans="2:10" ht="12.75">
      <c r="B1280" s="17"/>
      <c r="C1280" s="17"/>
      <c r="D1280" s="47"/>
      <c r="E1280" s="32"/>
      <c r="F1280" s="32"/>
      <c r="H1280" s="32"/>
      <c r="I1280" s="17"/>
      <c r="J1280" s="32"/>
    </row>
    <row r="1281" spans="2:10" ht="12.75">
      <c r="B1281" s="17"/>
      <c r="C1281" s="17"/>
      <c r="D1281" s="47"/>
      <c r="E1281" s="32"/>
      <c r="F1281" s="32"/>
      <c r="H1281" s="32"/>
      <c r="I1281" s="17"/>
      <c r="J1281" s="32"/>
    </row>
    <row r="1282" spans="2:10" ht="12.75">
      <c r="B1282" s="17"/>
      <c r="C1282" s="17"/>
      <c r="D1282" s="47"/>
      <c r="E1282" s="32"/>
      <c r="F1282" s="32"/>
      <c r="H1282" s="32"/>
      <c r="I1282" s="17"/>
      <c r="J1282" s="32"/>
    </row>
    <row r="1283" spans="2:10" ht="12.75">
      <c r="B1283" s="17"/>
      <c r="C1283" s="17"/>
      <c r="D1283" s="47"/>
      <c r="E1283" s="32"/>
      <c r="F1283" s="32"/>
      <c r="H1283" s="32"/>
      <c r="I1283" s="17"/>
      <c r="J1283" s="32"/>
    </row>
    <row r="1284" spans="2:10" ht="12.75">
      <c r="B1284" s="17"/>
      <c r="C1284" s="17"/>
      <c r="D1284" s="47"/>
      <c r="E1284" s="32"/>
      <c r="F1284" s="32"/>
      <c r="H1284" s="32"/>
      <c r="I1284" s="17"/>
      <c r="J1284" s="32"/>
    </row>
    <row r="1285" spans="2:10" ht="12.75">
      <c r="B1285" s="17"/>
      <c r="C1285" s="17"/>
      <c r="D1285" s="47"/>
      <c r="E1285" s="32"/>
      <c r="F1285" s="32"/>
      <c r="H1285" s="32"/>
      <c r="I1285" s="17"/>
      <c r="J1285" s="32"/>
    </row>
    <row r="1286" spans="2:10" ht="12.75">
      <c r="B1286" s="17"/>
      <c r="C1286" s="17"/>
      <c r="D1286" s="47"/>
      <c r="E1286" s="32"/>
      <c r="F1286" s="32"/>
      <c r="H1286" s="32"/>
      <c r="I1286" s="17"/>
      <c r="J1286" s="32"/>
    </row>
    <row r="1287" spans="2:10" ht="12.75">
      <c r="B1287" s="17"/>
      <c r="C1287" s="17"/>
      <c r="D1287" s="47"/>
      <c r="E1287" s="32"/>
      <c r="F1287" s="32"/>
      <c r="H1287" s="32"/>
      <c r="I1287" s="17"/>
      <c r="J1287" s="32"/>
    </row>
    <row r="1288" spans="2:10" ht="12.75">
      <c r="B1288" s="17"/>
      <c r="C1288" s="17"/>
      <c r="D1288" s="47"/>
      <c r="E1288" s="32"/>
      <c r="F1288" s="32"/>
      <c r="H1288" s="32"/>
      <c r="I1288" s="17"/>
      <c r="J1288" s="32"/>
    </row>
    <row r="1289" spans="2:10" ht="12.75">
      <c r="B1289" s="17"/>
      <c r="C1289" s="17"/>
      <c r="D1289" s="47"/>
      <c r="E1289" s="32"/>
      <c r="F1289" s="32"/>
      <c r="H1289" s="32"/>
      <c r="I1289" s="17"/>
      <c r="J1289" s="32"/>
    </row>
    <row r="1290" spans="2:10" ht="12.75">
      <c r="B1290" s="17"/>
      <c r="C1290" s="17"/>
      <c r="D1290" s="47"/>
      <c r="E1290" s="32"/>
      <c r="F1290" s="32"/>
      <c r="H1290" s="32"/>
      <c r="I1290" s="17"/>
      <c r="J1290" s="32"/>
    </row>
    <row r="1291" spans="2:10" ht="12.75">
      <c r="B1291" s="17"/>
      <c r="C1291" s="17"/>
      <c r="D1291" s="47"/>
      <c r="E1291" s="32"/>
      <c r="F1291" s="32"/>
      <c r="H1291" s="32"/>
      <c r="I1291" s="17"/>
      <c r="J1291" s="32"/>
    </row>
    <row r="1292" spans="2:10" ht="12.75">
      <c r="B1292" s="17"/>
      <c r="C1292" s="17"/>
      <c r="D1292" s="47"/>
      <c r="E1292" s="32"/>
      <c r="F1292" s="32"/>
      <c r="H1292" s="32"/>
      <c r="I1292" s="17"/>
      <c r="J1292" s="32"/>
    </row>
    <row r="1293" spans="2:10" ht="12.75">
      <c r="B1293" s="17"/>
      <c r="C1293" s="17"/>
      <c r="D1293" s="47"/>
      <c r="E1293" s="32"/>
      <c r="F1293" s="32"/>
      <c r="H1293" s="32"/>
      <c r="I1293" s="17"/>
      <c r="J1293" s="32"/>
    </row>
    <row r="1294" spans="2:10" ht="12.75">
      <c r="B1294" s="17"/>
      <c r="C1294" s="17"/>
      <c r="D1294" s="47"/>
      <c r="E1294" s="32"/>
      <c r="F1294" s="32"/>
      <c r="H1294" s="32"/>
      <c r="I1294" s="17"/>
      <c r="J1294" s="32"/>
    </row>
    <row r="1295" spans="2:10" ht="12.75">
      <c r="B1295" s="17"/>
      <c r="C1295" s="17"/>
      <c r="D1295" s="47"/>
      <c r="E1295" s="32"/>
      <c r="F1295" s="32"/>
      <c r="H1295" s="32"/>
      <c r="I1295" s="17"/>
      <c r="J1295" s="32"/>
    </row>
    <row r="1296" spans="2:10" ht="12.75">
      <c r="B1296" s="17"/>
      <c r="C1296" s="17"/>
      <c r="D1296" s="47"/>
      <c r="E1296" s="32"/>
      <c r="F1296" s="32"/>
      <c r="H1296" s="32"/>
      <c r="I1296" s="17"/>
      <c r="J1296" s="32"/>
    </row>
    <row r="1297" spans="2:10" ht="12.75">
      <c r="B1297" s="17"/>
      <c r="C1297" s="17"/>
      <c r="D1297" s="47"/>
      <c r="E1297" s="32"/>
      <c r="F1297" s="32"/>
      <c r="H1297" s="32"/>
      <c r="I1297" s="17"/>
      <c r="J1297" s="32"/>
    </row>
    <row r="1298" spans="2:10" ht="12.75">
      <c r="B1298" s="17"/>
      <c r="C1298" s="17"/>
      <c r="D1298" s="47"/>
      <c r="E1298" s="32"/>
      <c r="F1298" s="32"/>
      <c r="H1298" s="32"/>
      <c r="I1298" s="17"/>
      <c r="J1298" s="32"/>
    </row>
    <row r="1299" spans="2:10" ht="12.75">
      <c r="B1299" s="17"/>
      <c r="C1299" s="17"/>
      <c r="D1299" s="47"/>
      <c r="E1299" s="32"/>
      <c r="F1299" s="32"/>
      <c r="H1299" s="32"/>
      <c r="I1299" s="17"/>
      <c r="J1299" s="32"/>
    </row>
    <row r="1300" spans="2:10" ht="12.75">
      <c r="B1300" s="17"/>
      <c r="C1300" s="17"/>
      <c r="D1300" s="47"/>
      <c r="E1300" s="32"/>
      <c r="F1300" s="32"/>
      <c r="H1300" s="32"/>
      <c r="I1300" s="17"/>
      <c r="J1300" s="32"/>
    </row>
    <row r="1301" spans="2:10" ht="12.75">
      <c r="B1301" s="17"/>
      <c r="C1301" s="17"/>
      <c r="D1301" s="47"/>
      <c r="E1301" s="32"/>
      <c r="F1301" s="32"/>
      <c r="H1301" s="32"/>
      <c r="I1301" s="17"/>
      <c r="J1301" s="32"/>
    </row>
    <row r="1302" spans="2:10" ht="12.75">
      <c r="B1302" s="17"/>
      <c r="C1302" s="17"/>
      <c r="D1302" s="47"/>
      <c r="E1302" s="32"/>
      <c r="F1302" s="32"/>
      <c r="H1302" s="32"/>
      <c r="I1302" s="17"/>
      <c r="J1302" s="32"/>
    </row>
    <row r="1303" spans="2:10" ht="12.75">
      <c r="B1303" s="17"/>
      <c r="C1303" s="17"/>
      <c r="D1303" s="47"/>
      <c r="E1303" s="32"/>
      <c r="F1303" s="32"/>
      <c r="H1303" s="32"/>
      <c r="I1303" s="17"/>
      <c r="J1303" s="32"/>
    </row>
    <row r="1304" spans="2:10" ht="12.75">
      <c r="B1304" s="17"/>
      <c r="C1304" s="17"/>
      <c r="D1304" s="47"/>
      <c r="E1304" s="32"/>
      <c r="F1304" s="32"/>
      <c r="H1304" s="32"/>
      <c r="I1304" s="17"/>
      <c r="J1304" s="32"/>
    </row>
    <row r="1305" spans="2:10" ht="12.75">
      <c r="B1305" s="17"/>
      <c r="C1305" s="17"/>
      <c r="D1305" s="47"/>
      <c r="E1305" s="32"/>
      <c r="F1305" s="32"/>
      <c r="H1305" s="32"/>
      <c r="I1305" s="17"/>
      <c r="J1305" s="32"/>
    </row>
    <row r="1306" spans="2:10" ht="12.75">
      <c r="B1306" s="17"/>
      <c r="C1306" s="17"/>
      <c r="D1306" s="47"/>
      <c r="E1306" s="32"/>
      <c r="F1306" s="32"/>
      <c r="H1306" s="32"/>
      <c r="I1306" s="17"/>
      <c r="J1306" s="32"/>
    </row>
    <row r="1307" spans="2:10" ht="12.75">
      <c r="B1307" s="17"/>
      <c r="C1307" s="17"/>
      <c r="D1307" s="47"/>
      <c r="E1307" s="32"/>
      <c r="F1307" s="32"/>
      <c r="H1307" s="32"/>
      <c r="I1307" s="17"/>
      <c r="J1307" s="32"/>
    </row>
    <row r="1308" spans="2:10" ht="12.75">
      <c r="B1308" s="17"/>
      <c r="C1308" s="17"/>
      <c r="D1308" s="47"/>
      <c r="E1308" s="32"/>
      <c r="F1308" s="32"/>
      <c r="H1308" s="32"/>
      <c r="I1308" s="17"/>
      <c r="J1308" s="32"/>
    </row>
    <row r="1309" spans="2:10" ht="12.75">
      <c r="B1309" s="17"/>
      <c r="C1309" s="17"/>
      <c r="D1309" s="47"/>
      <c r="E1309" s="32"/>
      <c r="F1309" s="32"/>
      <c r="H1309" s="32"/>
      <c r="I1309" s="17"/>
      <c r="J1309" s="32"/>
    </row>
    <row r="1310" spans="2:10" ht="12.75">
      <c r="B1310" s="17"/>
      <c r="C1310" s="17"/>
      <c r="D1310" s="47"/>
      <c r="E1310" s="32"/>
      <c r="F1310" s="32"/>
      <c r="H1310" s="32"/>
      <c r="I1310" s="17"/>
      <c r="J1310" s="32"/>
    </row>
    <row r="1311" spans="2:10" ht="12.75">
      <c r="B1311" s="17"/>
      <c r="C1311" s="17"/>
      <c r="D1311" s="47"/>
      <c r="E1311" s="32"/>
      <c r="F1311" s="32"/>
      <c r="H1311" s="32"/>
      <c r="I1311" s="17"/>
      <c r="J1311" s="32"/>
    </row>
    <row r="1312" spans="2:10" ht="12.75">
      <c r="B1312" s="17"/>
      <c r="C1312" s="17"/>
      <c r="D1312" s="47"/>
      <c r="E1312" s="32"/>
      <c r="F1312" s="32"/>
      <c r="H1312" s="32"/>
      <c r="I1312" s="17"/>
      <c r="J1312" s="32"/>
    </row>
    <row r="1313" spans="2:10" ht="12.75">
      <c r="B1313" s="17"/>
      <c r="C1313" s="17"/>
      <c r="D1313" s="47"/>
      <c r="E1313" s="32"/>
      <c r="F1313" s="32"/>
      <c r="H1313" s="32"/>
      <c r="I1313" s="17"/>
      <c r="J1313" s="32"/>
    </row>
    <row r="1314" spans="2:10" ht="12.75">
      <c r="B1314" s="17"/>
      <c r="C1314" s="17"/>
      <c r="D1314" s="47"/>
      <c r="E1314" s="32"/>
      <c r="F1314" s="32"/>
      <c r="H1314" s="32"/>
      <c r="I1314" s="17"/>
      <c r="J1314" s="32"/>
    </row>
    <row r="1315" spans="2:10" ht="12.75">
      <c r="B1315" s="17"/>
      <c r="C1315" s="17"/>
      <c r="D1315" s="47"/>
      <c r="E1315" s="32"/>
      <c r="F1315" s="32"/>
      <c r="H1315" s="32"/>
      <c r="I1315" s="17"/>
      <c r="J1315" s="32"/>
    </row>
    <row r="1316" spans="2:10" ht="12.75">
      <c r="B1316" s="17"/>
      <c r="C1316" s="17"/>
      <c r="D1316" s="47"/>
      <c r="E1316" s="32"/>
      <c r="F1316" s="32"/>
      <c r="H1316" s="32"/>
      <c r="I1316" s="17"/>
      <c r="J1316" s="32"/>
    </row>
    <row r="1317" spans="2:10" ht="12.75">
      <c r="B1317" s="17"/>
      <c r="C1317" s="17"/>
      <c r="D1317" s="47"/>
      <c r="E1317" s="32"/>
      <c r="F1317" s="32"/>
      <c r="H1317" s="32"/>
      <c r="I1317" s="17"/>
      <c r="J1317" s="32"/>
    </row>
    <row r="1318" spans="2:10" ht="12.75">
      <c r="B1318" s="17"/>
      <c r="C1318" s="17"/>
      <c r="D1318" s="47"/>
      <c r="E1318" s="32"/>
      <c r="F1318" s="32"/>
      <c r="H1318" s="32"/>
      <c r="I1318" s="17"/>
      <c r="J1318" s="32"/>
    </row>
    <row r="1319" spans="2:10" ht="12.75">
      <c r="B1319" s="17"/>
      <c r="C1319" s="17"/>
      <c r="D1319" s="47"/>
      <c r="E1319" s="32"/>
      <c r="F1319" s="32"/>
      <c r="H1319" s="32"/>
      <c r="I1319" s="17"/>
      <c r="J1319" s="32"/>
    </row>
    <row r="1320" spans="2:10" ht="12.75">
      <c r="B1320" s="17"/>
      <c r="C1320" s="17"/>
      <c r="D1320" s="47"/>
      <c r="E1320" s="32"/>
      <c r="F1320" s="32"/>
      <c r="H1320" s="32"/>
      <c r="I1320" s="17"/>
      <c r="J1320" s="32"/>
    </row>
    <row r="1321" spans="2:10" ht="12.75">
      <c r="B1321" s="17"/>
      <c r="C1321" s="17"/>
      <c r="D1321" s="47"/>
      <c r="E1321" s="32"/>
      <c r="F1321" s="32"/>
      <c r="H1321" s="32"/>
      <c r="I1321" s="17"/>
      <c r="J1321" s="32"/>
    </row>
    <row r="1322" spans="2:10" ht="12.75">
      <c r="B1322" s="17"/>
      <c r="C1322" s="17"/>
      <c r="D1322" s="47"/>
      <c r="E1322" s="32"/>
      <c r="F1322" s="32"/>
      <c r="H1322" s="32"/>
      <c r="I1322" s="17"/>
      <c r="J1322" s="32"/>
    </row>
    <row r="1323" spans="2:10" ht="12.75">
      <c r="B1323" s="17"/>
      <c r="C1323" s="17"/>
      <c r="D1323" s="47"/>
      <c r="E1323" s="32"/>
      <c r="F1323" s="32"/>
      <c r="H1323" s="32"/>
      <c r="I1323" s="17"/>
      <c r="J1323" s="32"/>
    </row>
    <row r="1324" spans="2:10" ht="12.75">
      <c r="B1324" s="17"/>
      <c r="C1324" s="17"/>
      <c r="D1324" s="47"/>
      <c r="E1324" s="32"/>
      <c r="F1324" s="32"/>
      <c r="H1324" s="32"/>
      <c r="I1324" s="17"/>
      <c r="J1324" s="32"/>
    </row>
    <row r="1325" spans="2:10" ht="12.75">
      <c r="B1325" s="17"/>
      <c r="C1325" s="17"/>
      <c r="D1325" s="47"/>
      <c r="E1325" s="32"/>
      <c r="F1325" s="32"/>
      <c r="H1325" s="32"/>
      <c r="I1325" s="17"/>
      <c r="J1325" s="32"/>
    </row>
    <row r="1326" spans="2:10" ht="12.75">
      <c r="B1326" s="17"/>
      <c r="C1326" s="17"/>
      <c r="D1326" s="47"/>
      <c r="E1326" s="32"/>
      <c r="F1326" s="32"/>
      <c r="H1326" s="32"/>
      <c r="I1326" s="17"/>
      <c r="J1326" s="32"/>
    </row>
    <row r="1327" spans="2:10" ht="12.75">
      <c r="B1327" s="17"/>
      <c r="C1327" s="17"/>
      <c r="D1327" s="47"/>
      <c r="E1327" s="32"/>
      <c r="F1327" s="32"/>
      <c r="H1327" s="32"/>
      <c r="I1327" s="17"/>
      <c r="J1327" s="32"/>
    </row>
    <row r="1328" spans="2:10" ht="12.75">
      <c r="B1328" s="17"/>
      <c r="C1328" s="17"/>
      <c r="D1328" s="47"/>
      <c r="E1328" s="32"/>
      <c r="F1328" s="32"/>
      <c r="H1328" s="32"/>
      <c r="I1328" s="17"/>
      <c r="J1328" s="32"/>
    </row>
    <row r="1329" spans="2:10" ht="12.75">
      <c r="B1329" s="17"/>
      <c r="C1329" s="17"/>
      <c r="D1329" s="47"/>
      <c r="E1329" s="32"/>
      <c r="F1329" s="32"/>
      <c r="H1329" s="32"/>
      <c r="I1329" s="17"/>
      <c r="J1329" s="32"/>
    </row>
    <row r="1330" spans="2:10" ht="12.75">
      <c r="B1330" s="17"/>
      <c r="C1330" s="17"/>
      <c r="D1330" s="47"/>
      <c r="E1330" s="32"/>
      <c r="F1330" s="32"/>
      <c r="H1330" s="32"/>
      <c r="I1330" s="17"/>
      <c r="J1330" s="32"/>
    </row>
    <row r="1331" spans="2:10" ht="12.75">
      <c r="B1331" s="17"/>
      <c r="C1331" s="17"/>
      <c r="D1331" s="47"/>
      <c r="E1331" s="32"/>
      <c r="F1331" s="32"/>
      <c r="H1331" s="32"/>
      <c r="I1331" s="17"/>
      <c r="J1331" s="32"/>
    </row>
    <row r="1332" spans="2:10" ht="12.75">
      <c r="B1332" s="17"/>
      <c r="C1332" s="17"/>
      <c r="D1332" s="47"/>
      <c r="E1332" s="32"/>
      <c r="F1332" s="32"/>
      <c r="H1332" s="32"/>
      <c r="I1332" s="17"/>
      <c r="J1332" s="32"/>
    </row>
    <row r="1333" spans="2:10" ht="12.75">
      <c r="B1333" s="17"/>
      <c r="C1333" s="17"/>
      <c r="D1333" s="47"/>
      <c r="E1333" s="32"/>
      <c r="F1333" s="32"/>
      <c r="H1333" s="32"/>
      <c r="I1333" s="17"/>
      <c r="J1333" s="32"/>
    </row>
    <row r="1334" spans="2:10" ht="12.75">
      <c r="B1334" s="17"/>
      <c r="C1334" s="17"/>
      <c r="D1334" s="47"/>
      <c r="E1334" s="32"/>
      <c r="F1334" s="32"/>
      <c r="H1334" s="32"/>
      <c r="I1334" s="17"/>
      <c r="J1334" s="32"/>
    </row>
    <row r="1335" spans="2:10" ht="12.75">
      <c r="B1335" s="17"/>
      <c r="C1335" s="17"/>
      <c r="D1335" s="47"/>
      <c r="E1335" s="32"/>
      <c r="F1335" s="32"/>
      <c r="H1335" s="32"/>
      <c r="I1335" s="17"/>
      <c r="J1335" s="32"/>
    </row>
    <row r="1336" spans="2:10" ht="12.75">
      <c r="B1336" s="17"/>
      <c r="C1336" s="17"/>
      <c r="D1336" s="47"/>
      <c r="E1336" s="32"/>
      <c r="F1336" s="32"/>
      <c r="H1336" s="32"/>
      <c r="I1336" s="17"/>
      <c r="J1336" s="32"/>
    </row>
    <row r="1337" spans="2:10" ht="12.75">
      <c r="B1337" s="17"/>
      <c r="C1337" s="17"/>
      <c r="D1337" s="47"/>
      <c r="E1337" s="32"/>
      <c r="F1337" s="32"/>
      <c r="H1337" s="32"/>
      <c r="I1337" s="17"/>
      <c r="J1337" s="32"/>
    </row>
    <row r="1338" spans="2:10" ht="12.75">
      <c r="B1338" s="17"/>
      <c r="C1338" s="17"/>
      <c r="D1338" s="47"/>
      <c r="E1338" s="32"/>
      <c r="F1338" s="32"/>
      <c r="H1338" s="32"/>
      <c r="I1338" s="17"/>
      <c r="J1338" s="32"/>
    </row>
    <row r="1339" spans="2:10" ht="12.75">
      <c r="B1339" s="17"/>
      <c r="C1339" s="17"/>
      <c r="D1339" s="47"/>
      <c r="E1339" s="32"/>
      <c r="F1339" s="32"/>
      <c r="H1339" s="32"/>
      <c r="I1339" s="17"/>
      <c r="J1339" s="32"/>
    </row>
    <row r="1340" spans="2:10" ht="12.75">
      <c r="B1340" s="17"/>
      <c r="C1340" s="17"/>
      <c r="D1340" s="47"/>
      <c r="E1340" s="32"/>
      <c r="F1340" s="32"/>
      <c r="H1340" s="32"/>
      <c r="I1340" s="17"/>
      <c r="J1340" s="32"/>
    </row>
    <row r="1341" spans="2:10" ht="12.75">
      <c r="B1341" s="17"/>
      <c r="C1341" s="17"/>
      <c r="D1341" s="47"/>
      <c r="E1341" s="32"/>
      <c r="F1341" s="32"/>
      <c r="H1341" s="32"/>
      <c r="I1341" s="17"/>
      <c r="J1341" s="32"/>
    </row>
    <row r="1342" spans="2:10" ht="12.75">
      <c r="B1342" s="17"/>
      <c r="C1342" s="17"/>
      <c r="D1342" s="47"/>
      <c r="E1342" s="32"/>
      <c r="F1342" s="32"/>
      <c r="H1342" s="32"/>
      <c r="I1342" s="17"/>
      <c r="J1342" s="32"/>
    </row>
    <row r="1343" spans="2:10" ht="12.75">
      <c r="B1343" s="17"/>
      <c r="C1343" s="17"/>
      <c r="D1343" s="47"/>
      <c r="E1343" s="32"/>
      <c r="F1343" s="32"/>
      <c r="H1343" s="32"/>
      <c r="I1343" s="17"/>
      <c r="J1343" s="32"/>
    </row>
    <row r="1344" spans="2:10" ht="12.75">
      <c r="B1344" s="17"/>
      <c r="C1344" s="17"/>
      <c r="D1344" s="47"/>
      <c r="E1344" s="32"/>
      <c r="F1344" s="32"/>
      <c r="H1344" s="32"/>
      <c r="I1344" s="17"/>
      <c r="J1344" s="32"/>
    </row>
    <row r="1345" spans="2:10" ht="12.75">
      <c r="B1345" s="17"/>
      <c r="C1345" s="17"/>
      <c r="D1345" s="47"/>
      <c r="E1345" s="32"/>
      <c r="F1345" s="32"/>
      <c r="H1345" s="32"/>
      <c r="I1345" s="17"/>
      <c r="J1345" s="32"/>
    </row>
    <row r="1346" spans="2:10" ht="12.75">
      <c r="B1346" s="17"/>
      <c r="C1346" s="17"/>
      <c r="D1346" s="47"/>
      <c r="E1346" s="32"/>
      <c r="F1346" s="32"/>
      <c r="H1346" s="32"/>
      <c r="I1346" s="17"/>
      <c r="J1346" s="32"/>
    </row>
    <row r="1347" spans="2:10" ht="12.75">
      <c r="B1347" s="17"/>
      <c r="C1347" s="17"/>
      <c r="D1347" s="47"/>
      <c r="E1347" s="32"/>
      <c r="F1347" s="32"/>
      <c r="H1347" s="32"/>
      <c r="I1347" s="17"/>
      <c r="J1347" s="32"/>
    </row>
    <row r="1348" spans="2:10" ht="12.75">
      <c r="B1348" s="17"/>
      <c r="C1348" s="17"/>
      <c r="D1348" s="47"/>
      <c r="E1348" s="32"/>
      <c r="F1348" s="32"/>
      <c r="H1348" s="32"/>
      <c r="I1348" s="17"/>
      <c r="J1348" s="32"/>
    </row>
    <row r="1349" spans="2:10" ht="12.75">
      <c r="B1349" s="17"/>
      <c r="C1349" s="17"/>
      <c r="D1349" s="47"/>
      <c r="E1349" s="32"/>
      <c r="F1349" s="32"/>
      <c r="H1349" s="32"/>
      <c r="I1349" s="17"/>
      <c r="J1349" s="32"/>
    </row>
    <row r="1350" spans="2:10" ht="12.75">
      <c r="B1350" s="17"/>
      <c r="C1350" s="17"/>
      <c r="D1350" s="47"/>
      <c r="E1350" s="32"/>
      <c r="F1350" s="32"/>
      <c r="H1350" s="32"/>
      <c r="I1350" s="17"/>
      <c r="J1350" s="32"/>
    </row>
    <row r="1351" spans="2:10" ht="12.75">
      <c r="B1351" s="17"/>
      <c r="C1351" s="17"/>
      <c r="D1351" s="47"/>
      <c r="E1351" s="32"/>
      <c r="F1351" s="32"/>
      <c r="H1351" s="32"/>
      <c r="I1351" s="17"/>
      <c r="J1351" s="32"/>
    </row>
    <row r="1352" spans="2:10" ht="12.75">
      <c r="B1352" s="17"/>
      <c r="C1352" s="17"/>
      <c r="D1352" s="47"/>
      <c r="E1352" s="32"/>
      <c r="F1352" s="32"/>
      <c r="H1352" s="32"/>
      <c r="I1352" s="17"/>
      <c r="J1352" s="32"/>
    </row>
    <row r="1353" spans="2:10" ht="12.75">
      <c r="B1353" s="17"/>
      <c r="C1353" s="17"/>
      <c r="D1353" s="47"/>
      <c r="E1353" s="32"/>
      <c r="F1353" s="32"/>
      <c r="H1353" s="32"/>
      <c r="I1353" s="17"/>
      <c r="J1353" s="32"/>
    </row>
    <row r="1354" spans="2:10" ht="12.75">
      <c r="B1354" s="17"/>
      <c r="C1354" s="17"/>
      <c r="D1354" s="47"/>
      <c r="E1354" s="32"/>
      <c r="F1354" s="32"/>
      <c r="H1354" s="32"/>
      <c r="I1354" s="17"/>
      <c r="J1354" s="32"/>
    </row>
    <row r="1355" spans="2:10" ht="12.75">
      <c r="B1355" s="17"/>
      <c r="C1355" s="17"/>
      <c r="D1355" s="47"/>
      <c r="E1355" s="32"/>
      <c r="F1355" s="32"/>
      <c r="H1355" s="32"/>
      <c r="I1355" s="17"/>
      <c r="J1355" s="32"/>
    </row>
    <row r="1356" spans="2:10" ht="12.75">
      <c r="B1356" s="17"/>
      <c r="C1356" s="17"/>
      <c r="D1356" s="47"/>
      <c r="E1356" s="32"/>
      <c r="F1356" s="32"/>
      <c r="H1356" s="32"/>
      <c r="I1356" s="17"/>
      <c r="J1356" s="32"/>
    </row>
    <row r="1357" spans="2:10" ht="12.75">
      <c r="B1357" s="17"/>
      <c r="C1357" s="17"/>
      <c r="D1357" s="47"/>
      <c r="E1357" s="32"/>
      <c r="F1357" s="32"/>
      <c r="H1357" s="32"/>
      <c r="I1357" s="17"/>
      <c r="J1357" s="32"/>
    </row>
    <row r="1358" spans="2:10" ht="12.75">
      <c r="B1358" s="17"/>
      <c r="C1358" s="17"/>
      <c r="D1358" s="47"/>
      <c r="E1358" s="32"/>
      <c r="F1358" s="32"/>
      <c r="H1358" s="32"/>
      <c r="I1358" s="17"/>
      <c r="J1358" s="32"/>
    </row>
    <row r="1359" spans="2:10" ht="12.75">
      <c r="B1359" s="17"/>
      <c r="C1359" s="17"/>
      <c r="D1359" s="47"/>
      <c r="E1359" s="32"/>
      <c r="F1359" s="32"/>
      <c r="H1359" s="32"/>
      <c r="I1359" s="17"/>
      <c r="J1359" s="32"/>
    </row>
    <row r="1360" spans="2:10" ht="12.75">
      <c r="B1360" s="17"/>
      <c r="C1360" s="17"/>
      <c r="D1360" s="47"/>
      <c r="E1360" s="32"/>
      <c r="F1360" s="32"/>
      <c r="H1360" s="32"/>
      <c r="I1360" s="17"/>
      <c r="J1360" s="32"/>
    </row>
    <row r="1361" spans="2:10" ht="12.75">
      <c r="B1361" s="17"/>
      <c r="C1361" s="17"/>
      <c r="D1361" s="47"/>
      <c r="E1361" s="32"/>
      <c r="F1361" s="32"/>
      <c r="H1361" s="32"/>
      <c r="I1361" s="17"/>
      <c r="J1361" s="32"/>
    </row>
    <row r="1362" spans="2:10" ht="12.75">
      <c r="B1362" s="17"/>
      <c r="C1362" s="17"/>
      <c r="D1362" s="47"/>
      <c r="E1362" s="32"/>
      <c r="F1362" s="32"/>
      <c r="H1362" s="32"/>
      <c r="I1362" s="17"/>
      <c r="J1362" s="32"/>
    </row>
    <row r="1363" spans="2:10" ht="12.75">
      <c r="B1363" s="17"/>
      <c r="C1363" s="17"/>
      <c r="D1363" s="47"/>
      <c r="E1363" s="32"/>
      <c r="F1363" s="32"/>
      <c r="H1363" s="32"/>
      <c r="I1363" s="17"/>
      <c r="J1363" s="32"/>
    </row>
    <row r="1364" spans="2:10" ht="12.75">
      <c r="B1364" s="17"/>
      <c r="C1364" s="17"/>
      <c r="D1364" s="47"/>
      <c r="E1364" s="32"/>
      <c r="F1364" s="32"/>
      <c r="H1364" s="32"/>
      <c r="I1364" s="17"/>
      <c r="J1364" s="32"/>
    </row>
    <row r="1365" spans="2:10" ht="12.75">
      <c r="B1365" s="17"/>
      <c r="C1365" s="17"/>
      <c r="D1365" s="47"/>
      <c r="E1365" s="32"/>
      <c r="F1365" s="32"/>
      <c r="H1365" s="32"/>
      <c r="I1365" s="17"/>
      <c r="J1365" s="32"/>
    </row>
    <row r="1366" spans="2:10" ht="12.75">
      <c r="B1366" s="17"/>
      <c r="C1366" s="17"/>
      <c r="D1366" s="47"/>
      <c r="E1366" s="32"/>
      <c r="F1366" s="32"/>
      <c r="H1366" s="32"/>
      <c r="I1366" s="17"/>
      <c r="J1366" s="32"/>
    </row>
    <row r="1367" spans="2:10" ht="12.75">
      <c r="B1367" s="17"/>
      <c r="C1367" s="17"/>
      <c r="D1367" s="47"/>
      <c r="E1367" s="32"/>
      <c r="F1367" s="32"/>
      <c r="H1367" s="32"/>
      <c r="I1367" s="17"/>
      <c r="J1367" s="32"/>
    </row>
    <row r="1368" spans="2:10" ht="12.75">
      <c r="B1368" s="17"/>
      <c r="C1368" s="17"/>
      <c r="D1368" s="47"/>
      <c r="E1368" s="32"/>
      <c r="F1368" s="32"/>
      <c r="H1368" s="32"/>
      <c r="I1368" s="17"/>
      <c r="J1368" s="32"/>
    </row>
    <row r="1369" spans="2:10" ht="12.75">
      <c r="B1369" s="17"/>
      <c r="C1369" s="17"/>
      <c r="D1369" s="47"/>
      <c r="E1369" s="32"/>
      <c r="F1369" s="32"/>
      <c r="H1369" s="32"/>
      <c r="I1369" s="17"/>
      <c r="J1369" s="32"/>
    </row>
    <row r="1370" spans="2:10" ht="12.75">
      <c r="B1370" s="17"/>
      <c r="C1370" s="17"/>
      <c r="D1370" s="47"/>
      <c r="E1370" s="32"/>
      <c r="F1370" s="32"/>
      <c r="H1370" s="32"/>
      <c r="I1370" s="17"/>
      <c r="J1370" s="32"/>
    </row>
    <row r="1371" spans="2:10" ht="12.75">
      <c r="B1371" s="17"/>
      <c r="C1371" s="17"/>
      <c r="D1371" s="47"/>
      <c r="E1371" s="32"/>
      <c r="F1371" s="32"/>
      <c r="H1371" s="32"/>
      <c r="I1371" s="17"/>
      <c r="J1371" s="32"/>
    </row>
    <row r="1372" spans="2:10" ht="12.75">
      <c r="B1372" s="17"/>
      <c r="C1372" s="17"/>
      <c r="D1372" s="47"/>
      <c r="E1372" s="32"/>
      <c r="F1372" s="32"/>
      <c r="H1372" s="32"/>
      <c r="I1372" s="17"/>
      <c r="J1372" s="32"/>
    </row>
    <row r="1373" spans="2:10" ht="12.75">
      <c r="B1373" s="17"/>
      <c r="C1373" s="17"/>
      <c r="D1373" s="47"/>
      <c r="E1373" s="32"/>
      <c r="F1373" s="32"/>
      <c r="H1373" s="32"/>
      <c r="I1373" s="17"/>
      <c r="J1373" s="32"/>
    </row>
    <row r="1374" spans="2:10" ht="12.75">
      <c r="B1374" s="17"/>
      <c r="C1374" s="17"/>
      <c r="D1374" s="47"/>
      <c r="E1374" s="32"/>
      <c r="F1374" s="32"/>
      <c r="H1374" s="32"/>
      <c r="I1374" s="17"/>
      <c r="J1374" s="32"/>
    </row>
    <row r="1375" spans="2:10" ht="12.75">
      <c r="B1375" s="17"/>
      <c r="C1375" s="17"/>
      <c r="D1375" s="47"/>
      <c r="E1375" s="32"/>
      <c r="F1375" s="32"/>
      <c r="H1375" s="32"/>
      <c r="I1375" s="17"/>
      <c r="J1375" s="32"/>
    </row>
    <row r="1376" spans="2:10" ht="12.75">
      <c r="B1376" s="17"/>
      <c r="C1376" s="17"/>
      <c r="D1376" s="47"/>
      <c r="E1376" s="32"/>
      <c r="F1376" s="32"/>
      <c r="H1376" s="32"/>
      <c r="I1376" s="17"/>
      <c r="J1376" s="32"/>
    </row>
    <row r="1377" spans="2:10" ht="12.75">
      <c r="B1377" s="17"/>
      <c r="C1377" s="17"/>
      <c r="D1377" s="47"/>
      <c r="E1377" s="32"/>
      <c r="F1377" s="32"/>
      <c r="H1377" s="32"/>
      <c r="I1377" s="17"/>
      <c r="J1377" s="32"/>
    </row>
    <row r="1378" spans="2:10" ht="12.75">
      <c r="B1378" s="17"/>
      <c r="C1378" s="17"/>
      <c r="D1378" s="47"/>
      <c r="E1378" s="32"/>
      <c r="F1378" s="32"/>
      <c r="H1378" s="32"/>
      <c r="I1378" s="17"/>
      <c r="J1378" s="32"/>
    </row>
    <row r="1379" spans="2:10" ht="12.75">
      <c r="B1379" s="17"/>
      <c r="C1379" s="17"/>
      <c r="D1379" s="47"/>
      <c r="E1379" s="32"/>
      <c r="F1379" s="32"/>
      <c r="H1379" s="32"/>
      <c r="I1379" s="17"/>
      <c r="J1379" s="32"/>
    </row>
    <row r="1380" spans="2:10" ht="12.75">
      <c r="B1380" s="17"/>
      <c r="C1380" s="17"/>
      <c r="D1380" s="47"/>
      <c r="E1380" s="32"/>
      <c r="F1380" s="32"/>
      <c r="H1380" s="32"/>
      <c r="I1380" s="17"/>
      <c r="J1380" s="32"/>
    </row>
    <row r="1381" spans="2:10" ht="12.75">
      <c r="B1381" s="17"/>
      <c r="C1381" s="17"/>
      <c r="D1381" s="47"/>
      <c r="E1381" s="32"/>
      <c r="F1381" s="32"/>
      <c r="H1381" s="32"/>
      <c r="I1381" s="17"/>
      <c r="J1381" s="32"/>
    </row>
    <row r="1382" spans="2:10" ht="12.75">
      <c r="B1382" s="17"/>
      <c r="C1382" s="17"/>
      <c r="D1382" s="47"/>
      <c r="E1382" s="32"/>
      <c r="F1382" s="32"/>
      <c r="H1382" s="32"/>
      <c r="I1382" s="17"/>
      <c r="J1382" s="32"/>
    </row>
    <row r="1383" spans="2:10" ht="12.75">
      <c r="B1383" s="17"/>
      <c r="C1383" s="17"/>
      <c r="D1383" s="47"/>
      <c r="E1383" s="32"/>
      <c r="F1383" s="32"/>
      <c r="H1383" s="32"/>
      <c r="I1383" s="17"/>
      <c r="J1383" s="32"/>
    </row>
    <row r="1384" spans="2:10" ht="12.75">
      <c r="B1384" s="17"/>
      <c r="C1384" s="17"/>
      <c r="D1384" s="47"/>
      <c r="E1384" s="32"/>
      <c r="F1384" s="32"/>
      <c r="H1384" s="32"/>
      <c r="I1384" s="17"/>
      <c r="J1384" s="32"/>
    </row>
    <row r="1385" spans="2:10" ht="12.75">
      <c r="B1385" s="17"/>
      <c r="C1385" s="17"/>
      <c r="D1385" s="47"/>
      <c r="E1385" s="32"/>
      <c r="F1385" s="32"/>
      <c r="H1385" s="32"/>
      <c r="I1385" s="17"/>
      <c r="J1385" s="32"/>
    </row>
    <row r="1386" spans="2:10" ht="12.75">
      <c r="B1386" s="17"/>
      <c r="C1386" s="17"/>
      <c r="D1386" s="47"/>
      <c r="E1386" s="32"/>
      <c r="F1386" s="32"/>
      <c r="H1386" s="32"/>
      <c r="I1386" s="17"/>
      <c r="J1386" s="32"/>
    </row>
    <row r="1387" spans="2:10" ht="12.75">
      <c r="B1387" s="17"/>
      <c r="C1387" s="17"/>
      <c r="D1387" s="47"/>
      <c r="E1387" s="32"/>
      <c r="F1387" s="32"/>
      <c r="H1387" s="32"/>
      <c r="I1387" s="17"/>
      <c r="J1387" s="32"/>
    </row>
    <row r="1388" spans="2:10" ht="12.75">
      <c r="B1388" s="17"/>
      <c r="C1388" s="17"/>
      <c r="D1388" s="47"/>
      <c r="E1388" s="32"/>
      <c r="F1388" s="32"/>
      <c r="H1388" s="32"/>
      <c r="I1388" s="17"/>
      <c r="J1388" s="32"/>
    </row>
    <row r="1389" spans="2:10" ht="12.75">
      <c r="B1389" s="17"/>
      <c r="C1389" s="17"/>
      <c r="D1389" s="47"/>
      <c r="E1389" s="32"/>
      <c r="F1389" s="32"/>
      <c r="H1389" s="32"/>
      <c r="I1389" s="17"/>
      <c r="J1389" s="32"/>
    </row>
    <row r="1390" spans="2:10" ht="12.75">
      <c r="B1390" s="17"/>
      <c r="C1390" s="17"/>
      <c r="D1390" s="47"/>
      <c r="E1390" s="32"/>
      <c r="F1390" s="32"/>
      <c r="H1390" s="32"/>
      <c r="I1390" s="17"/>
      <c r="J1390" s="32"/>
    </row>
    <row r="1391" spans="2:10" ht="12.75">
      <c r="B1391" s="17"/>
      <c r="C1391" s="17"/>
      <c r="D1391" s="47"/>
      <c r="E1391" s="32"/>
      <c r="F1391" s="32"/>
      <c r="H1391" s="32"/>
      <c r="I1391" s="17"/>
      <c r="J1391" s="32"/>
    </row>
    <row r="1392" spans="2:10" ht="12.75">
      <c r="B1392" s="17"/>
      <c r="C1392" s="17"/>
      <c r="D1392" s="47"/>
      <c r="E1392" s="32"/>
      <c r="F1392" s="32"/>
      <c r="H1392" s="32"/>
      <c r="I1392" s="17"/>
      <c r="J1392" s="32"/>
    </row>
    <row r="1393" spans="2:10" ht="12.75">
      <c r="B1393" s="17"/>
      <c r="C1393" s="17"/>
      <c r="D1393" s="47"/>
      <c r="E1393" s="32"/>
      <c r="F1393" s="32"/>
      <c r="H1393" s="32"/>
      <c r="I1393" s="17"/>
      <c r="J1393" s="32"/>
    </row>
    <row r="1394" spans="2:10" ht="12.75">
      <c r="B1394" s="17"/>
      <c r="C1394" s="17"/>
      <c r="D1394" s="47"/>
      <c r="E1394" s="32"/>
      <c r="F1394" s="32"/>
      <c r="H1394" s="32"/>
      <c r="I1394" s="17"/>
      <c r="J1394" s="32"/>
    </row>
    <row r="1395" spans="2:10" ht="12.75">
      <c r="B1395" s="17"/>
      <c r="C1395" s="17"/>
      <c r="D1395" s="47"/>
      <c r="E1395" s="32"/>
      <c r="F1395" s="32"/>
      <c r="H1395" s="32"/>
      <c r="I1395" s="17"/>
      <c r="J1395" s="32"/>
    </row>
    <row r="1396" spans="2:10" ht="12.75">
      <c r="B1396" s="17"/>
      <c r="C1396" s="17"/>
      <c r="D1396" s="47"/>
      <c r="E1396" s="32"/>
      <c r="F1396" s="32"/>
      <c r="H1396" s="32"/>
      <c r="I1396" s="17"/>
      <c r="J1396" s="32"/>
    </row>
    <row r="1397" spans="2:10" ht="12.75">
      <c r="B1397" s="17"/>
      <c r="C1397" s="17"/>
      <c r="D1397" s="47"/>
      <c r="E1397" s="32"/>
      <c r="F1397" s="32"/>
      <c r="H1397" s="32"/>
      <c r="I1397" s="17"/>
      <c r="J1397" s="32"/>
    </row>
    <row r="1398" spans="2:10" ht="12.75">
      <c r="B1398" s="17"/>
      <c r="C1398" s="17"/>
      <c r="D1398" s="47"/>
      <c r="E1398" s="32"/>
      <c r="F1398" s="32"/>
      <c r="H1398" s="32"/>
      <c r="I1398" s="17"/>
      <c r="J1398" s="32"/>
    </row>
    <row r="1399" spans="2:10" ht="12.75">
      <c r="B1399" s="17"/>
      <c r="C1399" s="17"/>
      <c r="D1399" s="47"/>
      <c r="E1399" s="32"/>
      <c r="F1399" s="32"/>
      <c r="H1399" s="32"/>
      <c r="I1399" s="17"/>
      <c r="J1399" s="32"/>
    </row>
    <row r="1400" spans="2:10" ht="12.75">
      <c r="B1400" s="17"/>
      <c r="C1400" s="17"/>
      <c r="D1400" s="47"/>
      <c r="E1400" s="32"/>
      <c r="F1400" s="32"/>
      <c r="H1400" s="32"/>
      <c r="I1400" s="17"/>
      <c r="J1400" s="32"/>
    </row>
    <row r="1401" spans="2:10" ht="12.75">
      <c r="B1401" s="17"/>
      <c r="C1401" s="17"/>
      <c r="D1401" s="47"/>
      <c r="E1401" s="32"/>
      <c r="F1401" s="32"/>
      <c r="H1401" s="32"/>
      <c r="I1401" s="17"/>
      <c r="J1401" s="32"/>
    </row>
    <row r="1402" spans="2:10" ht="12.75">
      <c r="B1402" s="17"/>
      <c r="C1402" s="17"/>
      <c r="D1402" s="47"/>
      <c r="E1402" s="32"/>
      <c r="F1402" s="32"/>
      <c r="H1402" s="32"/>
      <c r="I1402" s="17"/>
      <c r="J1402" s="32"/>
    </row>
    <row r="1403" spans="2:10" ht="12.75">
      <c r="B1403" s="17"/>
      <c r="C1403" s="17"/>
      <c r="D1403" s="47"/>
      <c r="E1403" s="32"/>
      <c r="F1403" s="32"/>
      <c r="H1403" s="32"/>
      <c r="I1403" s="17"/>
      <c r="J1403" s="32"/>
    </row>
    <row r="1404" spans="2:10" ht="12.75">
      <c r="B1404" s="17"/>
      <c r="C1404" s="17"/>
      <c r="D1404" s="47"/>
      <c r="E1404" s="32"/>
      <c r="F1404" s="32"/>
      <c r="H1404" s="32"/>
      <c r="I1404" s="17"/>
      <c r="J1404" s="32"/>
    </row>
    <row r="1405" spans="2:10" ht="12.75">
      <c r="B1405" s="17"/>
      <c r="C1405" s="17"/>
      <c r="D1405" s="47"/>
      <c r="E1405" s="32"/>
      <c r="F1405" s="32"/>
      <c r="H1405" s="32"/>
      <c r="I1405" s="17"/>
      <c r="J1405" s="32"/>
    </row>
    <row r="1406" spans="2:10" ht="12.75">
      <c r="B1406" s="17"/>
      <c r="C1406" s="17"/>
      <c r="D1406" s="47"/>
      <c r="E1406" s="32"/>
      <c r="F1406" s="32"/>
      <c r="H1406" s="32"/>
      <c r="I1406" s="17"/>
      <c r="J1406" s="32"/>
    </row>
    <row r="1407" spans="2:10" ht="12.75">
      <c r="B1407" s="17"/>
      <c r="C1407" s="17"/>
      <c r="D1407" s="47"/>
      <c r="E1407" s="32"/>
      <c r="F1407" s="32"/>
      <c r="H1407" s="32"/>
      <c r="I1407" s="17"/>
      <c r="J1407" s="32"/>
    </row>
    <row r="1408" spans="2:10" ht="12.75">
      <c r="B1408" s="17"/>
      <c r="C1408" s="17"/>
      <c r="D1408" s="47"/>
      <c r="E1408" s="32"/>
      <c r="F1408" s="32"/>
      <c r="H1408" s="32"/>
      <c r="I1408" s="17"/>
      <c r="J1408" s="32"/>
    </row>
    <row r="1409" spans="2:10" ht="12.75">
      <c r="B1409" s="17"/>
      <c r="C1409" s="17"/>
      <c r="D1409" s="47"/>
      <c r="E1409" s="32"/>
      <c r="F1409" s="32"/>
      <c r="H1409" s="32"/>
      <c r="I1409" s="17"/>
      <c r="J1409" s="32"/>
    </row>
    <row r="1410" spans="2:10" ht="12.75">
      <c r="B1410" s="17"/>
      <c r="C1410" s="17"/>
      <c r="D1410" s="47"/>
      <c r="E1410" s="32"/>
      <c r="F1410" s="32"/>
      <c r="H1410" s="32"/>
      <c r="I1410" s="17"/>
      <c r="J1410" s="32"/>
    </row>
    <row r="1411" spans="2:10" ht="12.75">
      <c r="B1411" s="17"/>
      <c r="C1411" s="17"/>
      <c r="D1411" s="47"/>
      <c r="E1411" s="32"/>
      <c r="F1411" s="32"/>
      <c r="H1411" s="32"/>
      <c r="I1411" s="17"/>
      <c r="J1411" s="32"/>
    </row>
    <row r="1412" spans="2:10" ht="12.75">
      <c r="B1412" s="17"/>
      <c r="C1412" s="17"/>
      <c r="D1412" s="47"/>
      <c r="E1412" s="32"/>
      <c r="F1412" s="32"/>
      <c r="H1412" s="32"/>
      <c r="I1412" s="17"/>
      <c r="J1412" s="32"/>
    </row>
    <row r="1413" spans="2:10" ht="12.75">
      <c r="B1413" s="17"/>
      <c r="C1413" s="17"/>
      <c r="D1413" s="47"/>
      <c r="E1413" s="32"/>
      <c r="F1413" s="32"/>
      <c r="H1413" s="32"/>
      <c r="I1413" s="17"/>
      <c r="J1413" s="32"/>
    </row>
    <row r="1414" spans="2:10" ht="12.75">
      <c r="B1414" s="17"/>
      <c r="C1414" s="17"/>
      <c r="D1414" s="47"/>
      <c r="E1414" s="32"/>
      <c r="F1414" s="32"/>
      <c r="H1414" s="32"/>
      <c r="I1414" s="17"/>
      <c r="J1414" s="32"/>
    </row>
    <row r="1415" spans="2:10" ht="12.75">
      <c r="B1415" s="17"/>
      <c r="C1415" s="17"/>
      <c r="D1415" s="47"/>
      <c r="E1415" s="32"/>
      <c r="F1415" s="32"/>
      <c r="H1415" s="32"/>
      <c r="I1415" s="17"/>
      <c r="J1415" s="32"/>
    </row>
    <row r="1416" spans="2:10" ht="12.75">
      <c r="B1416" s="17"/>
      <c r="C1416" s="17"/>
      <c r="D1416" s="47"/>
      <c r="E1416" s="32"/>
      <c r="F1416" s="32"/>
      <c r="H1416" s="32"/>
      <c r="I1416" s="17"/>
      <c r="J1416" s="32"/>
    </row>
    <row r="1417" spans="2:10" ht="12.75">
      <c r="B1417" s="17"/>
      <c r="C1417" s="17"/>
      <c r="D1417" s="47"/>
      <c r="E1417" s="32"/>
      <c r="F1417" s="32"/>
      <c r="H1417" s="32"/>
      <c r="I1417" s="17"/>
      <c r="J1417" s="32"/>
    </row>
    <row r="1418" spans="2:10" ht="12.75">
      <c r="B1418" s="17"/>
      <c r="C1418" s="17"/>
      <c r="D1418" s="47"/>
      <c r="E1418" s="32"/>
      <c r="F1418" s="32"/>
      <c r="H1418" s="32"/>
      <c r="I1418" s="17"/>
      <c r="J1418" s="32"/>
    </row>
    <row r="1419" spans="2:10" ht="12.75">
      <c r="B1419" s="17"/>
      <c r="C1419" s="17"/>
      <c r="D1419" s="47"/>
      <c r="E1419" s="32"/>
      <c r="F1419" s="32"/>
      <c r="H1419" s="32"/>
      <c r="I1419" s="17"/>
      <c r="J1419" s="32"/>
    </row>
    <row r="1420" spans="2:10" ht="12.75">
      <c r="B1420" s="17"/>
      <c r="C1420" s="17"/>
      <c r="D1420" s="47"/>
      <c r="E1420" s="32"/>
      <c r="F1420" s="32"/>
      <c r="H1420" s="32"/>
      <c r="I1420" s="17"/>
      <c r="J1420" s="32"/>
    </row>
    <row r="1421" spans="2:10" ht="12.75">
      <c r="B1421" s="17"/>
      <c r="C1421" s="17"/>
      <c r="D1421" s="47"/>
      <c r="E1421" s="32"/>
      <c r="F1421" s="32"/>
      <c r="H1421" s="32"/>
      <c r="I1421" s="17"/>
      <c r="J1421" s="32"/>
    </row>
    <row r="1422" spans="2:10" ht="12.75">
      <c r="B1422" s="17"/>
      <c r="C1422" s="17"/>
      <c r="D1422" s="47"/>
      <c r="E1422" s="32"/>
      <c r="F1422" s="32"/>
      <c r="H1422" s="32"/>
      <c r="I1422" s="17"/>
      <c r="J1422" s="32"/>
    </row>
    <row r="1423" spans="2:10" ht="12.75">
      <c r="B1423" s="17"/>
      <c r="C1423" s="17"/>
      <c r="D1423" s="47"/>
      <c r="E1423" s="32"/>
      <c r="F1423" s="32"/>
      <c r="H1423" s="32"/>
      <c r="I1423" s="17"/>
      <c r="J1423" s="32"/>
    </row>
    <row r="1424" spans="2:10" ht="12.75">
      <c r="B1424" s="17"/>
      <c r="C1424" s="17"/>
      <c r="D1424" s="47"/>
      <c r="E1424" s="32"/>
      <c r="F1424" s="32"/>
      <c r="H1424" s="32"/>
      <c r="I1424" s="17"/>
      <c r="J1424" s="32"/>
    </row>
    <row r="1425" spans="2:10" ht="12.75">
      <c r="B1425" s="17"/>
      <c r="C1425" s="17"/>
      <c r="D1425" s="47"/>
      <c r="E1425" s="32"/>
      <c r="F1425" s="32"/>
      <c r="H1425" s="32"/>
      <c r="I1425" s="17"/>
      <c r="J1425" s="32"/>
    </row>
    <row r="1426" spans="2:10" ht="12.75">
      <c r="B1426" s="17"/>
      <c r="C1426" s="17"/>
      <c r="D1426" s="47"/>
      <c r="E1426" s="32"/>
      <c r="F1426" s="32"/>
      <c r="H1426" s="32"/>
      <c r="I1426" s="17"/>
      <c r="J1426" s="32"/>
    </row>
    <row r="1427" spans="2:10" ht="12.75">
      <c r="B1427" s="17"/>
      <c r="C1427" s="17"/>
      <c r="D1427" s="47"/>
      <c r="E1427" s="32"/>
      <c r="F1427" s="32"/>
      <c r="H1427" s="32"/>
      <c r="I1427" s="17"/>
      <c r="J1427" s="32"/>
    </row>
    <row r="1428" spans="2:10" ht="12.75">
      <c r="B1428" s="17"/>
      <c r="C1428" s="17"/>
      <c r="D1428" s="47"/>
      <c r="E1428" s="32"/>
      <c r="F1428" s="32"/>
      <c r="H1428" s="32"/>
      <c r="I1428" s="17"/>
      <c r="J1428" s="32"/>
    </row>
    <row r="1429" spans="2:10" ht="12.75">
      <c r="B1429" s="17"/>
      <c r="C1429" s="17"/>
      <c r="D1429" s="47"/>
      <c r="E1429" s="32"/>
      <c r="F1429" s="32"/>
      <c r="H1429" s="32"/>
      <c r="I1429" s="17"/>
      <c r="J1429" s="32"/>
    </row>
    <row r="1430" spans="2:10" ht="12.75">
      <c r="B1430" s="17"/>
      <c r="C1430" s="17"/>
      <c r="D1430" s="47"/>
      <c r="E1430" s="32"/>
      <c r="F1430" s="32"/>
      <c r="H1430" s="32"/>
      <c r="I1430" s="17"/>
      <c r="J1430" s="32"/>
    </row>
    <row r="1431" spans="2:10" ht="12.75">
      <c r="B1431" s="17"/>
      <c r="C1431" s="17"/>
      <c r="D1431" s="47"/>
      <c r="E1431" s="32"/>
      <c r="F1431" s="32"/>
      <c r="H1431" s="32"/>
      <c r="I1431" s="17"/>
      <c r="J1431" s="32"/>
    </row>
    <row r="1432" spans="2:10" ht="12.75">
      <c r="B1432" s="17"/>
      <c r="C1432" s="17"/>
      <c r="D1432" s="47"/>
      <c r="E1432" s="32"/>
      <c r="F1432" s="32"/>
      <c r="H1432" s="32"/>
      <c r="I1432" s="17"/>
      <c r="J1432" s="32"/>
    </row>
    <row r="1433" spans="2:10" ht="12.75">
      <c r="B1433" s="17"/>
      <c r="C1433" s="17"/>
      <c r="D1433" s="47"/>
      <c r="E1433" s="32"/>
      <c r="F1433" s="32"/>
      <c r="H1433" s="32"/>
      <c r="I1433" s="17"/>
      <c r="J1433" s="32"/>
    </row>
    <row r="1434" spans="2:10" ht="12.75">
      <c r="B1434" s="17"/>
      <c r="C1434" s="17"/>
      <c r="D1434" s="47"/>
      <c r="E1434" s="32"/>
      <c r="F1434" s="32"/>
      <c r="H1434" s="32"/>
      <c r="I1434" s="17"/>
      <c r="J1434" s="32"/>
    </row>
    <row r="1435" spans="2:10" ht="12.75">
      <c r="B1435" s="17"/>
      <c r="C1435" s="17"/>
      <c r="D1435" s="47"/>
      <c r="E1435" s="32"/>
      <c r="F1435" s="32"/>
      <c r="H1435" s="32"/>
      <c r="I1435" s="17"/>
      <c r="J1435" s="32"/>
    </row>
    <row r="1436" spans="2:10" ht="12.75">
      <c r="B1436" s="17"/>
      <c r="C1436" s="17"/>
      <c r="D1436" s="47"/>
      <c r="E1436" s="32"/>
      <c r="F1436" s="32"/>
      <c r="H1436" s="32"/>
      <c r="I1436" s="17"/>
      <c r="J1436" s="32"/>
    </row>
    <row r="1437" spans="2:10" ht="12.75">
      <c r="B1437" s="17"/>
      <c r="C1437" s="17"/>
      <c r="D1437" s="47"/>
      <c r="E1437" s="32"/>
      <c r="F1437" s="32"/>
      <c r="H1437" s="32"/>
      <c r="I1437" s="17"/>
      <c r="J1437" s="32"/>
    </row>
    <row r="1438" spans="2:10" ht="12.75">
      <c r="B1438" s="17"/>
      <c r="C1438" s="17"/>
      <c r="D1438" s="47"/>
      <c r="E1438" s="32"/>
      <c r="F1438" s="32"/>
      <c r="H1438" s="32"/>
      <c r="I1438" s="17"/>
      <c r="J1438" s="32"/>
    </row>
    <row r="1439" spans="2:10" ht="12.75">
      <c r="B1439" s="17"/>
      <c r="C1439" s="17"/>
      <c r="D1439" s="47"/>
      <c r="E1439" s="32"/>
      <c r="F1439" s="32"/>
      <c r="H1439" s="32"/>
      <c r="I1439" s="17"/>
      <c r="J1439" s="32"/>
    </row>
    <row r="1440" spans="2:10" ht="12.75">
      <c r="B1440" s="17"/>
      <c r="C1440" s="17"/>
      <c r="D1440" s="47"/>
      <c r="E1440" s="32"/>
      <c r="F1440" s="32"/>
      <c r="H1440" s="32"/>
      <c r="I1440" s="17"/>
      <c r="J1440" s="32"/>
    </row>
    <row r="1441" spans="2:10" ht="12.75">
      <c r="B1441" s="17"/>
      <c r="C1441" s="17"/>
      <c r="D1441" s="47"/>
      <c r="E1441" s="32"/>
      <c r="F1441" s="32"/>
      <c r="H1441" s="32"/>
      <c r="I1441" s="17"/>
      <c r="J1441" s="32"/>
    </row>
    <row r="1442" spans="2:10" ht="12.75">
      <c r="B1442" s="17"/>
      <c r="C1442" s="17"/>
      <c r="D1442" s="47"/>
      <c r="E1442" s="32"/>
      <c r="F1442" s="32"/>
      <c r="H1442" s="32"/>
      <c r="I1442" s="17"/>
      <c r="J1442" s="32"/>
    </row>
    <row r="1443" spans="2:10" ht="12.75">
      <c r="B1443" s="17"/>
      <c r="C1443" s="17"/>
      <c r="D1443" s="47"/>
      <c r="E1443" s="32"/>
      <c r="F1443" s="32"/>
      <c r="H1443" s="32"/>
      <c r="I1443" s="17"/>
      <c r="J1443" s="32"/>
    </row>
    <row r="1444" spans="2:10" ht="12.75">
      <c r="B1444" s="17"/>
      <c r="C1444" s="17"/>
      <c r="D1444" s="47"/>
      <c r="E1444" s="32"/>
      <c r="F1444" s="32"/>
      <c r="H1444" s="32"/>
      <c r="I1444" s="17"/>
      <c r="J1444" s="32"/>
    </row>
    <row r="1445" spans="2:10" ht="12.75">
      <c r="B1445" s="17"/>
      <c r="C1445" s="17"/>
      <c r="D1445" s="47"/>
      <c r="E1445" s="32"/>
      <c r="F1445" s="32"/>
      <c r="H1445" s="32"/>
      <c r="I1445" s="17"/>
      <c r="J1445" s="32"/>
    </row>
    <row r="1446" spans="2:10" ht="12.75">
      <c r="B1446" s="17"/>
      <c r="C1446" s="17"/>
      <c r="D1446" s="47"/>
      <c r="E1446" s="32"/>
      <c r="F1446" s="32"/>
      <c r="H1446" s="32"/>
      <c r="I1446" s="17"/>
      <c r="J1446" s="32"/>
    </row>
    <row r="1447" spans="2:10" ht="12.75">
      <c r="B1447" s="17"/>
      <c r="C1447" s="17"/>
      <c r="D1447" s="47"/>
      <c r="E1447" s="32"/>
      <c r="F1447" s="32"/>
      <c r="H1447" s="32"/>
      <c r="I1447" s="17"/>
      <c r="J1447" s="32"/>
    </row>
    <row r="1448" spans="2:10" ht="12.75">
      <c r="B1448" s="17"/>
      <c r="C1448" s="17"/>
      <c r="D1448" s="47"/>
      <c r="E1448" s="32"/>
      <c r="F1448" s="32"/>
      <c r="H1448" s="32"/>
      <c r="I1448" s="17"/>
      <c r="J1448" s="32"/>
    </row>
    <row r="1449" spans="2:10" ht="12.75">
      <c r="B1449" s="17"/>
      <c r="C1449" s="17"/>
      <c r="D1449" s="47"/>
      <c r="E1449" s="32"/>
      <c r="F1449" s="32"/>
      <c r="H1449" s="32"/>
      <c r="I1449" s="17"/>
      <c r="J1449" s="32"/>
    </row>
    <row r="1450" spans="2:10" ht="12.75">
      <c r="B1450" s="17"/>
      <c r="C1450" s="17"/>
      <c r="D1450" s="47"/>
      <c r="E1450" s="32"/>
      <c r="F1450" s="32"/>
      <c r="H1450" s="32"/>
      <c r="I1450" s="17"/>
      <c r="J1450" s="32"/>
    </row>
    <row r="1451" spans="2:10" ht="12.75">
      <c r="B1451" s="17"/>
      <c r="C1451" s="17"/>
      <c r="D1451" s="47"/>
      <c r="E1451" s="32"/>
      <c r="F1451" s="32"/>
      <c r="H1451" s="32"/>
      <c r="I1451" s="17"/>
      <c r="J1451" s="32"/>
    </row>
    <row r="1452" spans="2:10" ht="12.75">
      <c r="B1452" s="17"/>
      <c r="C1452" s="17"/>
      <c r="D1452" s="47"/>
      <c r="E1452" s="32"/>
      <c r="F1452" s="32"/>
      <c r="H1452" s="32"/>
      <c r="I1452" s="17"/>
      <c r="J1452" s="32"/>
    </row>
    <row r="1453" spans="2:10" ht="12.75">
      <c r="B1453" s="17"/>
      <c r="C1453" s="17"/>
      <c r="D1453" s="47"/>
      <c r="E1453" s="32"/>
      <c r="F1453" s="32"/>
      <c r="H1453" s="32"/>
      <c r="I1453" s="17"/>
      <c r="J1453" s="32"/>
    </row>
    <row r="1454" spans="2:10" ht="12.75">
      <c r="B1454" s="17"/>
      <c r="C1454" s="17"/>
      <c r="D1454" s="47"/>
      <c r="E1454" s="32"/>
      <c r="F1454" s="32"/>
      <c r="H1454" s="32"/>
      <c r="I1454" s="17"/>
      <c r="J1454" s="32"/>
    </row>
    <row r="1455" spans="2:10" ht="12.75">
      <c r="B1455" s="17"/>
      <c r="C1455" s="17"/>
      <c r="D1455" s="47"/>
      <c r="E1455" s="32"/>
      <c r="F1455" s="32"/>
      <c r="H1455" s="32"/>
      <c r="I1455" s="17"/>
      <c r="J1455" s="32"/>
    </row>
    <row r="1456" spans="2:10" ht="12.75">
      <c r="B1456" s="17"/>
      <c r="C1456" s="17"/>
      <c r="D1456" s="47"/>
      <c r="E1456" s="32"/>
      <c r="F1456" s="32"/>
      <c r="H1456" s="32"/>
      <c r="I1456" s="17"/>
      <c r="J1456" s="32"/>
    </row>
    <row r="1457" spans="2:10" ht="12.75">
      <c r="B1457" s="17"/>
      <c r="C1457" s="17"/>
      <c r="D1457" s="47"/>
      <c r="E1457" s="32"/>
      <c r="F1457" s="32"/>
      <c r="H1457" s="32"/>
      <c r="I1457" s="17"/>
      <c r="J1457" s="32"/>
    </row>
    <row r="1458" spans="2:10" ht="12.75">
      <c r="B1458" s="17"/>
      <c r="C1458" s="17"/>
      <c r="D1458" s="47"/>
      <c r="E1458" s="32"/>
      <c r="F1458" s="32"/>
      <c r="H1458" s="32"/>
      <c r="I1458" s="17"/>
      <c r="J1458" s="32"/>
    </row>
    <row r="1459" spans="2:10" ht="12.75">
      <c r="B1459" s="17"/>
      <c r="C1459" s="17"/>
      <c r="D1459" s="47"/>
      <c r="E1459" s="32"/>
      <c r="F1459" s="32"/>
      <c r="H1459" s="32"/>
      <c r="I1459" s="17"/>
      <c r="J1459" s="32"/>
    </row>
    <row r="1460" spans="2:10" ht="12.75">
      <c r="B1460" s="17"/>
      <c r="C1460" s="17"/>
      <c r="D1460" s="47"/>
      <c r="E1460" s="32"/>
      <c r="F1460" s="32"/>
      <c r="H1460" s="32"/>
      <c r="I1460" s="17"/>
      <c r="J1460" s="32"/>
    </row>
    <row r="1461" spans="2:10" ht="12.75">
      <c r="B1461" s="17"/>
      <c r="C1461" s="17"/>
      <c r="D1461" s="47"/>
      <c r="E1461" s="32"/>
      <c r="F1461" s="32"/>
      <c r="H1461" s="32"/>
      <c r="I1461" s="17"/>
      <c r="J1461" s="32"/>
    </row>
    <row r="1462" spans="2:10" ht="12.75">
      <c r="B1462" s="17"/>
      <c r="C1462" s="17"/>
      <c r="D1462" s="47"/>
      <c r="E1462" s="32"/>
      <c r="F1462" s="32"/>
      <c r="H1462" s="32"/>
      <c r="I1462" s="17"/>
      <c r="J1462" s="32"/>
    </row>
    <row r="1463" spans="2:10" ht="12.75">
      <c r="B1463" s="17"/>
      <c r="C1463" s="17"/>
      <c r="D1463" s="47"/>
      <c r="E1463" s="32"/>
      <c r="F1463" s="32"/>
      <c r="H1463" s="32"/>
      <c r="I1463" s="17"/>
      <c r="J1463" s="32"/>
    </row>
    <row r="1464" spans="2:10" ht="12.75">
      <c r="B1464" s="17"/>
      <c r="C1464" s="17"/>
      <c r="D1464" s="47"/>
      <c r="E1464" s="32"/>
      <c r="F1464" s="32"/>
      <c r="H1464" s="32"/>
      <c r="I1464" s="17"/>
      <c r="J1464" s="32"/>
    </row>
    <row r="1465" spans="2:10" ht="12.75">
      <c r="B1465" s="17"/>
      <c r="C1465" s="17"/>
      <c r="D1465" s="47"/>
      <c r="E1465" s="32"/>
      <c r="F1465" s="32"/>
      <c r="H1465" s="32"/>
      <c r="I1465" s="17"/>
      <c r="J1465" s="32"/>
    </row>
    <row r="1466" spans="2:10" ht="12.75">
      <c r="B1466" s="17"/>
      <c r="C1466" s="17"/>
      <c r="D1466" s="47"/>
      <c r="E1466" s="32"/>
      <c r="F1466" s="32"/>
      <c r="H1466" s="32"/>
      <c r="I1466" s="17"/>
      <c r="J1466" s="32"/>
    </row>
    <row r="1467" spans="2:10" ht="12.75">
      <c r="B1467" s="17"/>
      <c r="C1467" s="17"/>
      <c r="D1467" s="47"/>
      <c r="E1467" s="32"/>
      <c r="F1467" s="32"/>
      <c r="H1467" s="32"/>
      <c r="I1467" s="17"/>
      <c r="J1467" s="32"/>
    </row>
    <row r="1468" spans="2:10" ht="12.75">
      <c r="B1468" s="17"/>
      <c r="C1468" s="17"/>
      <c r="D1468" s="47"/>
      <c r="E1468" s="32"/>
      <c r="F1468" s="32"/>
      <c r="H1468" s="32"/>
      <c r="I1468" s="17"/>
      <c r="J1468" s="32"/>
    </row>
    <row r="1469" spans="2:10" ht="12.75">
      <c r="B1469" s="17"/>
      <c r="C1469" s="17"/>
      <c r="D1469" s="47"/>
      <c r="E1469" s="32"/>
      <c r="F1469" s="32"/>
      <c r="H1469" s="32"/>
      <c r="I1469" s="17"/>
      <c r="J1469" s="32"/>
    </row>
    <row r="1470" spans="2:10" ht="12.75">
      <c r="B1470" s="17"/>
      <c r="C1470" s="17"/>
      <c r="D1470" s="47"/>
      <c r="E1470" s="32"/>
      <c r="F1470" s="32"/>
      <c r="H1470" s="32"/>
      <c r="I1470" s="17"/>
      <c r="J1470" s="32"/>
    </row>
    <row r="1471" spans="2:10" ht="12.75">
      <c r="B1471" s="17"/>
      <c r="C1471" s="17"/>
      <c r="D1471" s="47"/>
      <c r="E1471" s="32"/>
      <c r="F1471" s="32"/>
      <c r="H1471" s="32"/>
      <c r="I1471" s="17"/>
      <c r="J1471" s="32"/>
    </row>
    <row r="1472" spans="2:10" ht="12.75">
      <c r="B1472" s="17"/>
      <c r="C1472" s="17"/>
      <c r="D1472" s="47"/>
      <c r="E1472" s="32"/>
      <c r="F1472" s="32"/>
      <c r="H1472" s="32"/>
      <c r="I1472" s="17"/>
      <c r="J1472" s="32"/>
    </row>
    <row r="1473" spans="2:10" ht="12.75">
      <c r="B1473" s="17"/>
      <c r="C1473" s="17"/>
      <c r="D1473" s="47"/>
      <c r="E1473" s="32"/>
      <c r="F1473" s="32"/>
      <c r="H1473" s="32"/>
      <c r="I1473" s="17"/>
      <c r="J1473" s="32"/>
    </row>
    <row r="1474" spans="2:10" ht="12.75">
      <c r="B1474" s="17"/>
      <c r="C1474" s="17"/>
      <c r="D1474" s="47"/>
      <c r="E1474" s="32"/>
      <c r="F1474" s="32"/>
      <c r="H1474" s="32"/>
      <c r="I1474" s="17"/>
      <c r="J1474" s="32"/>
    </row>
    <row r="1475" spans="2:10" ht="12.75">
      <c r="B1475" s="17"/>
      <c r="C1475" s="17"/>
      <c r="D1475" s="47"/>
      <c r="E1475" s="32"/>
      <c r="F1475" s="32"/>
      <c r="H1475" s="32"/>
      <c r="I1475" s="17"/>
      <c r="J1475" s="32"/>
    </row>
    <row r="1476" spans="2:10" ht="12.75">
      <c r="B1476" s="17"/>
      <c r="C1476" s="17"/>
      <c r="D1476" s="47"/>
      <c r="E1476" s="32"/>
      <c r="F1476" s="32"/>
      <c r="H1476" s="32"/>
      <c r="I1476" s="17"/>
      <c r="J1476" s="32"/>
    </row>
    <row r="1477" spans="2:10" ht="12.75">
      <c r="B1477" s="17"/>
      <c r="C1477" s="17"/>
      <c r="D1477" s="47"/>
      <c r="E1477" s="32"/>
      <c r="F1477" s="32"/>
      <c r="H1477" s="32"/>
      <c r="I1477" s="17"/>
      <c r="J1477" s="32"/>
    </row>
    <row r="1478" spans="2:10" ht="12.75">
      <c r="B1478" s="17"/>
      <c r="C1478" s="17"/>
      <c r="D1478" s="47"/>
      <c r="E1478" s="32"/>
      <c r="F1478" s="32"/>
      <c r="H1478" s="32"/>
      <c r="I1478" s="17"/>
      <c r="J1478" s="32"/>
    </row>
    <row r="1479" spans="2:10" ht="12.75">
      <c r="B1479" s="17"/>
      <c r="C1479" s="17"/>
      <c r="D1479" s="47"/>
      <c r="E1479" s="32"/>
      <c r="F1479" s="32"/>
      <c r="H1479" s="32"/>
      <c r="I1479" s="17"/>
      <c r="J1479" s="32"/>
    </row>
    <row r="1480" spans="2:10" ht="12.75">
      <c r="B1480" s="17"/>
      <c r="C1480" s="17"/>
      <c r="D1480" s="47"/>
      <c r="E1480" s="32"/>
      <c r="F1480" s="32"/>
      <c r="H1480" s="32"/>
      <c r="I1480" s="17"/>
      <c r="J1480" s="32"/>
    </row>
    <row r="1481" spans="2:10" ht="12.75">
      <c r="B1481" s="17"/>
      <c r="C1481" s="17"/>
      <c r="D1481" s="47"/>
      <c r="E1481" s="32"/>
      <c r="F1481" s="32"/>
      <c r="H1481" s="32"/>
      <c r="I1481" s="17"/>
      <c r="J1481" s="32"/>
    </row>
    <row r="1482" spans="2:10" ht="12.75">
      <c r="B1482" s="17"/>
      <c r="C1482" s="17"/>
      <c r="D1482" s="47"/>
      <c r="E1482" s="32"/>
      <c r="F1482" s="32"/>
      <c r="H1482" s="32"/>
      <c r="I1482" s="17"/>
      <c r="J1482" s="32"/>
    </row>
    <row r="1483" spans="2:10" ht="12.75">
      <c r="B1483" s="17"/>
      <c r="C1483" s="17"/>
      <c r="D1483" s="47"/>
      <c r="E1483" s="32"/>
      <c r="F1483" s="32"/>
      <c r="H1483" s="32"/>
      <c r="I1483" s="17"/>
      <c r="J1483" s="32"/>
    </row>
    <row r="1484" spans="2:10" ht="12.75">
      <c r="B1484" s="17"/>
      <c r="C1484" s="17"/>
      <c r="D1484" s="47"/>
      <c r="E1484" s="32"/>
      <c r="F1484" s="32"/>
      <c r="H1484" s="32"/>
      <c r="I1484" s="17"/>
      <c r="J1484" s="32"/>
    </row>
    <row r="1485" spans="2:10" ht="12.75">
      <c r="B1485" s="17"/>
      <c r="C1485" s="17"/>
      <c r="D1485" s="47"/>
      <c r="E1485" s="32"/>
      <c r="F1485" s="32"/>
      <c r="H1485" s="32"/>
      <c r="I1485" s="17"/>
      <c r="J1485" s="32"/>
    </row>
    <row r="1486" spans="2:10" ht="12.75">
      <c r="B1486" s="17"/>
      <c r="C1486" s="17"/>
      <c r="D1486" s="47"/>
      <c r="E1486" s="32"/>
      <c r="F1486" s="32"/>
      <c r="H1486" s="32"/>
      <c r="I1486" s="17"/>
      <c r="J1486" s="32"/>
    </row>
    <row r="1487" spans="2:10" ht="12.75">
      <c r="B1487" s="17"/>
      <c r="C1487" s="17"/>
      <c r="D1487" s="47"/>
      <c r="E1487" s="32"/>
      <c r="F1487" s="32"/>
      <c r="H1487" s="32"/>
      <c r="I1487" s="17"/>
      <c r="J1487" s="32"/>
    </row>
    <row r="1488" spans="2:10" ht="12.75">
      <c r="B1488" s="17"/>
      <c r="C1488" s="17"/>
      <c r="D1488" s="47"/>
      <c r="E1488" s="32"/>
      <c r="F1488" s="32"/>
      <c r="H1488" s="32"/>
      <c r="I1488" s="17"/>
      <c r="J1488" s="32"/>
    </row>
    <row r="1489" spans="2:10" ht="12.75">
      <c r="B1489" s="17"/>
      <c r="C1489" s="17"/>
      <c r="D1489" s="47"/>
      <c r="E1489" s="32"/>
      <c r="F1489" s="32"/>
      <c r="H1489" s="32"/>
      <c r="I1489" s="17"/>
      <c r="J1489" s="32"/>
    </row>
    <row r="1490" spans="2:10" ht="12.75">
      <c r="B1490" s="17"/>
      <c r="C1490" s="17"/>
      <c r="D1490" s="47"/>
      <c r="E1490" s="32"/>
      <c r="F1490" s="32"/>
      <c r="H1490" s="32"/>
      <c r="I1490" s="17"/>
      <c r="J1490" s="32"/>
    </row>
    <row r="1491" spans="2:10" ht="12.75">
      <c r="B1491" s="17"/>
      <c r="C1491" s="17"/>
      <c r="D1491" s="47"/>
      <c r="E1491" s="32"/>
      <c r="F1491" s="32"/>
      <c r="H1491" s="32"/>
      <c r="I1491" s="17"/>
      <c r="J1491" s="32"/>
    </row>
    <row r="1492" spans="2:10" ht="12.75">
      <c r="B1492" s="17"/>
      <c r="C1492" s="17"/>
      <c r="D1492" s="47"/>
      <c r="E1492" s="32"/>
      <c r="F1492" s="32"/>
      <c r="H1492" s="32"/>
      <c r="I1492" s="17"/>
      <c r="J1492" s="32"/>
    </row>
    <row r="1493" spans="2:10" ht="12.75">
      <c r="B1493" s="17"/>
      <c r="C1493" s="17"/>
      <c r="D1493" s="47"/>
      <c r="E1493" s="32"/>
      <c r="F1493" s="32"/>
      <c r="H1493" s="32"/>
      <c r="I1493" s="17"/>
      <c r="J1493" s="32"/>
    </row>
    <row r="1494" spans="2:10" ht="12.75">
      <c r="B1494" s="17"/>
      <c r="C1494" s="17"/>
      <c r="D1494" s="47"/>
      <c r="E1494" s="32"/>
      <c r="F1494" s="32"/>
      <c r="H1494" s="32"/>
      <c r="I1494" s="17"/>
      <c r="J1494" s="32"/>
    </row>
    <row r="1495" spans="2:10" ht="12.75">
      <c r="B1495" s="17"/>
      <c r="C1495" s="17"/>
      <c r="D1495" s="47"/>
      <c r="E1495" s="32"/>
      <c r="F1495" s="32"/>
      <c r="H1495" s="32"/>
      <c r="I1495" s="17"/>
      <c r="J1495" s="32"/>
    </row>
    <row r="1496" spans="2:10" ht="12.75">
      <c r="B1496" s="17"/>
      <c r="C1496" s="17"/>
      <c r="D1496" s="47"/>
      <c r="E1496" s="32"/>
      <c r="F1496" s="32"/>
      <c r="H1496" s="32"/>
      <c r="I1496" s="17"/>
      <c r="J1496" s="32"/>
    </row>
    <row r="1497" spans="2:10" ht="12.75">
      <c r="B1497" s="17"/>
      <c r="C1497" s="17"/>
      <c r="D1497" s="47"/>
      <c r="E1497" s="32"/>
      <c r="F1497" s="32"/>
      <c r="H1497" s="32"/>
      <c r="I1497" s="17"/>
      <c r="J1497" s="32"/>
    </row>
    <row r="1498" spans="2:10" ht="12.75">
      <c r="B1498" s="17"/>
      <c r="C1498" s="17"/>
      <c r="D1498" s="47"/>
      <c r="E1498" s="32"/>
      <c r="F1498" s="32"/>
      <c r="H1498" s="32"/>
      <c r="I1498" s="17"/>
      <c r="J1498" s="32"/>
    </row>
    <row r="1499" spans="2:10" ht="12.75">
      <c r="B1499" s="17"/>
      <c r="C1499" s="17"/>
      <c r="D1499" s="47"/>
      <c r="E1499" s="32"/>
      <c r="F1499" s="32"/>
      <c r="H1499" s="32"/>
      <c r="I1499" s="17"/>
      <c r="J1499" s="32"/>
    </row>
    <row r="1500" spans="2:10" ht="12.75">
      <c r="B1500" s="17"/>
      <c r="C1500" s="17"/>
      <c r="D1500" s="47"/>
      <c r="E1500" s="32"/>
      <c r="F1500" s="32"/>
      <c r="H1500" s="32"/>
      <c r="I1500" s="17"/>
      <c r="J1500" s="32"/>
    </row>
    <row r="1501" spans="2:10" ht="12.75">
      <c r="B1501" s="17"/>
      <c r="C1501" s="17"/>
      <c r="D1501" s="47"/>
      <c r="E1501" s="32"/>
      <c r="F1501" s="32"/>
      <c r="H1501" s="32"/>
      <c r="I1501" s="17"/>
      <c r="J1501" s="32"/>
    </row>
    <row r="1502" spans="2:10" ht="12.75">
      <c r="B1502" s="17"/>
      <c r="C1502" s="17"/>
      <c r="D1502" s="47"/>
      <c r="E1502" s="32"/>
      <c r="F1502" s="32"/>
      <c r="H1502" s="32"/>
      <c r="I1502" s="17"/>
      <c r="J1502" s="32"/>
    </row>
    <row r="1503" spans="2:10" ht="12.75">
      <c r="B1503" s="17"/>
      <c r="C1503" s="17"/>
      <c r="D1503" s="47"/>
      <c r="E1503" s="32"/>
      <c r="F1503" s="32"/>
      <c r="H1503" s="32"/>
      <c r="I1503" s="17"/>
      <c r="J1503" s="32"/>
    </row>
    <row r="1504" spans="2:10" ht="12.75">
      <c r="B1504" s="17"/>
      <c r="C1504" s="17"/>
      <c r="D1504" s="47"/>
      <c r="E1504" s="32"/>
      <c r="F1504" s="32"/>
      <c r="H1504" s="32"/>
      <c r="I1504" s="17"/>
      <c r="J1504" s="32"/>
    </row>
    <row r="1505" spans="2:10" ht="12.75">
      <c r="B1505" s="17"/>
      <c r="C1505" s="17"/>
      <c r="D1505" s="47"/>
      <c r="E1505" s="32"/>
      <c r="F1505" s="32"/>
      <c r="H1505" s="32"/>
      <c r="I1505" s="17"/>
      <c r="J1505" s="32"/>
    </row>
    <row r="1506" spans="2:10" ht="12.75">
      <c r="B1506" s="17"/>
      <c r="C1506" s="17"/>
      <c r="D1506" s="47"/>
      <c r="E1506" s="32"/>
      <c r="F1506" s="32"/>
      <c r="H1506" s="32"/>
      <c r="I1506" s="17"/>
      <c r="J1506" s="32"/>
    </row>
    <row r="1507" spans="2:10" ht="12.75">
      <c r="B1507" s="17"/>
      <c r="C1507" s="17"/>
      <c r="D1507" s="47"/>
      <c r="E1507" s="32"/>
      <c r="F1507" s="32"/>
      <c r="H1507" s="32"/>
      <c r="I1507" s="17"/>
      <c r="J1507" s="32"/>
    </row>
    <row r="1508" spans="2:10" ht="12.75">
      <c r="B1508" s="17"/>
      <c r="C1508" s="17"/>
      <c r="D1508" s="47"/>
      <c r="E1508" s="32"/>
      <c r="F1508" s="32"/>
      <c r="H1508" s="32"/>
      <c r="I1508" s="17"/>
      <c r="J1508" s="32"/>
    </row>
    <row r="1509" spans="2:10" ht="12.75">
      <c r="B1509" s="17"/>
      <c r="C1509" s="17"/>
      <c r="D1509" s="47"/>
      <c r="E1509" s="32"/>
      <c r="F1509" s="32"/>
      <c r="H1509" s="32"/>
      <c r="I1509" s="17"/>
      <c r="J1509" s="32"/>
    </row>
    <row r="1510" spans="2:10" ht="12.75">
      <c r="B1510" s="17"/>
      <c r="C1510" s="17"/>
      <c r="D1510" s="47"/>
      <c r="E1510" s="32"/>
      <c r="F1510" s="32"/>
      <c r="H1510" s="32"/>
      <c r="I1510" s="17"/>
      <c r="J1510" s="32"/>
    </row>
    <row r="1511" spans="2:10" ht="12.75">
      <c r="B1511" s="17"/>
      <c r="C1511" s="17"/>
      <c r="D1511" s="47"/>
      <c r="E1511" s="32"/>
      <c r="F1511" s="32"/>
      <c r="H1511" s="32"/>
      <c r="I1511" s="17"/>
      <c r="J1511" s="32"/>
    </row>
    <row r="1512" spans="2:10" ht="12.75">
      <c r="B1512" s="17"/>
      <c r="C1512" s="17"/>
      <c r="D1512" s="47"/>
      <c r="E1512" s="32"/>
      <c r="F1512" s="32"/>
      <c r="H1512" s="32"/>
      <c r="I1512" s="17"/>
      <c r="J1512" s="32"/>
    </row>
    <row r="1513" spans="2:10" ht="12.75">
      <c r="B1513" s="17"/>
      <c r="C1513" s="17"/>
      <c r="D1513" s="47"/>
      <c r="E1513" s="32"/>
      <c r="F1513" s="32"/>
      <c r="H1513" s="32"/>
      <c r="I1513" s="17"/>
      <c r="J1513" s="32"/>
    </row>
    <row r="1514" spans="2:10" ht="12.75">
      <c r="B1514" s="17"/>
      <c r="C1514" s="17"/>
      <c r="D1514" s="47"/>
      <c r="E1514" s="32"/>
      <c r="F1514" s="32"/>
      <c r="H1514" s="32"/>
      <c r="I1514" s="17"/>
      <c r="J1514" s="32"/>
    </row>
    <row r="1515" spans="2:10" ht="12.75">
      <c r="B1515" s="17"/>
      <c r="C1515" s="17"/>
      <c r="D1515" s="47"/>
      <c r="E1515" s="32"/>
      <c r="F1515" s="32"/>
      <c r="H1515" s="32"/>
      <c r="I1515" s="17"/>
      <c r="J1515" s="32"/>
    </row>
    <row r="1516" spans="2:10" ht="12.75">
      <c r="B1516" s="17"/>
      <c r="C1516" s="17"/>
      <c r="D1516" s="47"/>
      <c r="E1516" s="32"/>
      <c r="F1516" s="32"/>
      <c r="H1516" s="32"/>
      <c r="I1516" s="17"/>
      <c r="J1516" s="32"/>
    </row>
    <row r="1517" spans="2:10" ht="12.75">
      <c r="B1517" s="17"/>
      <c r="C1517" s="17"/>
      <c r="D1517" s="47"/>
      <c r="E1517" s="32"/>
      <c r="F1517" s="32"/>
      <c r="H1517" s="32"/>
      <c r="I1517" s="17"/>
      <c r="J1517" s="32"/>
    </row>
    <row r="1518" spans="2:10" ht="12.75">
      <c r="B1518" s="17"/>
      <c r="C1518" s="17"/>
      <c r="D1518" s="47"/>
      <c r="E1518" s="32"/>
      <c r="F1518" s="32"/>
      <c r="H1518" s="32"/>
      <c r="I1518" s="17"/>
      <c r="J1518" s="32"/>
    </row>
    <row r="1519" spans="2:10" ht="12.75">
      <c r="B1519" s="17"/>
      <c r="C1519" s="17"/>
      <c r="D1519" s="47"/>
      <c r="E1519" s="32"/>
      <c r="F1519" s="32"/>
      <c r="H1519" s="32"/>
      <c r="I1519" s="17"/>
      <c r="J1519" s="32"/>
    </row>
    <row r="1520" spans="2:10" ht="12.75">
      <c r="B1520" s="17"/>
      <c r="C1520" s="17"/>
      <c r="D1520" s="47"/>
      <c r="E1520" s="32"/>
      <c r="F1520" s="32"/>
      <c r="H1520" s="32"/>
      <c r="I1520" s="17"/>
      <c r="J1520" s="32"/>
    </row>
    <row r="1521" spans="2:10" ht="12.75">
      <c r="B1521" s="17"/>
      <c r="C1521" s="17"/>
      <c r="D1521" s="47"/>
      <c r="E1521" s="32"/>
      <c r="F1521" s="32"/>
      <c r="H1521" s="32"/>
      <c r="I1521" s="17"/>
      <c r="J1521" s="32"/>
    </row>
    <row r="1522" spans="2:10" ht="12.75">
      <c r="B1522" s="17"/>
      <c r="C1522" s="17"/>
      <c r="D1522" s="47"/>
      <c r="E1522" s="32"/>
      <c r="F1522" s="32"/>
      <c r="H1522" s="32"/>
      <c r="I1522" s="17"/>
      <c r="J1522" s="32"/>
    </row>
    <row r="1523" spans="2:10" ht="12.75">
      <c r="B1523" s="17"/>
      <c r="C1523" s="17"/>
      <c r="D1523" s="47"/>
      <c r="E1523" s="32"/>
      <c r="F1523" s="32"/>
      <c r="H1523" s="32"/>
      <c r="I1523" s="17"/>
      <c r="J1523" s="32"/>
    </row>
    <row r="1524" spans="2:10" ht="12.75">
      <c r="B1524" s="17"/>
      <c r="C1524" s="17"/>
      <c r="D1524" s="47"/>
      <c r="E1524" s="32"/>
      <c r="F1524" s="32"/>
      <c r="H1524" s="32"/>
      <c r="I1524" s="17"/>
      <c r="J1524" s="32"/>
    </row>
    <row r="1525" spans="2:10" ht="12.75">
      <c r="B1525" s="17"/>
      <c r="C1525" s="17"/>
      <c r="D1525" s="47"/>
      <c r="E1525" s="32"/>
      <c r="F1525" s="32"/>
      <c r="H1525" s="32"/>
      <c r="I1525" s="17"/>
      <c r="J1525" s="32"/>
    </row>
    <row r="1526" spans="2:10" ht="12.75">
      <c r="B1526" s="17"/>
      <c r="C1526" s="17"/>
      <c r="D1526" s="47"/>
      <c r="E1526" s="32"/>
      <c r="F1526" s="32"/>
      <c r="H1526" s="32"/>
      <c r="I1526" s="17"/>
      <c r="J1526" s="32"/>
    </row>
    <row r="1527" spans="2:10" ht="12.75">
      <c r="B1527" s="17"/>
      <c r="C1527" s="17"/>
      <c r="D1527" s="47"/>
      <c r="E1527" s="32"/>
      <c r="F1527" s="32"/>
      <c r="H1527" s="32"/>
      <c r="I1527" s="17"/>
      <c r="J1527" s="32"/>
    </row>
    <row r="1528" spans="2:10" ht="12.75">
      <c r="B1528" s="17"/>
      <c r="C1528" s="17"/>
      <c r="D1528" s="47"/>
      <c r="E1528" s="32"/>
      <c r="F1528" s="32"/>
      <c r="H1528" s="32"/>
      <c r="I1528" s="17"/>
      <c r="J1528" s="32"/>
    </row>
    <row r="1529" spans="2:10" ht="12.75">
      <c r="B1529" s="17"/>
      <c r="C1529" s="17"/>
      <c r="D1529" s="47"/>
      <c r="E1529" s="32"/>
      <c r="F1529" s="32"/>
      <c r="H1529" s="32"/>
      <c r="I1529" s="17"/>
      <c r="J1529" s="32"/>
    </row>
    <row r="1530" spans="2:10" ht="12.75">
      <c r="B1530" s="17"/>
      <c r="C1530" s="17"/>
      <c r="D1530" s="47"/>
      <c r="E1530" s="32"/>
      <c r="F1530" s="32"/>
      <c r="H1530" s="32"/>
      <c r="I1530" s="17"/>
      <c r="J1530" s="32"/>
    </row>
    <row r="1531" spans="2:10" ht="12.75">
      <c r="B1531" s="17"/>
      <c r="C1531" s="17"/>
      <c r="D1531" s="47"/>
      <c r="E1531" s="32"/>
      <c r="F1531" s="32"/>
      <c r="H1531" s="32"/>
      <c r="I1531" s="17"/>
      <c r="J1531" s="32"/>
    </row>
    <row r="1532" spans="2:10" ht="12.75">
      <c r="B1532" s="17"/>
      <c r="C1532" s="17"/>
      <c r="D1532" s="47"/>
      <c r="E1532" s="32"/>
      <c r="F1532" s="32"/>
      <c r="H1532" s="32"/>
      <c r="I1532" s="17"/>
      <c r="J1532" s="32"/>
    </row>
    <row r="1533" spans="2:10" ht="12.75">
      <c r="B1533" s="17"/>
      <c r="C1533" s="17"/>
      <c r="D1533" s="47"/>
      <c r="E1533" s="32"/>
      <c r="F1533" s="32"/>
      <c r="H1533" s="32"/>
      <c r="I1533" s="17"/>
      <c r="J1533" s="32"/>
    </row>
    <row r="1534" spans="2:10" ht="12.75">
      <c r="B1534" s="17"/>
      <c r="C1534" s="17"/>
      <c r="D1534" s="47"/>
      <c r="E1534" s="32"/>
      <c r="F1534" s="32"/>
      <c r="H1534" s="32"/>
      <c r="I1534" s="17"/>
      <c r="J1534" s="32"/>
    </row>
    <row r="1535" spans="2:10" ht="12.75">
      <c r="B1535" s="17"/>
      <c r="C1535" s="17"/>
      <c r="D1535" s="47"/>
      <c r="E1535" s="32"/>
      <c r="F1535" s="32"/>
      <c r="H1535" s="32"/>
      <c r="I1535" s="17"/>
      <c r="J1535" s="32"/>
    </row>
    <row r="1536" spans="2:10" ht="12.75">
      <c r="B1536" s="17"/>
      <c r="C1536" s="17"/>
      <c r="D1536" s="47"/>
      <c r="E1536" s="32"/>
      <c r="F1536" s="32"/>
      <c r="H1536" s="32"/>
      <c r="I1536" s="17"/>
      <c r="J1536" s="32"/>
    </row>
    <row r="1537" spans="2:10" ht="12.75">
      <c r="B1537" s="17"/>
      <c r="C1537" s="17"/>
      <c r="D1537" s="47"/>
      <c r="E1537" s="32"/>
      <c r="F1537" s="32"/>
      <c r="H1537" s="32"/>
      <c r="I1537" s="17"/>
      <c r="J1537" s="32"/>
    </row>
    <row r="1538" spans="2:10" ht="12.75">
      <c r="B1538" s="17"/>
      <c r="C1538" s="17"/>
      <c r="D1538" s="47"/>
      <c r="E1538" s="32"/>
      <c r="F1538" s="32"/>
      <c r="H1538" s="32"/>
      <c r="I1538" s="17"/>
      <c r="J1538" s="32"/>
    </row>
    <row r="1539" spans="2:10" ht="12.75">
      <c r="B1539" s="17"/>
      <c r="C1539" s="17"/>
      <c r="D1539" s="47"/>
      <c r="E1539" s="32"/>
      <c r="F1539" s="32"/>
      <c r="H1539" s="32"/>
      <c r="I1539" s="17"/>
      <c r="J1539" s="32"/>
    </row>
    <row r="1540" spans="2:10" ht="12.75">
      <c r="B1540" s="17"/>
      <c r="C1540" s="17"/>
      <c r="D1540" s="47"/>
      <c r="E1540" s="32"/>
      <c r="F1540" s="32"/>
      <c r="H1540" s="32"/>
      <c r="I1540" s="17"/>
      <c r="J1540" s="32"/>
    </row>
    <row r="1541" spans="2:10" ht="12.75">
      <c r="B1541" s="17"/>
      <c r="C1541" s="17"/>
      <c r="D1541" s="47"/>
      <c r="E1541" s="32"/>
      <c r="F1541" s="32"/>
      <c r="H1541" s="32"/>
      <c r="I1541" s="17"/>
      <c r="J1541" s="32"/>
    </row>
    <row r="1542" spans="2:10" ht="12.75">
      <c r="B1542" s="17"/>
      <c r="C1542" s="17"/>
      <c r="D1542" s="47"/>
      <c r="E1542" s="32"/>
      <c r="F1542" s="32"/>
      <c r="H1542" s="32"/>
      <c r="I1542" s="17"/>
      <c r="J1542" s="32"/>
    </row>
    <row r="1543" spans="2:10" ht="12.75">
      <c r="B1543" s="17"/>
      <c r="C1543" s="17"/>
      <c r="D1543" s="47"/>
      <c r="E1543" s="32"/>
      <c r="F1543" s="32"/>
      <c r="H1543" s="32"/>
      <c r="I1543" s="17"/>
      <c r="J1543" s="32"/>
    </row>
    <row r="1544" spans="2:10" ht="12.75">
      <c r="B1544" s="17"/>
      <c r="C1544" s="17"/>
      <c r="D1544" s="47"/>
      <c r="E1544" s="32"/>
      <c r="F1544" s="32"/>
      <c r="H1544" s="32"/>
      <c r="I1544" s="17"/>
      <c r="J1544" s="32"/>
    </row>
    <row r="1545" spans="2:10" ht="12.75">
      <c r="B1545" s="17"/>
      <c r="C1545" s="17"/>
      <c r="D1545" s="47"/>
      <c r="E1545" s="32"/>
      <c r="F1545" s="32"/>
      <c r="H1545" s="32"/>
      <c r="I1545" s="17"/>
      <c r="J1545" s="32"/>
    </row>
    <row r="1546" spans="2:10" ht="12.75">
      <c r="B1546" s="17"/>
      <c r="C1546" s="17"/>
      <c r="D1546" s="47"/>
      <c r="E1546" s="32"/>
      <c r="F1546" s="32"/>
      <c r="H1546" s="32"/>
      <c r="I1546" s="17"/>
      <c r="J1546" s="32"/>
    </row>
    <row r="1547" spans="2:10" ht="12.75">
      <c r="B1547" s="17"/>
      <c r="C1547" s="17"/>
      <c r="D1547" s="47"/>
      <c r="E1547" s="32"/>
      <c r="F1547" s="32"/>
      <c r="H1547" s="32"/>
      <c r="I1547" s="17"/>
      <c r="J1547" s="32"/>
    </row>
    <row r="1548" spans="2:10" ht="12.75">
      <c r="B1548" s="17"/>
      <c r="C1548" s="17"/>
      <c r="D1548" s="47"/>
      <c r="E1548" s="32"/>
      <c r="F1548" s="32"/>
      <c r="H1548" s="32"/>
      <c r="I1548" s="17"/>
      <c r="J1548" s="32"/>
    </row>
    <row r="1549" spans="2:10" ht="12.75">
      <c r="B1549" s="17"/>
      <c r="C1549" s="17"/>
      <c r="D1549" s="47"/>
      <c r="E1549" s="32"/>
      <c r="F1549" s="32"/>
      <c r="H1549" s="32"/>
      <c r="I1549" s="17"/>
      <c r="J1549" s="32"/>
    </row>
    <row r="1550" spans="2:10" ht="12.75">
      <c r="B1550" s="17"/>
      <c r="C1550" s="17"/>
      <c r="D1550" s="47"/>
      <c r="E1550" s="32"/>
      <c r="F1550" s="32"/>
      <c r="H1550" s="32"/>
      <c r="I1550" s="17"/>
      <c r="J1550" s="32"/>
    </row>
    <row r="1551" spans="2:10" ht="12.75">
      <c r="B1551" s="17"/>
      <c r="C1551" s="17"/>
      <c r="D1551" s="47"/>
      <c r="E1551" s="32"/>
      <c r="F1551" s="32"/>
      <c r="H1551" s="32"/>
      <c r="I1551" s="17"/>
      <c r="J1551" s="32"/>
    </row>
    <row r="1552" spans="2:10" ht="12.75">
      <c r="B1552" s="17"/>
      <c r="C1552" s="17"/>
      <c r="D1552" s="47"/>
      <c r="E1552" s="32"/>
      <c r="F1552" s="32"/>
      <c r="H1552" s="32"/>
      <c r="I1552" s="17"/>
      <c r="J1552" s="32"/>
    </row>
    <row r="1553" spans="2:10" ht="12.75">
      <c r="B1553" s="17"/>
      <c r="C1553" s="17"/>
      <c r="D1553" s="47"/>
      <c r="E1553" s="32"/>
      <c r="F1553" s="32"/>
      <c r="H1553" s="32"/>
      <c r="I1553" s="17"/>
      <c r="J1553" s="32"/>
    </row>
    <row r="1554" spans="2:10" ht="12.75">
      <c r="B1554" s="17"/>
      <c r="C1554" s="17"/>
      <c r="D1554" s="47"/>
      <c r="E1554" s="32"/>
      <c r="F1554" s="32"/>
      <c r="H1554" s="32"/>
      <c r="I1554" s="17"/>
      <c r="J1554" s="32"/>
    </row>
    <row r="1555" spans="2:10" ht="12.75">
      <c r="B1555" s="17"/>
      <c r="C1555" s="17"/>
      <c r="D1555" s="47"/>
      <c r="E1555" s="32"/>
      <c r="F1555" s="32"/>
      <c r="H1555" s="32"/>
      <c r="I1555" s="17"/>
      <c r="J1555" s="32"/>
    </row>
    <row r="1556" spans="2:10" ht="12.75">
      <c r="B1556" s="17"/>
      <c r="C1556" s="17"/>
      <c r="D1556" s="47"/>
      <c r="E1556" s="32"/>
      <c r="F1556" s="32"/>
      <c r="H1556" s="32"/>
      <c r="I1556" s="17"/>
      <c r="J1556" s="32"/>
    </row>
    <row r="1557" spans="2:10" ht="12.75">
      <c r="B1557" s="17"/>
      <c r="C1557" s="17"/>
      <c r="D1557" s="47"/>
      <c r="E1557" s="32"/>
      <c r="F1557" s="32"/>
      <c r="H1557" s="32"/>
      <c r="I1557" s="17"/>
      <c r="J1557" s="32"/>
    </row>
    <row r="1558" spans="2:10" ht="12.75">
      <c r="B1558" s="17"/>
      <c r="C1558" s="17"/>
      <c r="D1558" s="47"/>
      <c r="E1558" s="32"/>
      <c r="F1558" s="32"/>
      <c r="H1558" s="32"/>
      <c r="I1558" s="17"/>
      <c r="J1558" s="32"/>
    </row>
    <row r="1559" spans="2:10" ht="12.75">
      <c r="B1559" s="17"/>
      <c r="C1559" s="17"/>
      <c r="D1559" s="47"/>
      <c r="E1559" s="32"/>
      <c r="F1559" s="32"/>
      <c r="H1559" s="32"/>
      <c r="I1559" s="17"/>
      <c r="J1559" s="32"/>
    </row>
    <row r="1560" spans="2:10" ht="12.75">
      <c r="B1560" s="17"/>
      <c r="C1560" s="17"/>
      <c r="D1560" s="47"/>
      <c r="E1560" s="32"/>
      <c r="F1560" s="32"/>
      <c r="H1560" s="32"/>
      <c r="I1560" s="17"/>
      <c r="J1560" s="32"/>
    </row>
    <row r="1561" spans="2:10" ht="12.75">
      <c r="B1561" s="17"/>
      <c r="C1561" s="17"/>
      <c r="D1561" s="47"/>
      <c r="E1561" s="32"/>
      <c r="F1561" s="32"/>
      <c r="H1561" s="32"/>
      <c r="I1561" s="17"/>
      <c r="J1561" s="32"/>
    </row>
    <row r="1562" spans="2:10" ht="12.75">
      <c r="B1562" s="17"/>
      <c r="C1562" s="17"/>
      <c r="D1562" s="47"/>
      <c r="E1562" s="32"/>
      <c r="F1562" s="32"/>
      <c r="H1562" s="32"/>
      <c r="I1562" s="17"/>
      <c r="J1562" s="32"/>
    </row>
    <row r="1563" spans="2:10" ht="12.75">
      <c r="B1563" s="17"/>
      <c r="C1563" s="17"/>
      <c r="D1563" s="47"/>
      <c r="E1563" s="32"/>
      <c r="F1563" s="32"/>
      <c r="H1563" s="32"/>
      <c r="I1563" s="17"/>
      <c r="J1563" s="32"/>
    </row>
    <row r="1564" spans="2:10" ht="12.75">
      <c r="B1564" s="17"/>
      <c r="C1564" s="17"/>
      <c r="D1564" s="47"/>
      <c r="E1564" s="32"/>
      <c r="F1564" s="32"/>
      <c r="H1564" s="32"/>
      <c r="I1564" s="17"/>
      <c r="J1564" s="32"/>
    </row>
    <row r="1565" spans="2:10" ht="12.75">
      <c r="B1565" s="17"/>
      <c r="C1565" s="17"/>
      <c r="D1565" s="47"/>
      <c r="E1565" s="32"/>
      <c r="F1565" s="32"/>
      <c r="H1565" s="32"/>
      <c r="I1565" s="17"/>
      <c r="J1565" s="32"/>
    </row>
    <row r="1566" spans="2:10" ht="12.75">
      <c r="B1566" s="17"/>
      <c r="C1566" s="17"/>
      <c r="D1566" s="47"/>
      <c r="E1566" s="32"/>
      <c r="F1566" s="32"/>
      <c r="H1566" s="32"/>
      <c r="I1566" s="17"/>
      <c r="J1566" s="32"/>
    </row>
    <row r="1567" spans="2:10" ht="12.75">
      <c r="B1567" s="17"/>
      <c r="C1567" s="17"/>
      <c r="D1567" s="47"/>
      <c r="E1567" s="32"/>
      <c r="F1567" s="32"/>
      <c r="H1567" s="32"/>
      <c r="I1567" s="17"/>
      <c r="J1567" s="32"/>
    </row>
    <row r="1568" spans="2:10" ht="12.75">
      <c r="B1568" s="17"/>
      <c r="C1568" s="17"/>
      <c r="D1568" s="47"/>
      <c r="E1568" s="32"/>
      <c r="F1568" s="32"/>
      <c r="H1568" s="32"/>
      <c r="I1568" s="17"/>
      <c r="J1568" s="32"/>
    </row>
    <row r="1569" spans="2:10" ht="12.75">
      <c r="B1569" s="17"/>
      <c r="C1569" s="17"/>
      <c r="D1569" s="47"/>
      <c r="E1569" s="32"/>
      <c r="F1569" s="32"/>
      <c r="H1569" s="32"/>
      <c r="I1569" s="17"/>
      <c r="J1569" s="32"/>
    </row>
    <row r="1570" spans="2:10" ht="12.75">
      <c r="B1570" s="17"/>
      <c r="C1570" s="17"/>
      <c r="D1570" s="47"/>
      <c r="E1570" s="32"/>
      <c r="F1570" s="32"/>
      <c r="H1570" s="32"/>
      <c r="I1570" s="17"/>
      <c r="J1570" s="32"/>
    </row>
    <row r="1571" spans="2:10" ht="12.75">
      <c r="B1571" s="17"/>
      <c r="C1571" s="17"/>
      <c r="D1571" s="47"/>
      <c r="E1571" s="32"/>
      <c r="F1571" s="32"/>
      <c r="H1571" s="32"/>
      <c r="I1571" s="17"/>
      <c r="J1571" s="32"/>
    </row>
    <row r="1572" spans="2:10" ht="12.75">
      <c r="B1572" s="17"/>
      <c r="C1572" s="17"/>
      <c r="D1572" s="47"/>
      <c r="E1572" s="32"/>
      <c r="F1572" s="32"/>
      <c r="H1572" s="32"/>
      <c r="I1572" s="17"/>
      <c r="J1572" s="32"/>
    </row>
    <row r="1573" spans="2:10" ht="12.75">
      <c r="B1573" s="17"/>
      <c r="C1573" s="17"/>
      <c r="D1573" s="47"/>
      <c r="E1573" s="32"/>
      <c r="F1573" s="32"/>
      <c r="H1573" s="32"/>
      <c r="I1573" s="17"/>
      <c r="J1573" s="32"/>
    </row>
    <row r="1574" spans="2:10" ht="12.75">
      <c r="B1574" s="17"/>
      <c r="C1574" s="17"/>
      <c r="D1574" s="47"/>
      <c r="E1574" s="32"/>
      <c r="F1574" s="32"/>
      <c r="H1574" s="32"/>
      <c r="I1574" s="17"/>
      <c r="J1574" s="32"/>
    </row>
    <row r="1575" spans="2:10" ht="12.75">
      <c r="B1575" s="17"/>
      <c r="C1575" s="17"/>
      <c r="D1575" s="47"/>
      <c r="E1575" s="32"/>
      <c r="F1575" s="32"/>
      <c r="H1575" s="32"/>
      <c r="I1575" s="17"/>
      <c r="J1575" s="32"/>
    </row>
    <row r="1576" spans="2:10" ht="12.75">
      <c r="B1576" s="17"/>
      <c r="C1576" s="17"/>
      <c r="D1576" s="47"/>
      <c r="E1576" s="32"/>
      <c r="F1576" s="32"/>
      <c r="H1576" s="32"/>
      <c r="I1576" s="17"/>
      <c r="J1576" s="32"/>
    </row>
    <row r="1577" spans="2:10" ht="12.75">
      <c r="B1577" s="17"/>
      <c r="C1577" s="17"/>
      <c r="D1577" s="47"/>
      <c r="E1577" s="32"/>
      <c r="F1577" s="32"/>
      <c r="H1577" s="32"/>
      <c r="I1577" s="17"/>
      <c r="J1577" s="32"/>
    </row>
    <row r="1578" spans="2:10" ht="12.75">
      <c r="B1578" s="17"/>
      <c r="C1578" s="17"/>
      <c r="D1578" s="47"/>
      <c r="E1578" s="32"/>
      <c r="F1578" s="32"/>
      <c r="H1578" s="32"/>
      <c r="I1578" s="17"/>
      <c r="J1578" s="32"/>
    </row>
    <row r="1579" spans="2:10" ht="12.75">
      <c r="B1579" s="17"/>
      <c r="C1579" s="17"/>
      <c r="D1579" s="47"/>
      <c r="E1579" s="32"/>
      <c r="F1579" s="32"/>
      <c r="H1579" s="32"/>
      <c r="I1579" s="17"/>
      <c r="J1579" s="32"/>
    </row>
    <row r="1580" spans="2:10" ht="12.75">
      <c r="B1580" s="17"/>
      <c r="C1580" s="17"/>
      <c r="D1580" s="47"/>
      <c r="E1580" s="32"/>
      <c r="F1580" s="32"/>
      <c r="H1580" s="32"/>
      <c r="I1580" s="17"/>
      <c r="J1580" s="32"/>
    </row>
    <row r="1581" spans="2:10" ht="12.75">
      <c r="B1581" s="17"/>
      <c r="C1581" s="17"/>
      <c r="D1581" s="47"/>
      <c r="E1581" s="32"/>
      <c r="F1581" s="32"/>
      <c r="H1581" s="32"/>
      <c r="I1581" s="17"/>
      <c r="J1581" s="32"/>
    </row>
    <row r="1582" spans="2:10" ht="12.75">
      <c r="B1582" s="17"/>
      <c r="C1582" s="17"/>
      <c r="D1582" s="47"/>
      <c r="E1582" s="32"/>
      <c r="F1582" s="32"/>
      <c r="H1582" s="32"/>
      <c r="I1582" s="17"/>
      <c r="J1582" s="32"/>
    </row>
    <row r="1583" spans="2:10" ht="12.75">
      <c r="B1583" s="17"/>
      <c r="C1583" s="17"/>
      <c r="D1583" s="47"/>
      <c r="E1583" s="32"/>
      <c r="F1583" s="32"/>
      <c r="H1583" s="32"/>
      <c r="I1583" s="17"/>
      <c r="J1583" s="32"/>
    </row>
    <row r="1584" spans="2:10" ht="12.75">
      <c r="B1584" s="17"/>
      <c r="C1584" s="17"/>
      <c r="D1584" s="47"/>
      <c r="E1584" s="32"/>
      <c r="F1584" s="32"/>
      <c r="H1584" s="32"/>
      <c r="I1584" s="17"/>
      <c r="J1584" s="32"/>
    </row>
    <row r="1585" spans="2:10" ht="12.75">
      <c r="B1585" s="17"/>
      <c r="C1585" s="17"/>
      <c r="D1585" s="47"/>
      <c r="E1585" s="32"/>
      <c r="F1585" s="32"/>
      <c r="H1585" s="32"/>
      <c r="I1585" s="17"/>
      <c r="J1585" s="32"/>
    </row>
    <row r="1586" spans="2:10" ht="12.75">
      <c r="B1586" s="17"/>
      <c r="C1586" s="17"/>
      <c r="D1586" s="47"/>
      <c r="E1586" s="32"/>
      <c r="F1586" s="32"/>
      <c r="H1586" s="32"/>
      <c r="I1586" s="17"/>
      <c r="J1586" s="32"/>
    </row>
    <row r="1587" spans="2:10" ht="12.75">
      <c r="B1587" s="17"/>
      <c r="C1587" s="17"/>
      <c r="D1587" s="47"/>
      <c r="E1587" s="32"/>
      <c r="F1587" s="32"/>
      <c r="H1587" s="32"/>
      <c r="I1587" s="17"/>
      <c r="J1587" s="32"/>
    </row>
    <row r="1588" spans="2:10" ht="12.75">
      <c r="B1588" s="17"/>
      <c r="C1588" s="17"/>
      <c r="D1588" s="47"/>
      <c r="E1588" s="32"/>
      <c r="F1588" s="32"/>
      <c r="H1588" s="32"/>
      <c r="I1588" s="17"/>
      <c r="J1588" s="32"/>
    </row>
    <row r="1589" spans="2:10" ht="12.75">
      <c r="B1589" s="17"/>
      <c r="C1589" s="17"/>
      <c r="D1589" s="47"/>
      <c r="E1589" s="32"/>
      <c r="F1589" s="32"/>
      <c r="H1589" s="32"/>
      <c r="I1589" s="17"/>
      <c r="J1589" s="32"/>
    </row>
    <row r="1590" spans="2:10" ht="12.75">
      <c r="B1590" s="17"/>
      <c r="C1590" s="17"/>
      <c r="D1590" s="47"/>
      <c r="E1590" s="32"/>
      <c r="F1590" s="32"/>
      <c r="H1590" s="32"/>
      <c r="I1590" s="17"/>
      <c r="J1590" s="32"/>
    </row>
    <row r="1591" spans="2:10" ht="12.75">
      <c r="B1591" s="17"/>
      <c r="C1591" s="17"/>
      <c r="D1591" s="47"/>
      <c r="E1591" s="32"/>
      <c r="F1591" s="32"/>
      <c r="H1591" s="32"/>
      <c r="I1591" s="17"/>
      <c r="J1591" s="32"/>
    </row>
    <row r="1592" spans="2:10" ht="12.75">
      <c r="B1592" s="17"/>
      <c r="C1592" s="17"/>
      <c r="D1592" s="47"/>
      <c r="E1592" s="32"/>
      <c r="F1592" s="32"/>
      <c r="H1592" s="32"/>
      <c r="I1592" s="17"/>
      <c r="J1592" s="32"/>
    </row>
    <row r="1593" spans="2:10" ht="12.75">
      <c r="B1593" s="17"/>
      <c r="C1593" s="17"/>
      <c r="D1593" s="47"/>
      <c r="E1593" s="32"/>
      <c r="F1593" s="32"/>
      <c r="H1593" s="32"/>
      <c r="I1593" s="17"/>
      <c r="J1593" s="32"/>
    </row>
    <row r="1594" spans="2:10" ht="12.75">
      <c r="B1594" s="17"/>
      <c r="C1594" s="17"/>
      <c r="D1594" s="47"/>
      <c r="E1594" s="32"/>
      <c r="F1594" s="32"/>
      <c r="H1594" s="32"/>
      <c r="I1594" s="17"/>
      <c r="J1594" s="32"/>
    </row>
    <row r="1595" spans="2:10" ht="12.75">
      <c r="B1595" s="17"/>
      <c r="C1595" s="17"/>
      <c r="D1595" s="47"/>
      <c r="E1595" s="32"/>
      <c r="F1595" s="32"/>
      <c r="H1595" s="32"/>
      <c r="I1595" s="17"/>
      <c r="J1595" s="32"/>
    </row>
    <row r="1596" spans="2:10" ht="12.75">
      <c r="B1596" s="17"/>
      <c r="C1596" s="17"/>
      <c r="D1596" s="47"/>
      <c r="E1596" s="32"/>
      <c r="F1596" s="32"/>
      <c r="H1596" s="32"/>
      <c r="I1596" s="17"/>
      <c r="J1596" s="32"/>
    </row>
    <row r="1597" spans="2:10" ht="12.75">
      <c r="B1597" s="17"/>
      <c r="C1597" s="17"/>
      <c r="D1597" s="47"/>
      <c r="E1597" s="32"/>
      <c r="F1597" s="32"/>
      <c r="H1597" s="32"/>
      <c r="I1597" s="17"/>
      <c r="J1597" s="32"/>
    </row>
    <row r="1598" spans="2:10" ht="12.75">
      <c r="B1598" s="17"/>
      <c r="C1598" s="17"/>
      <c r="D1598" s="47"/>
      <c r="E1598" s="32"/>
      <c r="F1598" s="32"/>
      <c r="H1598" s="32"/>
      <c r="I1598" s="17"/>
      <c r="J1598" s="32"/>
    </row>
    <row r="1599" spans="2:10" ht="12.75">
      <c r="B1599" s="17"/>
      <c r="C1599" s="17"/>
      <c r="D1599" s="47"/>
      <c r="E1599" s="32"/>
      <c r="F1599" s="32"/>
      <c r="H1599" s="32"/>
      <c r="I1599" s="17"/>
      <c r="J1599" s="32"/>
    </row>
    <row r="1600" spans="2:10" ht="12.75">
      <c r="B1600" s="17"/>
      <c r="C1600" s="17"/>
      <c r="D1600" s="47"/>
      <c r="E1600" s="32"/>
      <c r="F1600" s="32"/>
      <c r="H1600" s="32"/>
      <c r="I1600" s="17"/>
      <c r="J1600" s="32"/>
    </row>
    <row r="1601" spans="2:10" ht="12.75">
      <c r="B1601" s="17"/>
      <c r="C1601" s="17"/>
      <c r="D1601" s="47"/>
      <c r="E1601" s="32"/>
      <c r="F1601" s="32"/>
      <c r="H1601" s="32"/>
      <c r="I1601" s="17"/>
      <c r="J1601" s="32"/>
    </row>
    <row r="1602" spans="2:10" ht="12.75">
      <c r="B1602" s="17"/>
      <c r="C1602" s="17"/>
      <c r="D1602" s="47"/>
      <c r="E1602" s="32"/>
      <c r="F1602" s="32"/>
      <c r="H1602" s="32"/>
      <c r="I1602" s="17"/>
      <c r="J1602" s="32"/>
    </row>
    <row r="1603" spans="2:10" ht="12.75">
      <c r="B1603" s="17"/>
      <c r="C1603" s="17"/>
      <c r="D1603" s="47"/>
      <c r="E1603" s="32"/>
      <c r="F1603" s="32"/>
      <c r="H1603" s="32"/>
      <c r="I1603" s="17"/>
      <c r="J1603" s="32"/>
    </row>
    <row r="1604" spans="2:10" ht="12.75">
      <c r="B1604" s="17"/>
      <c r="C1604" s="17"/>
      <c r="D1604" s="47"/>
      <c r="E1604" s="32"/>
      <c r="F1604" s="32"/>
      <c r="H1604" s="32"/>
      <c r="I1604" s="17"/>
      <c r="J1604" s="32"/>
    </row>
    <row r="1605" spans="2:10" ht="12.75">
      <c r="B1605" s="17"/>
      <c r="C1605" s="17"/>
      <c r="D1605" s="47"/>
      <c r="E1605" s="32"/>
      <c r="F1605" s="32"/>
      <c r="H1605" s="32"/>
      <c r="I1605" s="17"/>
      <c r="J1605" s="32"/>
    </row>
    <row r="1606" spans="2:10" ht="12.75">
      <c r="B1606" s="17"/>
      <c r="C1606" s="17"/>
      <c r="D1606" s="47"/>
      <c r="E1606" s="32"/>
      <c r="F1606" s="32"/>
      <c r="H1606" s="32"/>
      <c r="I1606" s="17"/>
      <c r="J1606" s="32"/>
    </row>
    <row r="1607" spans="2:10" ht="12.75">
      <c r="B1607" s="17"/>
      <c r="C1607" s="17"/>
      <c r="D1607" s="47"/>
      <c r="E1607" s="32"/>
      <c r="F1607" s="32"/>
      <c r="H1607" s="32"/>
      <c r="I1607" s="17"/>
      <c r="J1607" s="32"/>
    </row>
    <row r="1608" spans="2:10" ht="12.75">
      <c r="B1608" s="17"/>
      <c r="C1608" s="17"/>
      <c r="D1608" s="47"/>
      <c r="E1608" s="32"/>
      <c r="F1608" s="32"/>
      <c r="H1608" s="32"/>
      <c r="I1608" s="17"/>
      <c r="J1608" s="32"/>
    </row>
    <row r="1609" spans="2:10" ht="12.75">
      <c r="B1609" s="17"/>
      <c r="C1609" s="17"/>
      <c r="D1609" s="47"/>
      <c r="E1609" s="32"/>
      <c r="F1609" s="32"/>
      <c r="H1609" s="32"/>
      <c r="I1609" s="17"/>
      <c r="J1609" s="32"/>
    </row>
    <row r="1610" spans="2:10" ht="12.75">
      <c r="B1610" s="17"/>
      <c r="C1610" s="17"/>
      <c r="D1610" s="47"/>
      <c r="E1610" s="32"/>
      <c r="F1610" s="32"/>
      <c r="H1610" s="32"/>
      <c r="I1610" s="17"/>
      <c r="J1610" s="32"/>
    </row>
    <row r="1611" spans="2:10" ht="12.75">
      <c r="B1611" s="17"/>
      <c r="C1611" s="17"/>
      <c r="D1611" s="47"/>
      <c r="E1611" s="32"/>
      <c r="F1611" s="32"/>
      <c r="H1611" s="32"/>
      <c r="I1611" s="17"/>
      <c r="J1611" s="32"/>
    </row>
    <row r="1612" spans="2:10" ht="12.75">
      <c r="B1612" s="17"/>
      <c r="C1612" s="17"/>
      <c r="D1612" s="47"/>
      <c r="E1612" s="32"/>
      <c r="F1612" s="32"/>
      <c r="H1612" s="32"/>
      <c r="I1612" s="17"/>
      <c r="J1612" s="32"/>
    </row>
    <row r="1613" spans="2:10" ht="12.75">
      <c r="B1613" s="17"/>
      <c r="C1613" s="17"/>
      <c r="D1613" s="47"/>
      <c r="E1613" s="32"/>
      <c r="F1613" s="32"/>
      <c r="H1613" s="32"/>
      <c r="I1613" s="17"/>
      <c r="J1613" s="32"/>
    </row>
    <row r="1614" spans="2:10" ht="12.75">
      <c r="B1614" s="17"/>
      <c r="C1614" s="17"/>
      <c r="D1614" s="47"/>
      <c r="E1614" s="32"/>
      <c r="F1614" s="32"/>
      <c r="H1614" s="32"/>
      <c r="I1614" s="17"/>
      <c r="J1614" s="32"/>
    </row>
    <row r="1615" spans="2:10" ht="12.75">
      <c r="B1615" s="17"/>
      <c r="C1615" s="17"/>
      <c r="D1615" s="47"/>
      <c r="E1615" s="32"/>
      <c r="F1615" s="32"/>
      <c r="H1615" s="32"/>
      <c r="I1615" s="17"/>
      <c r="J1615" s="32"/>
    </row>
    <row r="1616" spans="2:10" ht="12.75">
      <c r="B1616" s="17"/>
      <c r="C1616" s="17"/>
      <c r="D1616" s="47"/>
      <c r="E1616" s="32"/>
      <c r="F1616" s="32"/>
      <c r="H1616" s="32"/>
      <c r="I1616" s="17"/>
      <c r="J1616" s="32"/>
    </row>
    <row r="1617" spans="2:10" ht="12.75">
      <c r="B1617" s="17"/>
      <c r="C1617" s="17"/>
      <c r="D1617" s="47"/>
      <c r="E1617" s="32"/>
      <c r="F1617" s="32"/>
      <c r="H1617" s="32"/>
      <c r="I1617" s="17"/>
      <c r="J1617" s="32"/>
    </row>
    <row r="1618" spans="2:10" ht="12.75">
      <c r="B1618" s="17"/>
      <c r="C1618" s="17"/>
      <c r="D1618" s="47"/>
      <c r="E1618" s="32"/>
      <c r="F1618" s="32"/>
      <c r="H1618" s="32"/>
      <c r="I1618" s="17"/>
      <c r="J1618" s="32"/>
    </row>
    <row r="1619" spans="2:10" ht="12.75">
      <c r="B1619" s="17"/>
      <c r="C1619" s="17"/>
      <c r="D1619" s="47"/>
      <c r="E1619" s="32"/>
      <c r="F1619" s="32"/>
      <c r="H1619" s="32"/>
      <c r="I1619" s="17"/>
      <c r="J1619" s="32"/>
    </row>
    <row r="1620" spans="2:10" ht="12.75">
      <c r="B1620" s="17"/>
      <c r="C1620" s="17"/>
      <c r="D1620" s="47"/>
      <c r="E1620" s="32"/>
      <c r="F1620" s="32"/>
      <c r="H1620" s="32"/>
      <c r="I1620" s="17"/>
      <c r="J1620" s="32"/>
    </row>
    <row r="1621" spans="2:10" ht="12.75">
      <c r="B1621" s="17"/>
      <c r="C1621" s="17"/>
      <c r="D1621" s="47"/>
      <c r="E1621" s="32"/>
      <c r="F1621" s="32"/>
      <c r="H1621" s="32"/>
      <c r="I1621" s="17"/>
      <c r="J1621" s="32"/>
    </row>
    <row r="1622" spans="2:10" ht="12.75">
      <c r="B1622" s="17"/>
      <c r="C1622" s="17"/>
      <c r="D1622" s="47"/>
      <c r="E1622" s="32"/>
      <c r="F1622" s="32"/>
      <c r="H1622" s="32"/>
      <c r="I1622" s="17"/>
      <c r="J1622" s="32"/>
    </row>
    <row r="1623" spans="2:10" ht="12.75">
      <c r="B1623" s="17"/>
      <c r="C1623" s="17"/>
      <c r="D1623" s="47"/>
      <c r="E1623" s="32"/>
      <c r="F1623" s="32"/>
      <c r="H1623" s="32"/>
      <c r="I1623" s="17"/>
      <c r="J1623" s="32"/>
    </row>
    <row r="1624" spans="2:10" ht="12.75">
      <c r="B1624" s="17"/>
      <c r="C1624" s="17"/>
      <c r="D1624" s="47"/>
      <c r="E1624" s="32"/>
      <c r="F1624" s="32"/>
      <c r="H1624" s="32"/>
      <c r="I1624" s="17"/>
      <c r="J1624" s="32"/>
    </row>
    <row r="1625" spans="2:10" ht="12.75">
      <c r="B1625" s="17"/>
      <c r="C1625" s="17"/>
      <c r="D1625" s="47"/>
      <c r="E1625" s="32"/>
      <c r="F1625" s="32"/>
      <c r="H1625" s="32"/>
      <c r="I1625" s="17"/>
      <c r="J1625" s="32"/>
    </row>
    <row r="1626" spans="2:10" ht="12.75">
      <c r="B1626" s="17"/>
      <c r="C1626" s="17"/>
      <c r="D1626" s="47"/>
      <c r="E1626" s="32"/>
      <c r="F1626" s="32"/>
      <c r="H1626" s="32"/>
      <c r="I1626" s="17"/>
      <c r="J1626" s="32"/>
    </row>
    <row r="1627" spans="2:10" ht="12.75">
      <c r="B1627" s="17"/>
      <c r="C1627" s="17"/>
      <c r="D1627" s="47"/>
      <c r="E1627" s="32"/>
      <c r="F1627" s="32"/>
      <c r="H1627" s="32"/>
      <c r="I1627" s="17"/>
      <c r="J1627" s="32"/>
    </row>
    <row r="1628" spans="2:10" ht="12.75">
      <c r="B1628" s="17"/>
      <c r="C1628" s="17"/>
      <c r="D1628" s="47"/>
      <c r="E1628" s="32"/>
      <c r="F1628" s="32"/>
      <c r="H1628" s="32"/>
      <c r="I1628" s="17"/>
      <c r="J1628" s="32"/>
    </row>
    <row r="1629" spans="2:10" ht="12.75">
      <c r="B1629" s="17"/>
      <c r="C1629" s="17"/>
      <c r="D1629" s="47"/>
      <c r="E1629" s="32"/>
      <c r="F1629" s="32"/>
      <c r="H1629" s="32"/>
      <c r="I1629" s="17"/>
      <c r="J1629" s="32"/>
    </row>
    <row r="1630" spans="2:10" ht="12.75">
      <c r="B1630" s="17"/>
      <c r="C1630" s="17"/>
      <c r="D1630" s="47"/>
      <c r="E1630" s="32"/>
      <c r="F1630" s="32"/>
      <c r="H1630" s="32"/>
      <c r="I1630" s="17"/>
      <c r="J1630" s="32"/>
    </row>
    <row r="1631" spans="2:10" ht="12.75">
      <c r="B1631" s="17"/>
      <c r="C1631" s="17"/>
      <c r="D1631" s="47"/>
      <c r="E1631" s="32"/>
      <c r="F1631" s="32"/>
      <c r="H1631" s="32"/>
      <c r="I1631" s="17"/>
      <c r="J1631" s="32"/>
    </row>
    <row r="1632" spans="2:10" ht="12.75">
      <c r="B1632" s="17"/>
      <c r="C1632" s="17"/>
      <c r="D1632" s="47"/>
      <c r="E1632" s="32"/>
      <c r="F1632" s="32"/>
      <c r="H1632" s="32"/>
      <c r="I1632" s="17"/>
      <c r="J1632" s="32"/>
    </row>
    <row r="1633" spans="2:10" ht="12.75">
      <c r="B1633" s="17"/>
      <c r="C1633" s="17"/>
      <c r="D1633" s="47"/>
      <c r="E1633" s="32"/>
      <c r="F1633" s="32"/>
      <c r="H1633" s="32"/>
      <c r="I1633" s="17"/>
      <c r="J1633" s="32"/>
    </row>
    <row r="1634" spans="2:10" ht="12.75">
      <c r="B1634" s="17"/>
      <c r="C1634" s="17"/>
      <c r="D1634" s="47"/>
      <c r="E1634" s="32"/>
      <c r="F1634" s="32"/>
      <c r="H1634" s="32"/>
      <c r="I1634" s="17"/>
      <c r="J1634" s="32"/>
    </row>
    <row r="1635" spans="2:10" ht="12.75">
      <c r="B1635" s="17"/>
      <c r="C1635" s="17"/>
      <c r="D1635" s="47"/>
      <c r="E1635" s="32"/>
      <c r="F1635" s="32"/>
      <c r="H1635" s="32"/>
      <c r="I1635" s="17"/>
      <c r="J1635" s="32"/>
    </row>
    <row r="1636" spans="2:10" ht="12.75">
      <c r="B1636" s="17"/>
      <c r="C1636" s="17"/>
      <c r="D1636" s="47"/>
      <c r="E1636" s="32"/>
      <c r="F1636" s="32"/>
      <c r="H1636" s="32"/>
      <c r="I1636" s="17"/>
      <c r="J1636" s="32"/>
    </row>
    <row r="1637" spans="2:10" ht="12.75">
      <c r="B1637" s="17"/>
      <c r="C1637" s="17"/>
      <c r="D1637" s="47"/>
      <c r="E1637" s="32"/>
      <c r="F1637" s="32"/>
      <c r="H1637" s="32"/>
      <c r="I1637" s="17"/>
      <c r="J1637" s="32"/>
    </row>
    <row r="1638" spans="2:10" ht="12.75">
      <c r="B1638" s="17"/>
      <c r="C1638" s="17"/>
      <c r="D1638" s="47"/>
      <c r="E1638" s="32"/>
      <c r="F1638" s="32"/>
      <c r="H1638" s="32"/>
      <c r="I1638" s="17"/>
      <c r="J1638" s="32"/>
    </row>
    <row r="1639" spans="2:10" ht="12.75">
      <c r="B1639" s="17"/>
      <c r="C1639" s="17"/>
      <c r="D1639" s="47"/>
      <c r="E1639" s="32"/>
      <c r="F1639" s="32"/>
      <c r="H1639" s="32"/>
      <c r="I1639" s="17"/>
      <c r="J1639" s="32"/>
    </row>
    <row r="1640" spans="2:10" ht="12.75">
      <c r="B1640" s="17"/>
      <c r="C1640" s="17"/>
      <c r="D1640" s="47"/>
      <c r="E1640" s="32"/>
      <c r="F1640" s="32"/>
      <c r="H1640" s="32"/>
      <c r="I1640" s="17"/>
      <c r="J1640" s="32"/>
    </row>
    <row r="1641" spans="2:10" ht="12.75">
      <c r="B1641" s="17"/>
      <c r="C1641" s="17"/>
      <c r="D1641" s="47"/>
      <c r="E1641" s="32"/>
      <c r="F1641" s="32"/>
      <c r="H1641" s="32"/>
      <c r="I1641" s="17"/>
      <c r="J1641" s="32"/>
    </row>
    <row r="1642" spans="2:10" ht="12.75">
      <c r="B1642" s="17"/>
      <c r="C1642" s="17"/>
      <c r="D1642" s="47"/>
      <c r="E1642" s="32"/>
      <c r="F1642" s="32"/>
      <c r="H1642" s="32"/>
      <c r="I1642" s="17"/>
      <c r="J1642" s="32"/>
    </row>
    <row r="1643" spans="2:10" ht="12.75">
      <c r="B1643" s="17"/>
      <c r="C1643" s="17"/>
      <c r="D1643" s="47"/>
      <c r="E1643" s="32"/>
      <c r="F1643" s="32"/>
      <c r="H1643" s="32"/>
      <c r="I1643" s="17"/>
      <c r="J1643" s="32"/>
    </row>
    <row r="1644" spans="2:10" ht="12.75">
      <c r="B1644" s="17"/>
      <c r="C1644" s="17"/>
      <c r="D1644" s="47"/>
      <c r="E1644" s="32"/>
      <c r="F1644" s="32"/>
      <c r="H1644" s="32"/>
      <c r="I1644" s="17"/>
      <c r="J1644" s="32"/>
    </row>
    <row r="1645" spans="2:10" ht="12.75">
      <c r="B1645" s="17"/>
      <c r="C1645" s="17"/>
      <c r="D1645" s="47"/>
      <c r="E1645" s="32"/>
      <c r="F1645" s="32"/>
      <c r="H1645" s="32"/>
      <c r="I1645" s="17"/>
      <c r="J1645" s="32"/>
    </row>
    <row r="1646" spans="2:10" ht="12.75">
      <c r="B1646" s="17"/>
      <c r="C1646" s="17"/>
      <c r="D1646" s="47"/>
      <c r="E1646" s="32"/>
      <c r="F1646" s="32"/>
      <c r="H1646" s="32"/>
      <c r="I1646" s="17"/>
      <c r="J1646" s="32"/>
    </row>
    <row r="1647" spans="2:10" ht="12.75">
      <c r="B1647" s="17"/>
      <c r="C1647" s="17"/>
      <c r="D1647" s="47"/>
      <c r="E1647" s="32"/>
      <c r="F1647" s="32"/>
      <c r="H1647" s="32"/>
      <c r="I1647" s="17"/>
      <c r="J1647" s="32"/>
    </row>
    <row r="1648" spans="2:10" ht="12.75">
      <c r="B1648" s="17"/>
      <c r="C1648" s="17"/>
      <c r="D1648" s="47"/>
      <c r="E1648" s="32"/>
      <c r="F1648" s="32"/>
      <c r="H1648" s="32"/>
      <c r="I1648" s="17"/>
      <c r="J1648" s="32"/>
    </row>
    <row r="1649" spans="2:10" ht="12.75">
      <c r="B1649" s="17"/>
      <c r="C1649" s="17"/>
      <c r="D1649" s="47"/>
      <c r="E1649" s="32"/>
      <c r="F1649" s="32"/>
      <c r="H1649" s="32"/>
      <c r="I1649" s="17"/>
      <c r="J1649" s="32"/>
    </row>
    <row r="1650" spans="2:10" ht="12.75">
      <c r="B1650" s="17"/>
      <c r="C1650" s="17"/>
      <c r="D1650" s="47"/>
      <c r="E1650" s="32"/>
      <c r="F1650" s="32"/>
      <c r="H1650" s="32"/>
      <c r="I1650" s="17"/>
      <c r="J1650" s="32"/>
    </row>
    <row r="1651" spans="2:10" ht="12.75">
      <c r="B1651" s="17"/>
      <c r="C1651" s="17"/>
      <c r="D1651" s="47"/>
      <c r="E1651" s="32"/>
      <c r="F1651" s="32"/>
      <c r="H1651" s="32"/>
      <c r="I1651" s="17"/>
      <c r="J1651" s="32"/>
    </row>
    <row r="1652" spans="2:10" ht="12.75">
      <c r="B1652" s="17"/>
      <c r="C1652" s="17"/>
      <c r="D1652" s="47"/>
      <c r="E1652" s="32"/>
      <c r="F1652" s="32"/>
      <c r="H1652" s="32"/>
      <c r="I1652" s="17"/>
      <c r="J1652" s="32"/>
    </row>
    <row r="1653" spans="2:10" ht="12.75">
      <c r="B1653" s="17"/>
      <c r="C1653" s="17"/>
      <c r="D1653" s="47"/>
      <c r="E1653" s="32"/>
      <c r="F1653" s="32"/>
      <c r="H1653" s="32"/>
      <c r="I1653" s="17"/>
      <c r="J1653" s="32"/>
    </row>
    <row r="1654" spans="2:10" ht="12.75">
      <c r="B1654" s="17"/>
      <c r="C1654" s="17"/>
      <c r="D1654" s="47"/>
      <c r="E1654" s="32"/>
      <c r="F1654" s="32"/>
      <c r="H1654" s="32"/>
      <c r="I1654" s="17"/>
      <c r="J1654" s="32"/>
    </row>
    <row r="1655" spans="2:10" ht="12.75">
      <c r="B1655" s="17"/>
      <c r="C1655" s="17"/>
      <c r="D1655" s="47"/>
      <c r="E1655" s="32"/>
      <c r="F1655" s="32"/>
      <c r="H1655" s="32"/>
      <c r="I1655" s="17"/>
      <c r="J1655" s="32"/>
    </row>
    <row r="1656" spans="2:10" ht="12.75">
      <c r="B1656" s="17"/>
      <c r="C1656" s="17"/>
      <c r="D1656" s="47"/>
      <c r="E1656" s="32"/>
      <c r="F1656" s="32"/>
      <c r="H1656" s="32"/>
      <c r="I1656" s="17"/>
      <c r="J1656" s="32"/>
    </row>
    <row r="1657" spans="2:10" ht="12.75">
      <c r="B1657" s="17"/>
      <c r="C1657" s="17"/>
      <c r="D1657" s="47"/>
      <c r="E1657" s="32"/>
      <c r="F1657" s="32"/>
      <c r="H1657" s="32"/>
      <c r="I1657" s="17"/>
      <c r="J1657" s="32"/>
    </row>
    <row r="1658" spans="2:10" ht="12.75">
      <c r="B1658" s="17"/>
      <c r="C1658" s="17"/>
      <c r="D1658" s="47"/>
      <c r="E1658" s="32"/>
      <c r="F1658" s="32"/>
      <c r="H1658" s="32"/>
      <c r="I1658" s="17"/>
      <c r="J1658" s="32"/>
    </row>
    <row r="1659" spans="2:10" ht="12.75">
      <c r="B1659" s="17"/>
      <c r="C1659" s="17"/>
      <c r="D1659" s="47"/>
      <c r="E1659" s="32"/>
      <c r="F1659" s="32"/>
      <c r="H1659" s="32"/>
      <c r="I1659" s="17"/>
      <c r="J1659" s="32"/>
    </row>
    <row r="1660" spans="2:10" ht="12.75">
      <c r="B1660" s="17"/>
      <c r="C1660" s="17"/>
      <c r="D1660" s="47"/>
      <c r="E1660" s="32"/>
      <c r="F1660" s="32"/>
      <c r="H1660" s="32"/>
      <c r="I1660" s="17"/>
      <c r="J1660" s="32"/>
    </row>
    <row r="1661" spans="2:10" ht="12.75">
      <c r="B1661" s="17"/>
      <c r="C1661" s="17"/>
      <c r="D1661" s="47"/>
      <c r="E1661" s="32"/>
      <c r="F1661" s="32"/>
      <c r="H1661" s="32"/>
      <c r="I1661" s="17"/>
      <c r="J1661" s="32"/>
    </row>
    <row r="1662" spans="2:10" ht="12.75">
      <c r="B1662" s="17"/>
      <c r="C1662" s="17"/>
      <c r="D1662" s="47"/>
      <c r="E1662" s="32"/>
      <c r="F1662" s="32"/>
      <c r="H1662" s="32"/>
      <c r="I1662" s="17"/>
      <c r="J1662" s="32"/>
    </row>
    <row r="1663" spans="2:10" ht="12.75">
      <c r="B1663" s="17"/>
      <c r="C1663" s="17"/>
      <c r="D1663" s="47"/>
      <c r="E1663" s="32"/>
      <c r="F1663" s="32"/>
      <c r="H1663" s="32"/>
      <c r="I1663" s="17"/>
      <c r="J1663" s="32"/>
    </row>
    <row r="1664" spans="2:10" ht="12.75">
      <c r="B1664" s="17"/>
      <c r="C1664" s="17"/>
      <c r="D1664" s="47"/>
      <c r="E1664" s="32"/>
      <c r="F1664" s="32"/>
      <c r="H1664" s="32"/>
      <c r="I1664" s="17"/>
      <c r="J1664" s="32"/>
    </row>
    <row r="1665" spans="2:10" ht="12.75">
      <c r="B1665" s="17"/>
      <c r="C1665" s="17"/>
      <c r="D1665" s="47"/>
      <c r="E1665" s="32"/>
      <c r="F1665" s="32"/>
      <c r="H1665" s="32"/>
      <c r="I1665" s="17"/>
      <c r="J1665" s="32"/>
    </row>
    <row r="1666" spans="2:10" ht="12.75">
      <c r="B1666" s="17"/>
      <c r="C1666" s="17"/>
      <c r="D1666" s="47"/>
      <c r="E1666" s="32"/>
      <c r="F1666" s="32"/>
      <c r="H1666" s="32"/>
      <c r="I1666" s="17"/>
      <c r="J1666" s="32"/>
    </row>
    <row r="1667" spans="2:10" ht="12.75">
      <c r="B1667" s="17"/>
      <c r="C1667" s="17"/>
      <c r="D1667" s="47"/>
      <c r="E1667" s="32"/>
      <c r="F1667" s="32"/>
      <c r="H1667" s="32"/>
      <c r="I1667" s="17"/>
      <c r="J1667" s="32"/>
    </row>
    <row r="1668" spans="2:10" ht="12.75">
      <c r="B1668" s="17"/>
      <c r="C1668" s="17"/>
      <c r="D1668" s="47"/>
      <c r="E1668" s="32"/>
      <c r="F1668" s="32"/>
      <c r="H1668" s="32"/>
      <c r="I1668" s="17"/>
      <c r="J1668" s="32"/>
    </row>
    <row r="1669" spans="2:10" ht="12.75">
      <c r="B1669" s="17"/>
      <c r="C1669" s="17"/>
      <c r="D1669" s="47"/>
      <c r="E1669" s="32"/>
      <c r="F1669" s="32"/>
      <c r="H1669" s="32"/>
      <c r="I1669" s="17"/>
      <c r="J1669" s="32"/>
    </row>
    <row r="1670" spans="2:10" ht="12.75">
      <c r="B1670" s="17"/>
      <c r="C1670" s="17"/>
      <c r="D1670" s="47"/>
      <c r="E1670" s="32"/>
      <c r="F1670" s="32"/>
      <c r="H1670" s="32"/>
      <c r="I1670" s="17"/>
      <c r="J1670" s="32"/>
    </row>
    <row r="1671" spans="2:10" ht="12.75">
      <c r="B1671" s="17"/>
      <c r="C1671" s="17"/>
      <c r="D1671" s="47"/>
      <c r="E1671" s="32"/>
      <c r="F1671" s="32"/>
      <c r="H1671" s="32"/>
      <c r="I1671" s="17"/>
      <c r="J1671" s="32"/>
    </row>
    <row r="1672" spans="2:10" ht="12.75">
      <c r="B1672" s="17"/>
      <c r="C1672" s="17"/>
      <c r="D1672" s="47"/>
      <c r="E1672" s="32"/>
      <c r="F1672" s="32"/>
      <c r="H1672" s="32"/>
      <c r="I1672" s="17"/>
      <c r="J1672" s="32"/>
    </row>
    <row r="1673" spans="2:10" ht="12.75">
      <c r="B1673" s="17"/>
      <c r="C1673" s="17"/>
      <c r="D1673" s="47"/>
      <c r="E1673" s="32"/>
      <c r="F1673" s="32"/>
      <c r="H1673" s="32"/>
      <c r="I1673" s="17"/>
      <c r="J1673" s="32"/>
    </row>
    <row r="1674" spans="2:10" ht="12.75">
      <c r="B1674" s="17"/>
      <c r="C1674" s="17"/>
      <c r="D1674" s="47"/>
      <c r="E1674" s="32"/>
      <c r="F1674" s="32"/>
      <c r="H1674" s="32"/>
      <c r="I1674" s="17"/>
      <c r="J1674" s="32"/>
    </row>
    <row r="1675" spans="2:10" ht="12.75">
      <c r="B1675" s="17"/>
      <c r="C1675" s="17"/>
      <c r="D1675" s="47"/>
      <c r="E1675" s="32"/>
      <c r="F1675" s="32"/>
      <c r="H1675" s="32"/>
      <c r="I1675" s="17"/>
      <c r="J1675" s="32"/>
    </row>
    <row r="1676" spans="2:10" ht="12.75">
      <c r="B1676" s="17"/>
      <c r="C1676" s="17"/>
      <c r="D1676" s="47"/>
      <c r="E1676" s="32"/>
      <c r="F1676" s="32"/>
      <c r="H1676" s="32"/>
      <c r="I1676" s="17"/>
      <c r="J1676" s="32"/>
    </row>
    <row r="1677" spans="2:10" ht="12.75">
      <c r="B1677" s="17"/>
      <c r="C1677" s="17"/>
      <c r="D1677" s="47"/>
      <c r="E1677" s="32"/>
      <c r="F1677" s="32"/>
      <c r="H1677" s="32"/>
      <c r="I1677" s="17"/>
      <c r="J1677" s="32"/>
    </row>
    <row r="1678" spans="2:10" ht="12.75">
      <c r="B1678" s="17"/>
      <c r="C1678" s="17"/>
      <c r="D1678" s="47"/>
      <c r="E1678" s="32"/>
      <c r="F1678" s="32"/>
      <c r="H1678" s="32"/>
      <c r="I1678" s="17"/>
      <c r="J1678" s="32"/>
    </row>
    <row r="1679" spans="2:10" ht="12.75">
      <c r="B1679" s="17"/>
      <c r="C1679" s="17"/>
      <c r="D1679" s="47"/>
      <c r="E1679" s="32"/>
      <c r="F1679" s="32"/>
      <c r="H1679" s="32"/>
      <c r="I1679" s="17"/>
      <c r="J1679" s="32"/>
    </row>
    <row r="1680" spans="2:10" ht="12.75">
      <c r="B1680" s="17"/>
      <c r="C1680" s="17"/>
      <c r="D1680" s="47"/>
      <c r="E1680" s="32"/>
      <c r="F1680" s="32"/>
      <c r="H1680" s="32"/>
      <c r="I1680" s="17"/>
      <c r="J1680" s="32"/>
    </row>
    <row r="1681" spans="2:10" ht="12.75">
      <c r="B1681" s="17"/>
      <c r="C1681" s="17"/>
      <c r="D1681" s="47"/>
      <c r="E1681" s="32"/>
      <c r="F1681" s="32"/>
      <c r="H1681" s="32"/>
      <c r="I1681" s="17"/>
      <c r="J1681" s="32"/>
    </row>
    <row r="1682" spans="2:10" ht="12.75">
      <c r="B1682" s="17"/>
      <c r="C1682" s="17"/>
      <c r="D1682" s="47"/>
      <c r="E1682" s="32"/>
      <c r="F1682" s="32"/>
      <c r="H1682" s="32"/>
      <c r="I1682" s="17"/>
      <c r="J1682" s="32"/>
    </row>
    <row r="1683" spans="2:10" ht="12.75">
      <c r="B1683" s="17"/>
      <c r="C1683" s="17"/>
      <c r="D1683" s="47"/>
      <c r="E1683" s="32"/>
      <c r="F1683" s="32"/>
      <c r="H1683" s="32"/>
      <c r="I1683" s="17"/>
      <c r="J1683" s="32"/>
    </row>
    <row r="1684" spans="2:10" ht="12.75">
      <c r="B1684" s="17"/>
      <c r="C1684" s="17"/>
      <c r="D1684" s="47"/>
      <c r="E1684" s="32"/>
      <c r="F1684" s="32"/>
      <c r="H1684" s="32"/>
      <c r="I1684" s="17"/>
      <c r="J1684" s="32"/>
    </row>
    <row r="1685" spans="2:10" ht="12.75">
      <c r="B1685" s="17"/>
      <c r="C1685" s="17"/>
      <c r="D1685" s="47"/>
      <c r="E1685" s="32"/>
      <c r="F1685" s="32"/>
      <c r="H1685" s="32"/>
      <c r="I1685" s="17"/>
      <c r="J1685" s="32"/>
    </row>
    <row r="1686" spans="2:10" ht="12.75">
      <c r="B1686" s="17"/>
      <c r="C1686" s="17"/>
      <c r="D1686" s="47"/>
      <c r="E1686" s="32"/>
      <c r="F1686" s="32"/>
      <c r="H1686" s="32"/>
      <c r="I1686" s="17"/>
      <c r="J1686" s="32"/>
    </row>
    <row r="1687" spans="2:10" ht="12.75">
      <c r="B1687" s="17"/>
      <c r="C1687" s="17"/>
      <c r="D1687" s="47"/>
      <c r="E1687" s="32"/>
      <c r="F1687" s="32"/>
      <c r="H1687" s="32"/>
      <c r="I1687" s="17"/>
      <c r="J1687" s="32"/>
    </row>
    <row r="1688" spans="2:10" ht="12.75">
      <c r="B1688" s="17"/>
      <c r="C1688" s="17"/>
      <c r="D1688" s="47"/>
      <c r="E1688" s="32"/>
      <c r="F1688" s="32"/>
      <c r="H1688" s="32"/>
      <c r="I1688" s="17"/>
      <c r="J1688" s="32"/>
    </row>
    <row r="1689" spans="2:10" ht="12.75">
      <c r="B1689" s="17"/>
      <c r="C1689" s="17"/>
      <c r="D1689" s="47"/>
      <c r="E1689" s="32"/>
      <c r="F1689" s="32"/>
      <c r="H1689" s="32"/>
      <c r="I1689" s="17"/>
      <c r="J1689" s="32"/>
    </row>
    <row r="1690" spans="2:10" ht="12.75">
      <c r="B1690" s="17"/>
      <c r="C1690" s="17"/>
      <c r="D1690" s="47"/>
      <c r="E1690" s="32"/>
      <c r="F1690" s="32"/>
      <c r="H1690" s="32"/>
      <c r="I1690" s="17"/>
      <c r="J1690" s="32"/>
    </row>
    <row r="1691" spans="2:10" ht="12.75">
      <c r="B1691" s="17"/>
      <c r="C1691" s="17"/>
      <c r="D1691" s="47"/>
      <c r="E1691" s="32"/>
      <c r="F1691" s="32"/>
      <c r="H1691" s="32"/>
      <c r="I1691" s="17"/>
      <c r="J1691" s="32"/>
    </row>
    <row r="1692" spans="2:10" ht="12.75">
      <c r="B1692" s="17"/>
      <c r="C1692" s="17"/>
      <c r="D1692" s="47"/>
      <c r="E1692" s="32"/>
      <c r="F1692" s="32"/>
      <c r="H1692" s="32"/>
      <c r="I1692" s="17"/>
      <c r="J1692" s="32"/>
    </row>
    <row r="1693" spans="2:10" ht="12.75">
      <c r="B1693" s="17"/>
      <c r="C1693" s="17"/>
      <c r="D1693" s="47"/>
      <c r="E1693" s="32"/>
      <c r="F1693" s="32"/>
      <c r="H1693" s="32"/>
      <c r="I1693" s="17"/>
      <c r="J1693" s="32"/>
    </row>
    <row r="1694" spans="2:10" ht="12.75">
      <c r="B1694" s="17"/>
      <c r="C1694" s="17"/>
      <c r="D1694" s="47"/>
      <c r="E1694" s="32"/>
      <c r="F1694" s="32"/>
      <c r="H1694" s="32"/>
      <c r="I1694" s="17"/>
      <c r="J1694" s="32"/>
    </row>
    <row r="1695" spans="2:10" ht="12.75">
      <c r="B1695" s="17"/>
      <c r="C1695" s="17"/>
      <c r="D1695" s="47"/>
      <c r="E1695" s="32"/>
      <c r="F1695" s="32"/>
      <c r="H1695" s="32"/>
      <c r="I1695" s="17"/>
      <c r="J1695" s="32"/>
    </row>
    <row r="1696" spans="2:10" ht="12.75">
      <c r="B1696" s="17"/>
      <c r="C1696" s="17"/>
      <c r="D1696" s="47"/>
      <c r="E1696" s="32"/>
      <c r="F1696" s="32"/>
      <c r="H1696" s="32"/>
      <c r="I1696" s="17"/>
      <c r="J1696" s="32"/>
    </row>
    <row r="1697" spans="2:10" ht="12.75">
      <c r="B1697" s="17"/>
      <c r="C1697" s="17"/>
      <c r="D1697" s="47"/>
      <c r="E1697" s="32"/>
      <c r="F1697" s="32"/>
      <c r="H1697" s="32"/>
      <c r="I1697" s="17"/>
      <c r="J1697" s="32"/>
    </row>
    <row r="1698" spans="2:10" ht="12.75">
      <c r="B1698" s="17"/>
      <c r="C1698" s="17"/>
      <c r="D1698" s="47"/>
      <c r="E1698" s="32"/>
      <c r="F1698" s="32"/>
      <c r="H1698" s="32"/>
      <c r="I1698" s="17"/>
      <c r="J1698" s="32"/>
    </row>
    <row r="1699" spans="2:10" ht="12.75">
      <c r="B1699" s="17"/>
      <c r="C1699" s="17"/>
      <c r="D1699" s="47"/>
      <c r="E1699" s="32"/>
      <c r="F1699" s="32"/>
      <c r="H1699" s="32"/>
      <c r="I1699" s="17"/>
      <c r="J1699" s="32"/>
    </row>
    <row r="1700" spans="2:10" ht="12.75">
      <c r="B1700" s="17"/>
      <c r="C1700" s="17"/>
      <c r="D1700" s="47"/>
      <c r="E1700" s="32"/>
      <c r="F1700" s="32"/>
      <c r="H1700" s="32"/>
      <c r="I1700" s="17"/>
      <c r="J1700" s="32"/>
    </row>
    <row r="1701" spans="2:10" ht="12.75">
      <c r="B1701" s="17"/>
      <c r="C1701" s="17"/>
      <c r="D1701" s="47"/>
      <c r="E1701" s="32"/>
      <c r="F1701" s="32"/>
      <c r="H1701" s="32"/>
      <c r="I1701" s="17"/>
      <c r="J1701" s="32"/>
    </row>
    <row r="1702" spans="2:10" ht="12.75">
      <c r="B1702" s="17"/>
      <c r="C1702" s="17"/>
      <c r="D1702" s="47"/>
      <c r="E1702" s="32"/>
      <c r="F1702" s="32"/>
      <c r="H1702" s="32"/>
      <c r="I1702" s="17"/>
      <c r="J1702" s="32"/>
    </row>
    <row r="1703" spans="2:10" ht="12.75">
      <c r="B1703" s="17"/>
      <c r="C1703" s="17"/>
      <c r="D1703" s="47"/>
      <c r="E1703" s="32"/>
      <c r="F1703" s="32"/>
      <c r="H1703" s="32"/>
      <c r="I1703" s="17"/>
      <c r="J1703" s="32"/>
    </row>
    <row r="1704" spans="2:10" ht="12.75">
      <c r="B1704" s="17"/>
      <c r="C1704" s="17"/>
      <c r="D1704" s="47"/>
      <c r="E1704" s="32"/>
      <c r="F1704" s="32"/>
      <c r="H1704" s="32"/>
      <c r="I1704" s="17"/>
      <c r="J1704" s="32"/>
    </row>
    <row r="1705" spans="2:10" ht="12.75">
      <c r="B1705" s="17"/>
      <c r="C1705" s="17"/>
      <c r="D1705" s="47"/>
      <c r="E1705" s="32"/>
      <c r="F1705" s="32"/>
      <c r="H1705" s="32"/>
      <c r="I1705" s="17"/>
      <c r="J1705" s="32"/>
    </row>
    <row r="1706" spans="2:10" ht="12.75">
      <c r="B1706" s="17"/>
      <c r="C1706" s="17"/>
      <c r="D1706" s="47"/>
      <c r="E1706" s="32"/>
      <c r="F1706" s="32"/>
      <c r="H1706" s="32"/>
      <c r="I1706" s="17"/>
      <c r="J1706" s="32"/>
    </row>
    <row r="1707" spans="2:10" ht="12.75">
      <c r="B1707" s="17"/>
      <c r="C1707" s="17"/>
      <c r="D1707" s="47"/>
      <c r="E1707" s="32"/>
      <c r="F1707" s="32"/>
      <c r="H1707" s="32"/>
      <c r="I1707" s="17"/>
      <c r="J1707" s="32"/>
    </row>
    <row r="1708" spans="2:10" ht="12.75">
      <c r="B1708" s="17"/>
      <c r="C1708" s="17"/>
      <c r="D1708" s="47"/>
      <c r="E1708" s="32"/>
      <c r="F1708" s="32"/>
      <c r="H1708" s="32"/>
      <c r="I1708" s="17"/>
      <c r="J1708" s="32"/>
    </row>
    <row r="1709" spans="2:10" ht="12.75">
      <c r="B1709" s="17"/>
      <c r="C1709" s="17"/>
      <c r="D1709" s="47"/>
      <c r="E1709" s="32"/>
      <c r="F1709" s="32"/>
      <c r="H1709" s="32"/>
      <c r="I1709" s="17"/>
      <c r="J1709" s="32"/>
    </row>
    <row r="1710" spans="2:10" ht="12.75">
      <c r="B1710" s="17"/>
      <c r="C1710" s="17"/>
      <c r="D1710" s="47"/>
      <c r="E1710" s="32"/>
      <c r="F1710" s="32"/>
      <c r="H1710" s="32"/>
      <c r="I1710" s="17"/>
      <c r="J1710" s="32"/>
    </row>
    <row r="1711" spans="2:10" ht="12.75">
      <c r="B1711" s="17"/>
      <c r="C1711" s="17"/>
      <c r="D1711" s="47"/>
      <c r="E1711" s="32"/>
      <c r="F1711" s="32"/>
      <c r="H1711" s="32"/>
      <c r="I1711" s="17"/>
      <c r="J1711" s="32"/>
    </row>
    <row r="1712" spans="2:10" ht="12.75">
      <c r="B1712" s="17"/>
      <c r="C1712" s="17"/>
      <c r="D1712" s="47"/>
      <c r="E1712" s="32"/>
      <c r="F1712" s="32"/>
      <c r="H1712" s="32"/>
      <c r="I1712" s="17"/>
      <c r="J1712" s="32"/>
    </row>
    <row r="1713" spans="2:10" ht="12.75">
      <c r="B1713" s="17"/>
      <c r="C1713" s="17"/>
      <c r="D1713" s="47"/>
      <c r="E1713" s="32"/>
      <c r="F1713" s="32"/>
      <c r="H1713" s="32"/>
      <c r="I1713" s="17"/>
      <c r="J1713" s="32"/>
    </row>
    <row r="1714" spans="2:10" ht="12.75">
      <c r="B1714" s="17"/>
      <c r="C1714" s="17"/>
      <c r="D1714" s="47"/>
      <c r="E1714" s="32"/>
      <c r="F1714" s="32"/>
      <c r="H1714" s="32"/>
      <c r="I1714" s="17"/>
      <c r="J1714" s="32"/>
    </row>
    <row r="1715" spans="2:10" ht="12.75">
      <c r="B1715" s="17"/>
      <c r="C1715" s="17"/>
      <c r="D1715" s="47"/>
      <c r="E1715" s="32"/>
      <c r="F1715" s="32"/>
      <c r="H1715" s="32"/>
      <c r="I1715" s="17"/>
      <c r="J1715" s="32"/>
    </row>
    <row r="1716" spans="2:10" ht="12.75">
      <c r="B1716" s="17"/>
      <c r="C1716" s="17"/>
      <c r="D1716" s="47"/>
      <c r="E1716" s="32"/>
      <c r="F1716" s="32"/>
      <c r="H1716" s="32"/>
      <c r="I1716" s="17"/>
      <c r="J1716" s="32"/>
    </row>
    <row r="1717" spans="2:10" ht="12.75">
      <c r="B1717" s="17"/>
      <c r="C1717" s="17"/>
      <c r="D1717" s="47"/>
      <c r="E1717" s="32"/>
      <c r="F1717" s="32"/>
      <c r="H1717" s="32"/>
      <c r="I1717" s="17"/>
      <c r="J1717" s="32"/>
    </row>
    <row r="1718" spans="2:10" ht="12.75">
      <c r="B1718" s="17"/>
      <c r="C1718" s="17"/>
      <c r="D1718" s="47"/>
      <c r="E1718" s="32"/>
      <c r="F1718" s="32"/>
      <c r="H1718" s="32"/>
      <c r="I1718" s="17"/>
      <c r="J1718" s="32"/>
    </row>
    <row r="1719" spans="2:10" ht="12.75">
      <c r="B1719" s="17"/>
      <c r="C1719" s="17"/>
      <c r="D1719" s="47"/>
      <c r="E1719" s="32"/>
      <c r="F1719" s="32"/>
      <c r="H1719" s="32"/>
      <c r="I1719" s="17"/>
      <c r="J1719" s="32"/>
    </row>
    <row r="1720" spans="2:10" ht="12.75">
      <c r="B1720" s="17"/>
      <c r="C1720" s="17"/>
      <c r="D1720" s="47"/>
      <c r="E1720" s="32"/>
      <c r="F1720" s="32"/>
      <c r="H1720" s="32"/>
      <c r="I1720" s="17"/>
      <c r="J1720" s="32"/>
    </row>
    <row r="1721" spans="2:10" ht="12.75">
      <c r="B1721" s="17"/>
      <c r="C1721" s="17"/>
      <c r="D1721" s="47"/>
      <c r="E1721" s="32"/>
      <c r="F1721" s="32"/>
      <c r="H1721" s="32"/>
      <c r="I1721" s="17"/>
      <c r="J1721" s="32"/>
    </row>
    <row r="1722" spans="2:10" ht="12.75">
      <c r="B1722" s="17"/>
      <c r="C1722" s="17"/>
      <c r="D1722" s="47"/>
      <c r="E1722" s="32"/>
      <c r="F1722" s="32"/>
      <c r="H1722" s="32"/>
      <c r="I1722" s="17"/>
      <c r="J1722" s="32"/>
    </row>
    <row r="1723" spans="2:10" ht="12.75">
      <c r="B1723" s="17"/>
      <c r="C1723" s="17"/>
      <c r="D1723" s="47"/>
      <c r="E1723" s="32"/>
      <c r="F1723" s="32"/>
      <c r="H1723" s="32"/>
      <c r="I1723" s="17"/>
      <c r="J1723" s="32"/>
    </row>
    <row r="1724" spans="2:10" ht="12.75">
      <c r="B1724" s="17"/>
      <c r="C1724" s="17"/>
      <c r="D1724" s="47"/>
      <c r="E1724" s="32"/>
      <c r="F1724" s="32"/>
      <c r="H1724" s="32"/>
      <c r="I1724" s="17"/>
      <c r="J1724" s="32"/>
    </row>
    <row r="1725" spans="2:10" ht="12.75">
      <c r="B1725" s="17"/>
      <c r="C1725" s="17"/>
      <c r="D1725" s="47"/>
      <c r="E1725" s="32"/>
      <c r="F1725" s="32"/>
      <c r="H1725" s="32"/>
      <c r="I1725" s="17"/>
      <c r="J1725" s="32"/>
    </row>
    <row r="1726" spans="2:10" ht="12.75">
      <c r="B1726" s="17"/>
      <c r="C1726" s="17"/>
      <c r="D1726" s="47"/>
      <c r="E1726" s="32"/>
      <c r="F1726" s="32"/>
      <c r="H1726" s="32"/>
      <c r="I1726" s="17"/>
      <c r="J1726" s="32"/>
    </row>
    <row r="1727" spans="2:10" ht="12.75">
      <c r="B1727" s="17"/>
      <c r="C1727" s="17"/>
      <c r="D1727" s="47"/>
      <c r="E1727" s="32"/>
      <c r="F1727" s="32"/>
      <c r="H1727" s="32"/>
      <c r="I1727" s="17"/>
      <c r="J1727" s="32"/>
    </row>
    <row r="1728" spans="2:10" ht="12.75">
      <c r="B1728" s="17"/>
      <c r="C1728" s="17"/>
      <c r="D1728" s="47"/>
      <c r="E1728" s="32"/>
      <c r="F1728" s="32"/>
      <c r="H1728" s="32"/>
      <c r="I1728" s="17"/>
      <c r="J1728" s="32"/>
    </row>
    <row r="1729" spans="2:10" ht="12.75">
      <c r="B1729" s="17"/>
      <c r="C1729" s="17"/>
      <c r="D1729" s="47"/>
      <c r="E1729" s="32"/>
      <c r="F1729" s="32"/>
      <c r="H1729" s="32"/>
      <c r="I1729" s="17"/>
      <c r="J1729" s="32"/>
    </row>
    <row r="1730" spans="2:10" ht="12.75">
      <c r="B1730" s="17"/>
      <c r="C1730" s="17"/>
      <c r="D1730" s="47"/>
      <c r="E1730" s="32"/>
      <c r="F1730" s="32"/>
      <c r="H1730" s="32"/>
      <c r="I1730" s="17"/>
      <c r="J1730" s="32"/>
    </row>
    <row r="1731" spans="2:10" ht="12.75">
      <c r="B1731" s="17"/>
      <c r="C1731" s="17"/>
      <c r="D1731" s="47"/>
      <c r="E1731" s="32"/>
      <c r="F1731" s="32"/>
      <c r="H1731" s="32"/>
      <c r="I1731" s="17"/>
      <c r="J1731" s="32"/>
    </row>
    <row r="1732" spans="2:10" ht="12.75">
      <c r="B1732" s="17"/>
      <c r="C1732" s="17"/>
      <c r="D1732" s="47"/>
      <c r="E1732" s="32"/>
      <c r="F1732" s="32"/>
      <c r="H1732" s="32"/>
      <c r="I1732" s="17"/>
      <c r="J1732" s="32"/>
    </row>
    <row r="1733" spans="2:10" ht="12.75">
      <c r="B1733" s="17"/>
      <c r="C1733" s="17"/>
      <c r="D1733" s="47"/>
      <c r="E1733" s="32"/>
      <c r="F1733" s="32"/>
      <c r="H1733" s="32"/>
      <c r="I1733" s="17"/>
      <c r="J1733" s="32"/>
    </row>
    <row r="1734" spans="2:10" ht="12.75">
      <c r="B1734" s="17"/>
      <c r="C1734" s="17"/>
      <c r="D1734" s="47"/>
      <c r="E1734" s="32"/>
      <c r="F1734" s="32"/>
      <c r="H1734" s="32"/>
      <c r="I1734" s="17"/>
      <c r="J1734" s="32"/>
    </row>
    <row r="1735" spans="2:10" ht="12.75">
      <c r="B1735" s="17"/>
      <c r="C1735" s="17"/>
      <c r="D1735" s="47"/>
      <c r="E1735" s="32"/>
      <c r="F1735" s="32"/>
      <c r="H1735" s="32"/>
      <c r="I1735" s="17"/>
      <c r="J1735" s="32"/>
    </row>
    <row r="1736" spans="2:10" ht="12.75">
      <c r="B1736" s="17"/>
      <c r="C1736" s="17"/>
      <c r="D1736" s="47"/>
      <c r="E1736" s="32"/>
      <c r="F1736" s="32"/>
      <c r="H1736" s="32"/>
      <c r="I1736" s="17"/>
      <c r="J1736" s="32"/>
    </row>
    <row r="1737" spans="2:10" ht="12.75">
      <c r="B1737" s="17"/>
      <c r="C1737" s="17"/>
      <c r="D1737" s="47"/>
      <c r="E1737" s="32"/>
      <c r="F1737" s="32"/>
      <c r="H1737" s="32"/>
      <c r="I1737" s="17"/>
      <c r="J1737" s="32"/>
    </row>
    <row r="1738" spans="2:10" ht="12.75">
      <c r="B1738" s="17"/>
      <c r="C1738" s="17"/>
      <c r="D1738" s="47"/>
      <c r="E1738" s="32"/>
      <c r="F1738" s="32"/>
      <c r="H1738" s="32"/>
      <c r="I1738" s="17"/>
      <c r="J1738" s="32"/>
    </row>
    <row r="1739" spans="2:10" ht="12.75">
      <c r="B1739" s="17"/>
      <c r="C1739" s="17"/>
      <c r="D1739" s="47"/>
      <c r="E1739" s="32"/>
      <c r="F1739" s="32"/>
      <c r="H1739" s="32"/>
      <c r="I1739" s="17"/>
      <c r="J1739" s="32"/>
    </row>
    <row r="1740" spans="2:10" ht="12.75">
      <c r="B1740" s="17"/>
      <c r="C1740" s="17"/>
      <c r="D1740" s="47"/>
      <c r="E1740" s="32"/>
      <c r="F1740" s="32"/>
      <c r="H1740" s="32"/>
      <c r="I1740" s="17"/>
      <c r="J1740" s="32"/>
    </row>
    <row r="1741" spans="2:10" ht="12.75">
      <c r="B1741" s="17"/>
      <c r="C1741" s="17"/>
      <c r="D1741" s="47"/>
      <c r="E1741" s="32"/>
      <c r="F1741" s="32"/>
      <c r="H1741" s="32"/>
      <c r="I1741" s="17"/>
      <c r="J1741" s="32"/>
    </row>
    <row r="1742" spans="2:10" ht="12.75">
      <c r="B1742" s="17"/>
      <c r="C1742" s="17"/>
      <c r="D1742" s="47"/>
      <c r="E1742" s="32"/>
      <c r="F1742" s="32"/>
      <c r="H1742" s="32"/>
      <c r="I1742" s="17"/>
      <c r="J1742" s="32"/>
    </row>
    <row r="1743" spans="2:10" ht="12.75">
      <c r="B1743" s="17"/>
      <c r="C1743" s="17"/>
      <c r="D1743" s="47"/>
      <c r="E1743" s="32"/>
      <c r="F1743" s="32"/>
      <c r="H1743" s="32"/>
      <c r="I1743" s="17"/>
      <c r="J1743" s="32"/>
    </row>
    <row r="1744" spans="2:10" ht="12.75">
      <c r="B1744" s="17"/>
      <c r="C1744" s="17"/>
      <c r="D1744" s="47"/>
      <c r="E1744" s="32"/>
      <c r="F1744" s="32"/>
      <c r="H1744" s="32"/>
      <c r="I1744" s="17"/>
      <c r="J1744" s="32"/>
    </row>
    <row r="1745" spans="2:10" ht="12.75">
      <c r="B1745" s="17"/>
      <c r="C1745" s="17"/>
      <c r="D1745" s="47"/>
      <c r="E1745" s="32"/>
      <c r="F1745" s="32"/>
      <c r="H1745" s="32"/>
      <c r="I1745" s="17"/>
      <c r="J1745" s="32"/>
    </row>
    <row r="1746" spans="2:10" ht="12.75">
      <c r="B1746" s="17"/>
      <c r="C1746" s="17"/>
      <c r="D1746" s="47"/>
      <c r="E1746" s="32"/>
      <c r="F1746" s="32"/>
      <c r="H1746" s="32"/>
      <c r="I1746" s="17"/>
      <c r="J1746" s="32"/>
    </row>
    <row r="1747" spans="2:10" ht="12.75">
      <c r="B1747" s="17"/>
      <c r="C1747" s="17"/>
      <c r="D1747" s="47"/>
      <c r="E1747" s="32"/>
      <c r="F1747" s="32"/>
      <c r="H1747" s="32"/>
      <c r="I1747" s="17"/>
      <c r="J1747" s="32"/>
    </row>
    <row r="1748" spans="2:10" ht="12.75">
      <c r="B1748" s="17"/>
      <c r="C1748" s="17"/>
      <c r="D1748" s="47"/>
      <c r="E1748" s="32"/>
      <c r="F1748" s="32"/>
      <c r="H1748" s="32"/>
      <c r="I1748" s="17"/>
      <c r="J1748" s="32"/>
    </row>
    <row r="1749" spans="2:10" ht="12.75">
      <c r="B1749" s="17"/>
      <c r="C1749" s="17"/>
      <c r="D1749" s="47"/>
      <c r="E1749" s="32"/>
      <c r="F1749" s="32"/>
      <c r="H1749" s="32"/>
      <c r="I1749" s="17"/>
      <c r="J1749" s="32"/>
    </row>
    <row r="1750" spans="2:10" ht="12.75">
      <c r="B1750" s="17"/>
      <c r="C1750" s="17"/>
      <c r="D1750" s="47"/>
      <c r="E1750" s="32"/>
      <c r="F1750" s="32"/>
      <c r="H1750" s="32"/>
      <c r="I1750" s="17"/>
      <c r="J1750" s="32"/>
    </row>
    <row r="1751" spans="2:10" ht="12.75">
      <c r="B1751" s="17"/>
      <c r="C1751" s="17"/>
      <c r="D1751" s="47"/>
      <c r="E1751" s="32"/>
      <c r="F1751" s="32"/>
      <c r="H1751" s="32"/>
      <c r="I1751" s="17"/>
      <c r="J1751" s="32"/>
    </row>
    <row r="1752" spans="2:10" ht="12.75">
      <c r="B1752" s="17"/>
      <c r="C1752" s="17"/>
      <c r="D1752" s="47"/>
      <c r="E1752" s="32"/>
      <c r="F1752" s="32"/>
      <c r="H1752" s="32"/>
      <c r="I1752" s="17"/>
      <c r="J1752" s="32"/>
    </row>
    <row r="1753" spans="2:10" ht="12.75">
      <c r="B1753" s="17"/>
      <c r="C1753" s="17"/>
      <c r="D1753" s="47"/>
      <c r="E1753" s="32"/>
      <c r="F1753" s="32"/>
      <c r="H1753" s="32"/>
      <c r="I1753" s="17"/>
      <c r="J1753" s="32"/>
    </row>
    <row r="1754" spans="2:10" ht="12.75">
      <c r="B1754" s="17"/>
      <c r="C1754" s="17"/>
      <c r="D1754" s="47"/>
      <c r="E1754" s="32"/>
      <c r="F1754" s="32"/>
      <c r="H1754" s="32"/>
      <c r="I1754" s="17"/>
      <c r="J1754" s="32"/>
    </row>
    <row r="1755" spans="2:10" ht="12.75">
      <c r="B1755" s="17"/>
      <c r="C1755" s="17"/>
      <c r="D1755" s="47"/>
      <c r="E1755" s="32"/>
      <c r="F1755" s="32"/>
      <c r="H1755" s="32"/>
      <c r="I1755" s="17"/>
      <c r="J1755" s="32"/>
    </row>
    <row r="1756" spans="2:10" ht="12.75">
      <c r="B1756" s="17"/>
      <c r="C1756" s="17"/>
      <c r="D1756" s="47"/>
      <c r="E1756" s="32"/>
      <c r="F1756" s="32"/>
      <c r="H1756" s="32"/>
      <c r="I1756" s="17"/>
      <c r="J1756" s="32"/>
    </row>
    <row r="1757" spans="2:10" ht="12.75">
      <c r="B1757" s="17"/>
      <c r="C1757" s="17"/>
      <c r="D1757" s="47"/>
      <c r="E1757" s="32"/>
      <c r="F1757" s="32"/>
      <c r="H1757" s="32"/>
      <c r="I1757" s="17"/>
      <c r="J1757" s="32"/>
    </row>
    <row r="1758" spans="2:10" ht="12.75">
      <c r="B1758" s="17"/>
      <c r="C1758" s="17"/>
      <c r="D1758" s="47"/>
      <c r="E1758" s="32"/>
      <c r="F1758" s="32"/>
      <c r="H1758" s="32"/>
      <c r="I1758" s="17"/>
      <c r="J1758" s="32"/>
    </row>
    <row r="1759" spans="2:10" ht="12.75">
      <c r="B1759" s="17"/>
      <c r="C1759" s="17"/>
      <c r="D1759" s="47"/>
      <c r="E1759" s="32"/>
      <c r="F1759" s="32"/>
      <c r="H1759" s="32"/>
      <c r="I1759" s="17"/>
      <c r="J1759" s="32"/>
    </row>
    <row r="1760" spans="2:10" ht="12.75">
      <c r="B1760" s="17"/>
      <c r="C1760" s="17"/>
      <c r="D1760" s="47"/>
      <c r="E1760" s="32"/>
      <c r="F1760" s="32"/>
      <c r="H1760" s="32"/>
      <c r="I1760" s="17"/>
      <c r="J1760" s="32"/>
    </row>
    <row r="1761" spans="2:10" ht="12.75">
      <c r="B1761" s="17"/>
      <c r="C1761" s="17"/>
      <c r="D1761" s="47"/>
      <c r="E1761" s="32"/>
      <c r="F1761" s="32"/>
      <c r="H1761" s="32"/>
      <c r="I1761" s="17"/>
      <c r="J1761" s="32"/>
    </row>
    <row r="1762" spans="2:10" ht="12.75">
      <c r="B1762" s="17"/>
      <c r="C1762" s="17"/>
      <c r="D1762" s="47"/>
      <c r="E1762" s="32"/>
      <c r="F1762" s="32"/>
      <c r="H1762" s="32"/>
      <c r="I1762" s="17"/>
      <c r="J1762" s="32"/>
    </row>
    <row r="1763" spans="2:10" ht="12.75">
      <c r="B1763" s="17"/>
      <c r="C1763" s="17"/>
      <c r="D1763" s="47"/>
      <c r="E1763" s="32"/>
      <c r="F1763" s="32"/>
      <c r="H1763" s="32"/>
      <c r="I1763" s="17"/>
      <c r="J1763" s="32"/>
    </row>
    <row r="1764" spans="2:10" ht="12.75">
      <c r="B1764" s="17"/>
      <c r="C1764" s="17"/>
      <c r="D1764" s="47"/>
      <c r="E1764" s="32"/>
      <c r="F1764" s="32"/>
      <c r="H1764" s="32"/>
      <c r="I1764" s="17"/>
      <c r="J1764" s="32"/>
    </row>
    <row r="1765" spans="2:10" ht="12.75">
      <c r="B1765" s="17"/>
      <c r="C1765" s="17"/>
      <c r="D1765" s="47"/>
      <c r="E1765" s="32"/>
      <c r="F1765" s="32"/>
      <c r="H1765" s="32"/>
      <c r="I1765" s="17"/>
      <c r="J1765" s="32"/>
    </row>
    <row r="1766" spans="2:10" ht="12.75">
      <c r="B1766" s="17"/>
      <c r="C1766" s="17"/>
      <c r="D1766" s="47"/>
      <c r="E1766" s="32"/>
      <c r="F1766" s="32"/>
      <c r="H1766" s="32"/>
      <c r="I1766" s="17"/>
      <c r="J1766" s="32"/>
    </row>
    <row r="1767" spans="2:10" ht="12.75">
      <c r="B1767" s="17"/>
      <c r="C1767" s="17"/>
      <c r="D1767" s="47"/>
      <c r="E1767" s="32"/>
      <c r="F1767" s="32"/>
      <c r="H1767" s="32"/>
      <c r="I1767" s="17"/>
      <c r="J1767" s="32"/>
    </row>
    <row r="1768" spans="2:10" ht="12.75">
      <c r="B1768" s="17"/>
      <c r="C1768" s="17"/>
      <c r="D1768" s="47"/>
      <c r="E1768" s="32"/>
      <c r="F1768" s="32"/>
      <c r="H1768" s="32"/>
      <c r="I1768" s="17"/>
      <c r="J1768" s="32"/>
    </row>
    <row r="1769" spans="2:10" ht="12.75">
      <c r="B1769" s="17"/>
      <c r="C1769" s="17"/>
      <c r="D1769" s="47"/>
      <c r="E1769" s="32"/>
      <c r="F1769" s="32"/>
      <c r="H1769" s="32"/>
      <c r="I1769" s="17"/>
      <c r="J1769" s="32"/>
    </row>
    <row r="1770" spans="2:10" ht="12.75">
      <c r="B1770" s="17"/>
      <c r="C1770" s="17"/>
      <c r="D1770" s="47"/>
      <c r="E1770" s="32"/>
      <c r="F1770" s="32"/>
      <c r="H1770" s="32"/>
      <c r="I1770" s="17"/>
      <c r="J1770" s="32"/>
    </row>
    <row r="1771" spans="2:10" ht="12.75">
      <c r="B1771" s="17"/>
      <c r="C1771" s="17"/>
      <c r="D1771" s="47"/>
      <c r="E1771" s="32"/>
      <c r="F1771" s="32"/>
      <c r="H1771" s="32"/>
      <c r="I1771" s="17"/>
      <c r="J1771" s="32"/>
    </row>
    <row r="1772" spans="2:10" ht="12.75">
      <c r="B1772" s="17"/>
      <c r="C1772" s="17"/>
      <c r="D1772" s="47"/>
      <c r="E1772" s="32"/>
      <c r="F1772" s="32"/>
      <c r="H1772" s="32"/>
      <c r="I1772" s="17"/>
      <c r="J1772" s="32"/>
    </row>
    <row r="1773" spans="2:10" ht="12.75">
      <c r="B1773" s="17"/>
      <c r="C1773" s="17"/>
      <c r="D1773" s="47"/>
      <c r="E1773" s="32"/>
      <c r="F1773" s="32"/>
      <c r="H1773" s="32"/>
      <c r="I1773" s="17"/>
      <c r="J1773" s="32"/>
    </row>
    <row r="1774" spans="2:10" ht="12.75">
      <c r="B1774" s="17"/>
      <c r="C1774" s="17"/>
      <c r="D1774" s="47"/>
      <c r="E1774" s="32"/>
      <c r="F1774" s="32"/>
      <c r="H1774" s="32"/>
      <c r="I1774" s="17"/>
      <c r="J1774" s="32"/>
    </row>
    <row r="1775" spans="2:10" ht="12.75">
      <c r="B1775" s="17"/>
      <c r="C1775" s="17"/>
      <c r="D1775" s="47"/>
      <c r="E1775" s="32"/>
      <c r="F1775" s="32"/>
      <c r="H1775" s="32"/>
      <c r="I1775" s="17"/>
      <c r="J1775" s="32"/>
    </row>
    <row r="1776" spans="2:10" ht="12.75">
      <c r="B1776" s="17"/>
      <c r="C1776" s="17"/>
      <c r="D1776" s="47"/>
      <c r="E1776" s="32"/>
      <c r="F1776" s="32"/>
      <c r="H1776" s="32"/>
      <c r="I1776" s="17"/>
      <c r="J1776" s="32"/>
    </row>
    <row r="1777" spans="2:10" ht="12.75">
      <c r="B1777" s="17"/>
      <c r="C1777" s="17"/>
      <c r="D1777" s="47"/>
      <c r="E1777" s="32"/>
      <c r="F1777" s="32"/>
      <c r="H1777" s="32"/>
      <c r="I1777" s="17"/>
      <c r="J1777" s="32"/>
    </row>
    <row r="1778" spans="2:10" ht="12.75">
      <c r="B1778" s="17"/>
      <c r="C1778" s="17"/>
      <c r="D1778" s="47"/>
      <c r="E1778" s="32"/>
      <c r="F1778" s="32"/>
      <c r="H1778" s="32"/>
      <c r="I1778" s="17"/>
      <c r="J1778" s="32"/>
    </row>
    <row r="1779" spans="2:10" ht="12.75">
      <c r="B1779" s="17"/>
      <c r="C1779" s="17"/>
      <c r="D1779" s="47"/>
      <c r="E1779" s="32"/>
      <c r="F1779" s="32"/>
      <c r="H1779" s="32"/>
      <c r="I1779" s="17"/>
      <c r="J1779" s="32"/>
    </row>
    <row r="1780" spans="2:10" ht="12.75">
      <c r="B1780" s="17"/>
      <c r="C1780" s="17"/>
      <c r="D1780" s="47"/>
      <c r="E1780" s="32"/>
      <c r="F1780" s="32"/>
      <c r="H1780" s="32"/>
      <c r="I1780" s="17"/>
      <c r="J1780" s="32"/>
    </row>
    <row r="1781" spans="2:10" ht="12.75">
      <c r="B1781" s="17"/>
      <c r="C1781" s="17"/>
      <c r="D1781" s="47"/>
      <c r="E1781" s="32"/>
      <c r="F1781" s="32"/>
      <c r="H1781" s="32"/>
      <c r="I1781" s="17"/>
      <c r="J1781" s="32"/>
    </row>
    <row r="1782" spans="2:10" ht="12.75">
      <c r="B1782" s="17"/>
      <c r="C1782" s="17"/>
      <c r="D1782" s="47"/>
      <c r="E1782" s="32"/>
      <c r="F1782" s="32"/>
      <c r="H1782" s="32"/>
      <c r="I1782" s="17"/>
      <c r="J1782" s="32"/>
    </row>
    <row r="1783" spans="2:10" ht="12.75">
      <c r="B1783" s="17"/>
      <c r="C1783" s="17"/>
      <c r="D1783" s="47"/>
      <c r="E1783" s="32"/>
      <c r="F1783" s="32"/>
      <c r="H1783" s="32"/>
      <c r="I1783" s="17"/>
      <c r="J1783" s="32"/>
    </row>
    <row r="1784" spans="2:10" ht="12.75">
      <c r="B1784" s="17"/>
      <c r="C1784" s="17"/>
      <c r="D1784" s="47"/>
      <c r="E1784" s="32"/>
      <c r="F1784" s="32"/>
      <c r="H1784" s="32"/>
      <c r="I1784" s="17"/>
      <c r="J1784" s="32"/>
    </row>
    <row r="1785" spans="2:10" ht="12.75">
      <c r="B1785" s="17"/>
      <c r="C1785" s="17"/>
      <c r="D1785" s="47"/>
      <c r="E1785" s="32"/>
      <c r="F1785" s="32"/>
      <c r="H1785" s="32"/>
      <c r="I1785" s="17"/>
      <c r="J1785" s="32"/>
    </row>
    <row r="1786" spans="2:10" ht="12.75">
      <c r="B1786" s="17"/>
      <c r="C1786" s="17"/>
      <c r="D1786" s="47"/>
      <c r="E1786" s="32"/>
      <c r="F1786" s="32"/>
      <c r="H1786" s="32"/>
      <c r="I1786" s="17"/>
      <c r="J1786" s="32"/>
    </row>
    <row r="1787" spans="2:10" ht="12.75">
      <c r="B1787" s="17"/>
      <c r="C1787" s="17"/>
      <c r="D1787" s="47"/>
      <c r="E1787" s="32"/>
      <c r="F1787" s="32"/>
      <c r="H1787" s="32"/>
      <c r="I1787" s="17"/>
      <c r="J1787" s="32"/>
    </row>
    <row r="1788" spans="2:10" ht="12.75">
      <c r="B1788" s="17"/>
      <c r="C1788" s="17"/>
      <c r="D1788" s="47"/>
      <c r="E1788" s="32"/>
      <c r="F1788" s="32"/>
      <c r="H1788" s="32"/>
      <c r="I1788" s="17"/>
      <c r="J1788" s="32"/>
    </row>
    <row r="1789" spans="2:10" ht="12.75">
      <c r="B1789" s="17"/>
      <c r="C1789" s="17"/>
      <c r="D1789" s="47"/>
      <c r="E1789" s="32"/>
      <c r="F1789" s="32"/>
      <c r="H1789" s="32"/>
      <c r="I1789" s="17"/>
      <c r="J1789" s="32"/>
    </row>
    <row r="1790" spans="2:10" ht="12.75">
      <c r="B1790" s="17"/>
      <c r="C1790" s="17"/>
      <c r="D1790" s="47"/>
      <c r="E1790" s="32"/>
      <c r="F1790" s="32"/>
      <c r="H1790" s="32"/>
      <c r="I1790" s="17"/>
      <c r="J1790" s="32"/>
    </row>
    <row r="1791" spans="2:10" ht="12.75">
      <c r="B1791" s="17"/>
      <c r="C1791" s="17"/>
      <c r="D1791" s="47"/>
      <c r="E1791" s="32"/>
      <c r="F1791" s="32"/>
      <c r="H1791" s="32"/>
      <c r="I1791" s="17"/>
      <c r="J1791" s="32"/>
    </row>
    <row r="1792" spans="2:10" ht="12.75">
      <c r="B1792" s="17"/>
      <c r="C1792" s="17"/>
      <c r="D1792" s="47"/>
      <c r="E1792" s="32"/>
      <c r="F1792" s="32"/>
      <c r="H1792" s="32"/>
      <c r="I1792" s="17"/>
      <c r="J1792" s="32"/>
    </row>
    <row r="1793" spans="2:10" ht="12.75">
      <c r="B1793" s="17"/>
      <c r="C1793" s="17"/>
      <c r="D1793" s="47"/>
      <c r="E1793" s="32"/>
      <c r="F1793" s="32"/>
      <c r="H1793" s="32"/>
      <c r="I1793" s="17"/>
      <c r="J1793" s="32"/>
    </row>
    <row r="1794" spans="2:10" ht="12.75">
      <c r="B1794" s="17"/>
      <c r="C1794" s="17"/>
      <c r="D1794" s="47"/>
      <c r="E1794" s="32"/>
      <c r="F1794" s="32"/>
      <c r="H1794" s="32"/>
      <c r="I1794" s="17"/>
      <c r="J1794" s="32"/>
    </row>
    <row r="1795" spans="2:10" ht="12.75">
      <c r="B1795" s="17"/>
      <c r="C1795" s="17"/>
      <c r="D1795" s="47"/>
      <c r="E1795" s="32"/>
      <c r="F1795" s="32"/>
      <c r="H1795" s="32"/>
      <c r="I1795" s="17"/>
      <c r="J1795" s="32"/>
    </row>
    <row r="1796" spans="2:10" ht="12.75">
      <c r="B1796" s="17"/>
      <c r="C1796" s="17"/>
      <c r="D1796" s="47"/>
      <c r="E1796" s="32"/>
      <c r="F1796" s="32"/>
      <c r="H1796" s="32"/>
      <c r="I1796" s="17"/>
      <c r="J1796" s="32"/>
    </row>
    <row r="1797" spans="2:10" ht="12.75">
      <c r="B1797" s="17"/>
      <c r="C1797" s="17"/>
      <c r="D1797" s="47"/>
      <c r="E1797" s="32"/>
      <c r="F1797" s="32"/>
      <c r="H1797" s="32"/>
      <c r="I1797" s="17"/>
      <c r="J1797" s="32"/>
    </row>
    <row r="1798" spans="2:10" ht="12.75">
      <c r="B1798" s="17"/>
      <c r="C1798" s="17"/>
      <c r="D1798" s="47"/>
      <c r="E1798" s="32"/>
      <c r="F1798" s="32"/>
      <c r="H1798" s="32"/>
      <c r="I1798" s="17"/>
      <c r="J1798" s="32"/>
    </row>
    <row r="1799" spans="2:10" ht="12.75">
      <c r="B1799" s="17"/>
      <c r="C1799" s="17"/>
      <c r="D1799" s="47"/>
      <c r="E1799" s="32"/>
      <c r="F1799" s="32"/>
      <c r="H1799" s="32"/>
      <c r="I1799" s="17"/>
      <c r="J1799" s="32"/>
    </row>
    <row r="1800" spans="2:10" ht="12.75">
      <c r="B1800" s="17"/>
      <c r="C1800" s="17"/>
      <c r="D1800" s="47"/>
      <c r="E1800" s="32"/>
      <c r="F1800" s="32"/>
      <c r="H1800" s="32"/>
      <c r="I1800" s="17"/>
      <c r="J1800" s="32"/>
    </row>
    <row r="1801" spans="2:10" ht="12.75">
      <c r="B1801" s="17"/>
      <c r="C1801" s="17"/>
      <c r="D1801" s="47"/>
      <c r="E1801" s="32"/>
      <c r="F1801" s="32"/>
      <c r="H1801" s="32"/>
      <c r="I1801" s="17"/>
      <c r="J1801" s="32"/>
    </row>
    <row r="1802" spans="2:10" ht="12.75">
      <c r="B1802" s="17"/>
      <c r="C1802" s="17"/>
      <c r="D1802" s="47"/>
      <c r="E1802" s="32"/>
      <c r="F1802" s="32"/>
      <c r="H1802" s="32"/>
      <c r="I1802" s="17"/>
      <c r="J1802" s="32"/>
    </row>
    <row r="1803" spans="2:10" ht="12.75">
      <c r="B1803" s="17"/>
      <c r="C1803" s="17"/>
      <c r="D1803" s="47"/>
      <c r="E1803" s="32"/>
      <c r="F1803" s="32"/>
      <c r="H1803" s="32"/>
      <c r="I1803" s="17"/>
      <c r="J1803" s="32"/>
    </row>
    <row r="1804" spans="2:10" ht="12.75">
      <c r="B1804" s="17"/>
      <c r="C1804" s="17"/>
      <c r="D1804" s="47"/>
      <c r="E1804" s="32"/>
      <c r="F1804" s="32"/>
      <c r="H1804" s="32"/>
      <c r="I1804" s="17"/>
      <c r="J1804" s="32"/>
    </row>
    <row r="1805" spans="2:10" ht="12.75">
      <c r="B1805" s="17"/>
      <c r="C1805" s="17"/>
      <c r="D1805" s="47"/>
      <c r="E1805" s="32"/>
      <c r="F1805" s="32"/>
      <c r="H1805" s="32"/>
      <c r="I1805" s="17"/>
      <c r="J1805" s="32"/>
    </row>
    <row r="1806" spans="2:10" ht="12.75">
      <c r="B1806" s="17"/>
      <c r="C1806" s="17"/>
      <c r="D1806" s="47"/>
      <c r="E1806" s="32"/>
      <c r="F1806" s="32"/>
      <c r="H1806" s="32"/>
      <c r="I1806" s="17"/>
      <c r="J1806" s="32"/>
    </row>
    <row r="1807" spans="2:10" ht="12.75">
      <c r="B1807" s="17"/>
      <c r="C1807" s="17"/>
      <c r="D1807" s="47"/>
      <c r="E1807" s="32"/>
      <c r="F1807" s="32"/>
      <c r="H1807" s="32"/>
      <c r="I1807" s="17"/>
      <c r="J1807" s="32"/>
    </row>
    <row r="1808" spans="2:10" ht="12.75">
      <c r="B1808" s="17"/>
      <c r="C1808" s="17"/>
      <c r="D1808" s="47"/>
      <c r="E1808" s="32"/>
      <c r="F1808" s="32"/>
      <c r="H1808" s="32"/>
      <c r="I1808" s="17"/>
      <c r="J1808" s="32"/>
    </row>
    <row r="1809" spans="2:10" ht="12.75">
      <c r="B1809" s="17"/>
      <c r="C1809" s="17"/>
      <c r="D1809" s="47"/>
      <c r="E1809" s="32"/>
      <c r="F1809" s="32"/>
      <c r="H1809" s="32"/>
      <c r="I1809" s="17"/>
      <c r="J1809" s="32"/>
    </row>
    <row r="1810" spans="2:10" ht="12.75">
      <c r="B1810" s="17"/>
      <c r="C1810" s="17"/>
      <c r="D1810" s="47"/>
      <c r="E1810" s="32"/>
      <c r="F1810" s="32"/>
      <c r="H1810" s="32"/>
      <c r="I1810" s="17"/>
      <c r="J1810" s="32"/>
    </row>
    <row r="1811" spans="2:10" ht="12.75">
      <c r="B1811" s="17"/>
      <c r="C1811" s="17"/>
      <c r="D1811" s="47"/>
      <c r="E1811" s="32"/>
      <c r="F1811" s="32"/>
      <c r="H1811" s="32"/>
      <c r="I1811" s="17"/>
      <c r="J1811" s="32"/>
    </row>
    <row r="1812" spans="2:10" ht="12.75">
      <c r="B1812" s="17"/>
      <c r="C1812" s="17"/>
      <c r="D1812" s="47"/>
      <c r="E1812" s="32"/>
      <c r="F1812" s="32"/>
      <c r="H1812" s="32"/>
      <c r="I1812" s="17"/>
      <c r="J1812" s="32"/>
    </row>
    <row r="1813" spans="2:10" ht="12.75">
      <c r="B1813" s="17"/>
      <c r="C1813" s="17"/>
      <c r="D1813" s="47"/>
      <c r="E1813" s="32"/>
      <c r="F1813" s="32"/>
      <c r="H1813" s="32"/>
      <c r="I1813" s="17"/>
      <c r="J1813" s="32"/>
    </row>
    <row r="1814" spans="2:10" ht="12.75">
      <c r="B1814" s="17"/>
      <c r="C1814" s="17"/>
      <c r="D1814" s="47"/>
      <c r="E1814" s="32"/>
      <c r="F1814" s="32"/>
      <c r="H1814" s="32"/>
      <c r="I1814" s="17"/>
      <c r="J1814" s="32"/>
    </row>
    <row r="1815" spans="2:10" ht="12.75">
      <c r="B1815" s="17"/>
      <c r="C1815" s="17"/>
      <c r="D1815" s="47"/>
      <c r="E1815" s="32"/>
      <c r="F1815" s="32"/>
      <c r="H1815" s="32"/>
      <c r="I1815" s="17"/>
      <c r="J1815" s="32"/>
    </row>
    <row r="1816" spans="2:10" ht="12.75">
      <c r="B1816" s="17"/>
      <c r="C1816" s="17"/>
      <c r="D1816" s="47"/>
      <c r="E1816" s="32"/>
      <c r="F1816" s="32"/>
      <c r="H1816" s="32"/>
      <c r="I1816" s="17"/>
      <c r="J1816" s="32"/>
    </row>
    <row r="1817" spans="2:10" ht="12.75">
      <c r="B1817" s="17"/>
      <c r="C1817" s="17"/>
      <c r="D1817" s="47"/>
      <c r="E1817" s="32"/>
      <c r="F1817" s="32"/>
      <c r="H1817" s="32"/>
      <c r="I1817" s="17"/>
      <c r="J1817" s="32"/>
    </row>
    <row r="1818" spans="2:10" ht="12.75">
      <c r="B1818" s="17"/>
      <c r="C1818" s="17"/>
      <c r="D1818" s="47"/>
      <c r="E1818" s="32"/>
      <c r="F1818" s="32"/>
      <c r="H1818" s="32"/>
      <c r="I1818" s="17"/>
      <c r="J1818" s="32"/>
    </row>
    <row r="1819" spans="2:10" ht="12.75">
      <c r="B1819" s="17"/>
      <c r="C1819" s="17"/>
      <c r="D1819" s="47"/>
      <c r="E1819" s="32"/>
      <c r="F1819" s="32"/>
      <c r="H1819" s="32"/>
      <c r="I1819" s="17"/>
      <c r="J1819" s="32"/>
    </row>
    <row r="1820" spans="2:10" ht="12.75">
      <c r="B1820" s="17"/>
      <c r="C1820" s="17"/>
      <c r="D1820" s="47"/>
      <c r="E1820" s="32"/>
      <c r="F1820" s="32"/>
      <c r="H1820" s="32"/>
      <c r="I1820" s="17"/>
      <c r="J1820" s="32"/>
    </row>
    <row r="1821" spans="2:10" ht="12.75">
      <c r="B1821" s="17"/>
      <c r="C1821" s="17"/>
      <c r="D1821" s="47"/>
      <c r="E1821" s="32"/>
      <c r="F1821" s="32"/>
      <c r="H1821" s="32"/>
      <c r="I1821" s="17"/>
      <c r="J1821" s="32"/>
    </row>
    <row r="1822" spans="2:10" ht="12.75">
      <c r="B1822" s="17"/>
      <c r="C1822" s="17"/>
      <c r="D1822" s="47"/>
      <c r="E1822" s="32"/>
      <c r="F1822" s="32"/>
      <c r="H1822" s="32"/>
      <c r="I1822" s="17"/>
      <c r="J1822" s="32"/>
    </row>
    <row r="1823" spans="2:10" ht="12.75">
      <c r="B1823" s="17"/>
      <c r="C1823" s="17"/>
      <c r="D1823" s="47"/>
      <c r="E1823" s="32"/>
      <c r="F1823" s="32"/>
      <c r="H1823" s="32"/>
      <c r="I1823" s="17"/>
      <c r="J1823" s="32"/>
    </row>
    <row r="1824" spans="2:10" ht="12.75">
      <c r="B1824" s="17"/>
      <c r="C1824" s="17"/>
      <c r="D1824" s="47"/>
      <c r="E1824" s="32"/>
      <c r="F1824" s="32"/>
      <c r="H1824" s="32"/>
      <c r="I1824" s="17"/>
      <c r="J1824" s="32"/>
    </row>
    <row r="1825" spans="2:10" ht="12.75">
      <c r="B1825" s="17"/>
      <c r="C1825" s="17"/>
      <c r="D1825" s="47"/>
      <c r="E1825" s="32"/>
      <c r="F1825" s="32"/>
      <c r="H1825" s="32"/>
      <c r="I1825" s="17"/>
      <c r="J1825" s="32"/>
    </row>
    <row r="1826" spans="2:10" ht="12.75">
      <c r="B1826" s="17"/>
      <c r="C1826" s="17"/>
      <c r="D1826" s="47"/>
      <c r="E1826" s="32"/>
      <c r="F1826" s="32"/>
      <c r="H1826" s="32"/>
      <c r="I1826" s="17"/>
      <c r="J1826" s="32"/>
    </row>
    <row r="1827" spans="2:10" ht="12.75">
      <c r="B1827" s="17"/>
      <c r="C1827" s="17"/>
      <c r="D1827" s="47"/>
      <c r="E1827" s="32"/>
      <c r="F1827" s="32"/>
      <c r="H1827" s="32"/>
      <c r="I1827" s="17"/>
      <c r="J1827" s="32"/>
    </row>
    <row r="1828" spans="2:10" ht="12.75">
      <c r="B1828" s="17"/>
      <c r="C1828" s="17"/>
      <c r="D1828" s="47"/>
      <c r="E1828" s="32"/>
      <c r="F1828" s="32"/>
      <c r="H1828" s="32"/>
      <c r="I1828" s="17"/>
      <c r="J1828" s="32"/>
    </row>
    <row r="1829" spans="2:10" ht="12.75">
      <c r="B1829" s="17"/>
      <c r="C1829" s="17"/>
      <c r="D1829" s="47"/>
      <c r="E1829" s="32"/>
      <c r="F1829" s="32"/>
      <c r="H1829" s="32"/>
      <c r="I1829" s="17"/>
      <c r="J1829" s="32"/>
    </row>
    <row r="1830" spans="2:10" ht="12.75">
      <c r="B1830" s="17"/>
      <c r="C1830" s="17"/>
      <c r="D1830" s="47"/>
      <c r="E1830" s="32"/>
      <c r="F1830" s="32"/>
      <c r="H1830" s="32"/>
      <c r="I1830" s="17"/>
      <c r="J1830" s="32"/>
    </row>
    <row r="1831" spans="2:10" ht="12.75">
      <c r="B1831" s="17"/>
      <c r="C1831" s="17"/>
      <c r="D1831" s="47"/>
      <c r="E1831" s="32"/>
      <c r="F1831" s="32"/>
      <c r="H1831" s="32"/>
      <c r="I1831" s="17"/>
      <c r="J1831" s="32"/>
    </row>
    <row r="1832" spans="2:10" ht="12.75">
      <c r="B1832" s="17"/>
      <c r="C1832" s="17"/>
      <c r="D1832" s="47"/>
      <c r="E1832" s="32"/>
      <c r="F1832" s="32"/>
      <c r="H1832" s="32"/>
      <c r="I1832" s="17"/>
      <c r="J1832" s="32"/>
    </row>
    <row r="1833" spans="2:10" ht="12.75">
      <c r="B1833" s="17"/>
      <c r="C1833" s="17"/>
      <c r="D1833" s="47"/>
      <c r="E1833" s="32"/>
      <c r="F1833" s="32"/>
      <c r="H1833" s="32"/>
      <c r="I1833" s="17"/>
      <c r="J1833" s="32"/>
    </row>
    <row r="1834" spans="2:10" ht="12.75">
      <c r="B1834" s="17"/>
      <c r="C1834" s="17"/>
      <c r="D1834" s="47"/>
      <c r="E1834" s="32"/>
      <c r="F1834" s="32"/>
      <c r="H1834" s="32"/>
      <c r="I1834" s="17"/>
      <c r="J1834" s="32"/>
    </row>
    <row r="1835" spans="2:10" ht="12.75">
      <c r="B1835" s="17"/>
      <c r="C1835" s="17"/>
      <c r="D1835" s="47"/>
      <c r="E1835" s="32"/>
      <c r="F1835" s="32"/>
      <c r="H1835" s="32"/>
      <c r="I1835" s="17"/>
      <c r="J1835" s="32"/>
    </row>
    <row r="1836" spans="2:10" ht="12.75">
      <c r="B1836" s="17"/>
      <c r="C1836" s="17"/>
      <c r="D1836" s="47"/>
      <c r="E1836" s="32"/>
      <c r="F1836" s="32"/>
      <c r="H1836" s="32"/>
      <c r="I1836" s="17"/>
      <c r="J1836" s="32"/>
    </row>
    <row r="1837" spans="2:10" ht="12.75">
      <c r="B1837" s="17"/>
      <c r="C1837" s="17"/>
      <c r="D1837" s="47"/>
      <c r="E1837" s="32"/>
      <c r="F1837" s="32"/>
      <c r="H1837" s="32"/>
      <c r="I1837" s="17"/>
      <c r="J1837" s="32"/>
    </row>
    <row r="1838" spans="2:10" ht="12.75">
      <c r="B1838" s="17"/>
      <c r="C1838" s="17"/>
      <c r="D1838" s="47"/>
      <c r="E1838" s="32"/>
      <c r="F1838" s="32"/>
      <c r="H1838" s="32"/>
      <c r="I1838" s="17"/>
      <c r="J1838" s="32"/>
    </row>
    <row r="1839" spans="2:10" ht="12.75">
      <c r="B1839" s="17"/>
      <c r="C1839" s="17"/>
      <c r="D1839" s="47"/>
      <c r="E1839" s="32"/>
      <c r="F1839" s="32"/>
      <c r="H1839" s="32"/>
      <c r="I1839" s="17"/>
      <c r="J1839" s="32"/>
    </row>
    <row r="1840" spans="2:10" ht="12.75">
      <c r="B1840" s="17"/>
      <c r="C1840" s="17"/>
      <c r="D1840" s="47"/>
      <c r="E1840" s="32"/>
      <c r="F1840" s="32"/>
      <c r="H1840" s="32"/>
      <c r="I1840" s="17"/>
      <c r="J1840" s="32"/>
    </row>
    <row r="1841" spans="2:10" ht="12.75">
      <c r="B1841" s="17"/>
      <c r="C1841" s="17"/>
      <c r="D1841" s="47"/>
      <c r="E1841" s="32"/>
      <c r="F1841" s="32"/>
      <c r="H1841" s="32"/>
      <c r="I1841" s="17"/>
      <c r="J1841" s="32"/>
    </row>
    <row r="1842" spans="2:10" ht="12.75">
      <c r="B1842" s="17"/>
      <c r="C1842" s="17"/>
      <c r="D1842" s="47"/>
      <c r="E1842" s="32"/>
      <c r="F1842" s="32"/>
      <c r="H1842" s="32"/>
      <c r="I1842" s="17"/>
      <c r="J1842" s="32"/>
    </row>
    <row r="1843" spans="2:10" ht="12.75">
      <c r="B1843" s="17"/>
      <c r="C1843" s="17"/>
      <c r="D1843" s="47"/>
      <c r="E1843" s="32"/>
      <c r="F1843" s="32"/>
      <c r="H1843" s="32"/>
      <c r="I1843" s="17"/>
      <c r="J1843" s="32"/>
    </row>
    <row r="1844" spans="2:10" ht="12.75">
      <c r="B1844" s="17"/>
      <c r="C1844" s="17"/>
      <c r="D1844" s="47"/>
      <c r="E1844" s="32"/>
      <c r="F1844" s="32"/>
      <c r="H1844" s="32"/>
      <c r="I1844" s="17"/>
      <c r="J1844" s="32"/>
    </row>
    <row r="1845" spans="2:10" ht="12.75">
      <c r="B1845" s="17"/>
      <c r="C1845" s="17"/>
      <c r="D1845" s="47"/>
      <c r="E1845" s="32"/>
      <c r="F1845" s="32"/>
      <c r="H1845" s="32"/>
      <c r="I1845" s="17"/>
      <c r="J1845" s="32"/>
    </row>
    <row r="1846" spans="2:10" ht="12.75">
      <c r="B1846" s="17"/>
      <c r="C1846" s="17"/>
      <c r="D1846" s="47"/>
      <c r="E1846" s="32"/>
      <c r="F1846" s="32"/>
      <c r="H1846" s="32"/>
      <c r="I1846" s="17"/>
      <c r="J1846" s="32"/>
    </row>
    <row r="1847" spans="2:10" ht="12.75">
      <c r="B1847" s="17"/>
      <c r="C1847" s="17"/>
      <c r="D1847" s="47"/>
      <c r="E1847" s="32"/>
      <c r="F1847" s="32"/>
      <c r="H1847" s="32"/>
      <c r="I1847" s="17"/>
      <c r="J1847" s="32"/>
    </row>
    <row r="1848" spans="2:10" ht="12.75">
      <c r="B1848" s="17"/>
      <c r="C1848" s="17"/>
      <c r="D1848" s="47"/>
      <c r="E1848" s="32"/>
      <c r="F1848" s="32"/>
      <c r="H1848" s="32"/>
      <c r="I1848" s="17"/>
      <c r="J1848" s="32"/>
    </row>
    <row r="1849" spans="2:10" ht="12.75">
      <c r="B1849" s="17"/>
      <c r="C1849" s="17"/>
      <c r="D1849" s="47"/>
      <c r="E1849" s="32"/>
      <c r="F1849" s="32"/>
      <c r="H1849" s="32"/>
      <c r="I1849" s="17"/>
      <c r="J1849" s="32"/>
    </row>
    <row r="1850" spans="2:10" ht="12.75">
      <c r="B1850" s="17"/>
      <c r="C1850" s="17"/>
      <c r="D1850" s="47"/>
      <c r="E1850" s="32"/>
      <c r="F1850" s="32"/>
      <c r="H1850" s="32"/>
      <c r="I1850" s="17"/>
      <c r="J1850" s="32"/>
    </row>
    <row r="1851" spans="2:10" ht="12.75">
      <c r="B1851" s="17"/>
      <c r="C1851" s="17"/>
      <c r="D1851" s="47"/>
      <c r="E1851" s="32"/>
      <c r="F1851" s="32"/>
      <c r="H1851" s="32"/>
      <c r="I1851" s="17"/>
      <c r="J1851" s="32"/>
    </row>
    <row r="1852" spans="2:10" ht="12.75">
      <c r="B1852" s="17"/>
      <c r="C1852" s="17"/>
      <c r="D1852" s="47"/>
      <c r="E1852" s="32"/>
      <c r="F1852" s="32"/>
      <c r="H1852" s="32"/>
      <c r="I1852" s="17"/>
      <c r="J1852" s="32"/>
    </row>
    <row r="1853" spans="2:10" ht="12.75">
      <c r="B1853" s="17"/>
      <c r="C1853" s="17"/>
      <c r="D1853" s="47"/>
      <c r="E1853" s="32"/>
      <c r="F1853" s="32"/>
      <c r="H1853" s="32"/>
      <c r="I1853" s="17"/>
      <c r="J1853" s="32"/>
    </row>
    <row r="1854" spans="2:10" ht="12.75">
      <c r="B1854" s="17"/>
      <c r="C1854" s="17"/>
      <c r="D1854" s="47"/>
      <c r="E1854" s="32"/>
      <c r="F1854" s="32"/>
      <c r="H1854" s="32"/>
      <c r="I1854" s="17"/>
      <c r="J1854" s="32"/>
    </row>
    <row r="1855" spans="2:10" ht="12.75">
      <c r="B1855" s="17"/>
      <c r="C1855" s="17"/>
      <c r="D1855" s="47"/>
      <c r="E1855" s="32"/>
      <c r="F1855" s="32"/>
      <c r="H1855" s="32"/>
      <c r="I1855" s="17"/>
      <c r="J1855" s="32"/>
    </row>
    <row r="1856" spans="2:10" ht="12.75">
      <c r="B1856" s="17"/>
      <c r="C1856" s="17"/>
      <c r="D1856" s="47"/>
      <c r="E1856" s="32"/>
      <c r="F1856" s="32"/>
      <c r="H1856" s="32"/>
      <c r="I1856" s="17"/>
      <c r="J1856" s="32"/>
    </row>
    <row r="1857" spans="2:10" ht="12.75">
      <c r="B1857" s="17"/>
      <c r="C1857" s="17"/>
      <c r="D1857" s="47"/>
      <c r="E1857" s="32"/>
      <c r="F1857" s="32"/>
      <c r="H1857" s="32"/>
      <c r="I1857" s="17"/>
      <c r="J1857" s="32"/>
    </row>
    <row r="1858" spans="2:10" ht="12.75">
      <c r="B1858" s="17"/>
      <c r="C1858" s="17"/>
      <c r="D1858" s="47"/>
      <c r="E1858" s="32"/>
      <c r="F1858" s="32"/>
      <c r="H1858" s="32"/>
      <c r="I1858" s="17"/>
      <c r="J1858" s="32"/>
    </row>
    <row r="1859" spans="2:10" ht="12.75">
      <c r="B1859" s="17"/>
      <c r="C1859" s="17"/>
      <c r="D1859" s="47"/>
      <c r="E1859" s="32"/>
      <c r="F1859" s="32"/>
      <c r="H1859" s="32"/>
      <c r="I1859" s="17"/>
      <c r="J1859" s="32"/>
    </row>
    <row r="1860" spans="2:10" ht="12.75">
      <c r="B1860" s="17"/>
      <c r="C1860" s="17"/>
      <c r="D1860" s="47"/>
      <c r="E1860" s="32"/>
      <c r="F1860" s="32"/>
      <c r="H1860" s="32"/>
      <c r="I1860" s="17"/>
      <c r="J1860" s="32"/>
    </row>
    <row r="1861" spans="2:10" ht="12.75">
      <c r="B1861" s="17"/>
      <c r="C1861" s="17"/>
      <c r="D1861" s="47"/>
      <c r="E1861" s="32"/>
      <c r="F1861" s="32"/>
      <c r="H1861" s="32"/>
      <c r="I1861" s="17"/>
      <c r="J1861" s="32"/>
    </row>
    <row r="1862" spans="2:10" ht="12.75">
      <c r="B1862" s="17"/>
      <c r="C1862" s="17"/>
      <c r="D1862" s="47"/>
      <c r="E1862" s="32"/>
      <c r="F1862" s="32"/>
      <c r="H1862" s="32"/>
      <c r="I1862" s="17"/>
      <c r="J1862" s="32"/>
    </row>
    <row r="1863" spans="2:10" ht="12.75">
      <c r="B1863" s="17"/>
      <c r="C1863" s="17"/>
      <c r="D1863" s="47"/>
      <c r="E1863" s="32"/>
      <c r="F1863" s="32"/>
      <c r="H1863" s="32"/>
      <c r="I1863" s="17"/>
      <c r="J1863" s="32"/>
    </row>
    <row r="1864" spans="2:10" ht="12.75">
      <c r="B1864" s="17"/>
      <c r="C1864" s="17"/>
      <c r="D1864" s="47"/>
      <c r="E1864" s="32"/>
      <c r="F1864" s="32"/>
      <c r="H1864" s="32"/>
      <c r="I1864" s="17"/>
      <c r="J1864" s="32"/>
    </row>
    <row r="1865" spans="2:10" ht="12.75">
      <c r="B1865" s="17"/>
      <c r="C1865" s="17"/>
      <c r="D1865" s="47"/>
      <c r="E1865" s="32"/>
      <c r="F1865" s="32"/>
      <c r="H1865" s="32"/>
      <c r="I1865" s="17"/>
      <c r="J1865" s="32"/>
    </row>
    <row r="1866" spans="2:10" ht="12.75">
      <c r="B1866" s="17"/>
      <c r="C1866" s="17"/>
      <c r="D1866" s="47"/>
      <c r="E1866" s="32"/>
      <c r="F1866" s="32"/>
      <c r="H1866" s="32"/>
      <c r="I1866" s="17"/>
      <c r="J1866" s="32"/>
    </row>
    <row r="1867" spans="2:10" ht="12.75">
      <c r="B1867" s="17"/>
      <c r="C1867" s="17"/>
      <c r="D1867" s="47"/>
      <c r="E1867" s="32"/>
      <c r="F1867" s="32"/>
      <c r="H1867" s="32"/>
      <c r="I1867" s="17"/>
      <c r="J1867" s="32"/>
    </row>
    <row r="1868" spans="2:10" ht="12.75">
      <c r="B1868" s="17"/>
      <c r="C1868" s="17"/>
      <c r="D1868" s="47"/>
      <c r="E1868" s="32"/>
      <c r="F1868" s="32"/>
      <c r="H1868" s="32"/>
      <c r="I1868" s="17"/>
      <c r="J1868" s="32"/>
    </row>
    <row r="1869" spans="2:10" ht="12.75">
      <c r="B1869" s="17"/>
      <c r="C1869" s="17"/>
      <c r="D1869" s="47"/>
      <c r="E1869" s="32"/>
      <c r="F1869" s="32"/>
      <c r="H1869" s="32"/>
      <c r="I1869" s="17"/>
      <c r="J1869" s="32"/>
    </row>
    <row r="1870" spans="2:10" ht="12.75">
      <c r="B1870" s="17"/>
      <c r="C1870" s="17"/>
      <c r="D1870" s="47"/>
      <c r="E1870" s="32"/>
      <c r="F1870" s="32"/>
      <c r="H1870" s="32"/>
      <c r="I1870" s="17"/>
      <c r="J1870" s="32"/>
    </row>
    <row r="1871" spans="2:10" ht="12.75">
      <c r="B1871" s="17"/>
      <c r="C1871" s="17"/>
      <c r="D1871" s="47"/>
      <c r="E1871" s="32"/>
      <c r="F1871" s="32"/>
      <c r="H1871" s="32"/>
      <c r="I1871" s="17"/>
      <c r="J1871" s="32"/>
    </row>
    <row r="1872" spans="2:10" ht="12.75">
      <c r="B1872" s="17"/>
      <c r="C1872" s="17"/>
      <c r="D1872" s="47"/>
      <c r="E1872" s="32"/>
      <c r="F1872" s="32"/>
      <c r="H1872" s="32"/>
      <c r="I1872" s="17"/>
      <c r="J1872" s="32"/>
    </row>
    <row r="1873" spans="2:10" ht="12.75">
      <c r="B1873" s="17"/>
      <c r="C1873" s="17"/>
      <c r="D1873" s="47"/>
      <c r="E1873" s="32"/>
      <c r="F1873" s="32"/>
      <c r="H1873" s="32"/>
      <c r="I1873" s="17"/>
      <c r="J1873" s="32"/>
    </row>
    <row r="1874" spans="2:10" ht="12.75">
      <c r="B1874" s="17"/>
      <c r="C1874" s="17"/>
      <c r="D1874" s="47"/>
      <c r="E1874" s="32"/>
      <c r="F1874" s="32"/>
      <c r="H1874" s="32"/>
      <c r="I1874" s="17"/>
      <c r="J1874" s="32"/>
    </row>
    <row r="1875" spans="2:10" ht="12.75">
      <c r="B1875" s="17"/>
      <c r="C1875" s="17"/>
      <c r="D1875" s="47"/>
      <c r="E1875" s="32"/>
      <c r="F1875" s="32"/>
      <c r="H1875" s="32"/>
      <c r="I1875" s="17"/>
      <c r="J1875" s="32"/>
    </row>
    <row r="1876" spans="2:10" ht="12.75">
      <c r="B1876" s="17"/>
      <c r="C1876" s="17"/>
      <c r="D1876" s="47"/>
      <c r="E1876" s="32"/>
      <c r="F1876" s="32"/>
      <c r="H1876" s="32"/>
      <c r="I1876" s="17"/>
      <c r="J1876" s="32"/>
    </row>
    <row r="1877" spans="2:10" ht="12.75">
      <c r="B1877" s="17"/>
      <c r="C1877" s="17"/>
      <c r="D1877" s="47"/>
      <c r="E1877" s="32"/>
      <c r="F1877" s="32"/>
      <c r="H1877" s="32"/>
      <c r="I1877" s="17"/>
      <c r="J1877" s="32"/>
    </row>
    <row r="1878" spans="2:10" ht="12.75">
      <c r="B1878" s="17"/>
      <c r="C1878" s="17"/>
      <c r="D1878" s="47"/>
      <c r="E1878" s="32"/>
      <c r="F1878" s="32"/>
      <c r="H1878" s="32"/>
      <c r="I1878" s="17"/>
      <c r="J1878" s="32"/>
    </row>
    <row r="1879" spans="2:10" ht="12.75">
      <c r="B1879" s="17"/>
      <c r="C1879" s="17"/>
      <c r="D1879" s="47"/>
      <c r="E1879" s="32"/>
      <c r="F1879" s="32"/>
      <c r="H1879" s="32"/>
      <c r="I1879" s="17"/>
      <c r="J1879" s="32"/>
    </row>
    <row r="1880" spans="2:10" ht="12.75">
      <c r="B1880" s="17"/>
      <c r="C1880" s="17"/>
      <c r="D1880" s="47"/>
      <c r="E1880" s="32"/>
      <c r="F1880" s="32"/>
      <c r="H1880" s="32"/>
      <c r="I1880" s="17"/>
      <c r="J1880" s="32"/>
    </row>
    <row r="1881" spans="2:10" ht="12.75">
      <c r="B1881" s="17"/>
      <c r="C1881" s="17"/>
      <c r="D1881" s="47"/>
      <c r="E1881" s="32"/>
      <c r="F1881" s="32"/>
      <c r="H1881" s="32"/>
      <c r="I1881" s="17"/>
      <c r="J1881" s="32"/>
    </row>
    <row r="1882" spans="2:10" ht="12.75">
      <c r="B1882" s="17"/>
      <c r="C1882" s="17"/>
      <c r="D1882" s="47"/>
      <c r="E1882" s="32"/>
      <c r="F1882" s="32"/>
      <c r="H1882" s="32"/>
      <c r="I1882" s="17"/>
      <c r="J1882" s="32"/>
    </row>
    <row r="1883" spans="2:10" ht="12.75">
      <c r="B1883" s="17"/>
      <c r="C1883" s="17"/>
      <c r="D1883" s="47"/>
      <c r="E1883" s="32"/>
      <c r="F1883" s="32"/>
      <c r="H1883" s="32"/>
      <c r="I1883" s="17"/>
      <c r="J1883" s="32"/>
    </row>
    <row r="1884" spans="2:10" ht="12.75">
      <c r="B1884" s="17"/>
      <c r="C1884" s="17"/>
      <c r="D1884" s="47"/>
      <c r="E1884" s="32"/>
      <c r="F1884" s="32"/>
      <c r="H1884" s="32"/>
      <c r="I1884" s="17"/>
      <c r="J1884" s="32"/>
    </row>
    <row r="1885" spans="2:10" ht="12.75">
      <c r="B1885" s="17"/>
      <c r="C1885" s="17"/>
      <c r="D1885" s="47"/>
      <c r="E1885" s="32"/>
      <c r="F1885" s="32"/>
      <c r="H1885" s="32"/>
      <c r="I1885" s="17"/>
      <c r="J1885" s="32"/>
    </row>
    <row r="1886" spans="2:10" ht="12.75">
      <c r="B1886" s="17"/>
      <c r="C1886" s="17"/>
      <c r="D1886" s="47"/>
      <c r="E1886" s="32"/>
      <c r="F1886" s="32"/>
      <c r="H1886" s="32"/>
      <c r="I1886" s="17"/>
      <c r="J1886" s="32"/>
    </row>
    <row r="1887" spans="2:10" ht="12.75">
      <c r="B1887" s="17"/>
      <c r="C1887" s="17"/>
      <c r="D1887" s="47"/>
      <c r="E1887" s="32"/>
      <c r="F1887" s="32"/>
      <c r="H1887" s="32"/>
      <c r="I1887" s="17"/>
      <c r="J1887" s="32"/>
    </row>
    <row r="1888" spans="2:10" ht="12.75">
      <c r="B1888" s="17"/>
      <c r="C1888" s="17"/>
      <c r="D1888" s="47"/>
      <c r="E1888" s="32"/>
      <c r="F1888" s="32"/>
      <c r="H1888" s="32"/>
      <c r="I1888" s="17"/>
      <c r="J1888" s="32"/>
    </row>
    <row r="1889" spans="2:10" ht="12.75">
      <c r="B1889" s="17"/>
      <c r="C1889" s="17"/>
      <c r="D1889" s="47"/>
      <c r="E1889" s="32"/>
      <c r="F1889" s="32"/>
      <c r="H1889" s="32"/>
      <c r="I1889" s="17"/>
      <c r="J1889" s="32"/>
    </row>
    <row r="1890" spans="2:10" ht="12.75">
      <c r="B1890" s="17"/>
      <c r="C1890" s="17"/>
      <c r="D1890" s="47"/>
      <c r="E1890" s="32"/>
      <c r="F1890" s="32"/>
      <c r="H1890" s="32"/>
      <c r="I1890" s="17"/>
      <c r="J1890" s="32"/>
    </row>
    <row r="1891" spans="2:10" ht="12.75">
      <c r="B1891" s="17"/>
      <c r="C1891" s="17"/>
      <c r="D1891" s="47"/>
      <c r="E1891" s="32"/>
      <c r="F1891" s="32"/>
      <c r="H1891" s="32"/>
      <c r="I1891" s="17"/>
      <c r="J1891" s="32"/>
    </row>
    <row r="1892" spans="2:10" ht="12.75">
      <c r="B1892" s="17"/>
      <c r="C1892" s="17"/>
      <c r="D1892" s="47"/>
      <c r="E1892" s="32"/>
      <c r="F1892" s="32"/>
      <c r="H1892" s="32"/>
      <c r="I1892" s="17"/>
      <c r="J1892" s="32"/>
    </row>
    <row r="1893" spans="2:10" ht="12.75">
      <c r="B1893" s="17"/>
      <c r="C1893" s="17"/>
      <c r="D1893" s="47"/>
      <c r="E1893" s="32"/>
      <c r="F1893" s="32"/>
      <c r="H1893" s="32"/>
      <c r="I1893" s="17"/>
      <c r="J1893" s="32"/>
    </row>
    <row r="1894" spans="2:10" ht="12.75">
      <c r="B1894" s="17"/>
      <c r="C1894" s="17"/>
      <c r="D1894" s="47"/>
      <c r="E1894" s="32"/>
      <c r="F1894" s="32"/>
      <c r="H1894" s="32"/>
      <c r="I1894" s="17"/>
      <c r="J1894" s="32"/>
    </row>
    <row r="1895" spans="2:10" ht="12.75">
      <c r="B1895" s="17"/>
      <c r="C1895" s="17"/>
      <c r="D1895" s="47"/>
      <c r="E1895" s="32"/>
      <c r="F1895" s="32"/>
      <c r="H1895" s="32"/>
      <c r="I1895" s="17"/>
      <c r="J1895" s="32"/>
    </row>
    <row r="1896" spans="2:10" ht="12.75">
      <c r="B1896" s="17"/>
      <c r="C1896" s="17"/>
      <c r="D1896" s="47"/>
      <c r="E1896" s="32"/>
      <c r="F1896" s="32"/>
      <c r="H1896" s="32"/>
      <c r="I1896" s="17"/>
      <c r="J1896" s="32"/>
    </row>
    <row r="1897" spans="2:10" ht="12.75">
      <c r="B1897" s="17"/>
      <c r="C1897" s="17"/>
      <c r="D1897" s="47"/>
      <c r="E1897" s="32"/>
      <c r="F1897" s="32"/>
      <c r="H1897" s="32"/>
      <c r="I1897" s="17"/>
      <c r="J1897" s="32"/>
    </row>
    <row r="1898" spans="2:10" ht="12.75">
      <c r="B1898" s="17"/>
      <c r="C1898" s="17"/>
      <c r="D1898" s="47"/>
      <c r="E1898" s="32"/>
      <c r="F1898" s="32"/>
      <c r="H1898" s="32"/>
      <c r="I1898" s="17"/>
      <c r="J1898" s="32"/>
    </row>
    <row r="1899" spans="2:10" ht="12.75">
      <c r="B1899" s="17"/>
      <c r="C1899" s="17"/>
      <c r="D1899" s="47"/>
      <c r="E1899" s="32"/>
      <c r="F1899" s="32"/>
      <c r="H1899" s="32"/>
      <c r="I1899" s="17"/>
      <c r="J1899" s="32"/>
    </row>
    <row r="1900" spans="2:10" ht="12.75">
      <c r="B1900" s="17"/>
      <c r="C1900" s="17"/>
      <c r="D1900" s="47"/>
      <c r="E1900" s="32"/>
      <c r="F1900" s="32"/>
      <c r="H1900" s="32"/>
      <c r="I1900" s="17"/>
      <c r="J1900" s="32"/>
    </row>
    <row r="1901" spans="2:10" ht="12.75">
      <c r="B1901" s="17"/>
      <c r="C1901" s="17"/>
      <c r="D1901" s="47"/>
      <c r="E1901" s="32"/>
      <c r="F1901" s="32"/>
      <c r="H1901" s="32"/>
      <c r="I1901" s="17"/>
      <c r="J1901" s="32"/>
    </row>
    <row r="1902" spans="2:10" ht="12.75">
      <c r="B1902" s="17"/>
      <c r="C1902" s="17"/>
      <c r="D1902" s="47"/>
      <c r="E1902" s="32"/>
      <c r="F1902" s="32"/>
      <c r="H1902" s="32"/>
      <c r="I1902" s="17"/>
      <c r="J1902" s="32"/>
    </row>
    <row r="1903" spans="2:10" ht="12.75">
      <c r="B1903" s="17"/>
      <c r="C1903" s="17"/>
      <c r="D1903" s="47"/>
      <c r="E1903" s="32"/>
      <c r="F1903" s="32"/>
      <c r="H1903" s="32"/>
      <c r="I1903" s="17"/>
      <c r="J1903" s="32"/>
    </row>
    <row r="1904" spans="2:10" ht="12.75">
      <c r="B1904" s="17"/>
      <c r="C1904" s="17"/>
      <c r="D1904" s="47"/>
      <c r="E1904" s="32"/>
      <c r="F1904" s="32"/>
      <c r="H1904" s="32"/>
      <c r="I1904" s="17"/>
      <c r="J1904" s="32"/>
    </row>
    <row r="1905" spans="2:10" ht="12.75">
      <c r="B1905" s="17"/>
      <c r="C1905" s="17"/>
      <c r="D1905" s="47"/>
      <c r="E1905" s="32"/>
      <c r="F1905" s="32"/>
      <c r="H1905" s="32"/>
      <c r="I1905" s="17"/>
      <c r="J1905" s="32"/>
    </row>
    <row r="1906" spans="2:10" ht="12.75">
      <c r="B1906" s="17"/>
      <c r="C1906" s="17"/>
      <c r="D1906" s="47"/>
      <c r="E1906" s="32"/>
      <c r="F1906" s="32"/>
      <c r="H1906" s="32"/>
      <c r="I1906" s="17"/>
      <c r="J1906" s="32"/>
    </row>
    <row r="1907" spans="2:10" ht="12.75">
      <c r="B1907" s="17"/>
      <c r="C1907" s="17"/>
      <c r="D1907" s="47"/>
      <c r="E1907" s="32"/>
      <c r="F1907" s="32"/>
      <c r="H1907" s="32"/>
      <c r="I1907" s="17"/>
      <c r="J1907" s="32"/>
    </row>
    <row r="1908" spans="2:10" ht="12.75">
      <c r="B1908" s="17"/>
      <c r="C1908" s="17"/>
      <c r="D1908" s="47"/>
      <c r="E1908" s="32"/>
      <c r="F1908" s="32"/>
      <c r="H1908" s="32"/>
      <c r="I1908" s="17"/>
      <c r="J1908" s="32"/>
    </row>
    <row r="1909" spans="2:10" ht="12.75">
      <c r="B1909" s="17"/>
      <c r="C1909" s="17"/>
      <c r="D1909" s="47"/>
      <c r="E1909" s="32"/>
      <c r="F1909" s="32"/>
      <c r="H1909" s="32"/>
      <c r="I1909" s="17"/>
      <c r="J1909" s="32"/>
    </row>
    <row r="1910" spans="2:10" ht="12.75">
      <c r="B1910" s="17"/>
      <c r="C1910" s="17"/>
      <c r="D1910" s="47"/>
      <c r="E1910" s="32"/>
      <c r="F1910" s="32"/>
      <c r="H1910" s="32"/>
      <c r="I1910" s="17"/>
      <c r="J1910" s="32"/>
    </row>
    <row r="1911" spans="2:10" ht="12.75">
      <c r="B1911" s="17"/>
      <c r="C1911" s="17"/>
      <c r="D1911" s="47"/>
      <c r="E1911" s="32"/>
      <c r="F1911" s="32"/>
      <c r="H1911" s="32"/>
      <c r="I1911" s="17"/>
      <c r="J1911" s="32"/>
    </row>
    <row r="1912" spans="2:10" ht="12.75">
      <c r="B1912" s="17"/>
      <c r="C1912" s="17"/>
      <c r="D1912" s="47"/>
      <c r="E1912" s="32"/>
      <c r="F1912" s="32"/>
      <c r="H1912" s="32"/>
      <c r="I1912" s="17"/>
      <c r="J1912" s="32"/>
    </row>
    <row r="1913" spans="2:10" ht="12.75">
      <c r="B1913" s="17"/>
      <c r="C1913" s="17"/>
      <c r="D1913" s="47"/>
      <c r="E1913" s="32"/>
      <c r="F1913" s="32"/>
      <c r="H1913" s="32"/>
      <c r="I1913" s="17"/>
      <c r="J1913" s="32"/>
    </row>
    <row r="1914" spans="2:10" ht="12.75">
      <c r="B1914" s="17"/>
      <c r="C1914" s="17"/>
      <c r="D1914" s="47"/>
      <c r="E1914" s="32"/>
      <c r="F1914" s="32"/>
      <c r="H1914" s="32"/>
      <c r="I1914" s="17"/>
      <c r="J1914" s="32"/>
    </row>
    <row r="1915" spans="2:10" ht="12.75">
      <c r="B1915" s="17"/>
      <c r="C1915" s="17"/>
      <c r="D1915" s="47"/>
      <c r="E1915" s="32"/>
      <c r="F1915" s="32"/>
      <c r="H1915" s="32"/>
      <c r="I1915" s="17"/>
      <c r="J1915" s="32"/>
    </row>
    <row r="1916" spans="2:10" ht="12.75">
      <c r="B1916" s="17"/>
      <c r="C1916" s="17"/>
      <c r="D1916" s="47"/>
      <c r="E1916" s="32"/>
      <c r="F1916" s="32"/>
      <c r="H1916" s="32"/>
      <c r="I1916" s="17"/>
      <c r="J1916" s="32"/>
    </row>
    <row r="1917" spans="2:10" ht="12.75">
      <c r="B1917" s="17"/>
      <c r="C1917" s="17"/>
      <c r="D1917" s="47"/>
      <c r="E1917" s="32"/>
      <c r="F1917" s="32"/>
      <c r="H1917" s="32"/>
      <c r="I1917" s="17"/>
      <c r="J1917" s="32"/>
    </row>
    <row r="1918" spans="2:10" ht="12.75">
      <c r="B1918" s="17"/>
      <c r="C1918" s="17"/>
      <c r="D1918" s="47"/>
      <c r="E1918" s="32"/>
      <c r="F1918" s="32"/>
      <c r="H1918" s="32"/>
      <c r="I1918" s="17"/>
      <c r="J1918" s="32"/>
    </row>
    <row r="1919" spans="2:10" ht="12.75">
      <c r="B1919" s="17"/>
      <c r="C1919" s="17"/>
      <c r="D1919" s="47"/>
      <c r="E1919" s="32"/>
      <c r="F1919" s="32"/>
      <c r="H1919" s="32"/>
      <c r="I1919" s="17"/>
      <c r="J1919" s="32"/>
    </row>
    <row r="1920" spans="2:10" ht="12.75">
      <c r="B1920" s="17"/>
      <c r="C1920" s="17"/>
      <c r="D1920" s="47"/>
      <c r="E1920" s="32"/>
      <c r="F1920" s="32"/>
      <c r="H1920" s="32"/>
      <c r="I1920" s="17"/>
      <c r="J1920" s="32"/>
    </row>
    <row r="1921" spans="2:10" ht="12.75">
      <c r="B1921" s="17"/>
      <c r="C1921" s="17"/>
      <c r="D1921" s="47"/>
      <c r="E1921" s="32"/>
      <c r="F1921" s="32"/>
      <c r="H1921" s="32"/>
      <c r="I1921" s="17"/>
      <c r="J1921" s="32"/>
    </row>
    <row r="1922" spans="2:10" ht="12.75">
      <c r="B1922" s="17"/>
      <c r="C1922" s="17"/>
      <c r="D1922" s="47"/>
      <c r="E1922" s="32"/>
      <c r="F1922" s="32"/>
      <c r="H1922" s="32"/>
      <c r="I1922" s="17"/>
      <c r="J1922" s="32"/>
    </row>
    <row r="1923" spans="2:10" ht="12.75">
      <c r="B1923" s="17"/>
      <c r="C1923" s="17"/>
      <c r="D1923" s="47"/>
      <c r="E1923" s="32"/>
      <c r="F1923" s="32"/>
      <c r="H1923" s="32"/>
      <c r="I1923" s="17"/>
      <c r="J1923" s="32"/>
    </row>
    <row r="1924" spans="2:10" ht="12.75">
      <c r="B1924" s="17"/>
      <c r="C1924" s="17"/>
      <c r="D1924" s="47"/>
      <c r="E1924" s="32"/>
      <c r="F1924" s="32"/>
      <c r="H1924" s="32"/>
      <c r="I1924" s="17"/>
      <c r="J1924" s="32"/>
    </row>
    <row r="1925" spans="2:10" ht="12.75">
      <c r="B1925" s="17"/>
      <c r="C1925" s="17"/>
      <c r="D1925" s="47"/>
      <c r="E1925" s="32"/>
      <c r="F1925" s="32"/>
      <c r="H1925" s="32"/>
      <c r="I1925" s="17"/>
      <c r="J1925" s="32"/>
    </row>
    <row r="1926" spans="2:10" ht="12.75">
      <c r="B1926" s="17"/>
      <c r="C1926" s="17"/>
      <c r="D1926" s="47"/>
      <c r="E1926" s="32"/>
      <c r="F1926" s="32"/>
      <c r="H1926" s="32"/>
      <c r="I1926" s="17"/>
      <c r="J1926" s="32"/>
    </row>
    <row r="1927" spans="2:10" ht="12.75">
      <c r="B1927" s="17"/>
      <c r="C1927" s="17"/>
      <c r="D1927" s="47"/>
      <c r="E1927" s="32"/>
      <c r="F1927" s="32"/>
      <c r="H1927" s="32"/>
      <c r="I1927" s="17"/>
      <c r="J1927" s="32"/>
    </row>
    <row r="1928" spans="2:10" ht="12.75">
      <c r="B1928" s="17"/>
      <c r="C1928" s="17"/>
      <c r="D1928" s="47"/>
      <c r="E1928" s="32"/>
      <c r="F1928" s="32"/>
      <c r="H1928" s="32"/>
      <c r="I1928" s="17"/>
      <c r="J1928" s="32"/>
    </row>
    <row r="1929" spans="2:10" ht="12.75">
      <c r="B1929" s="17"/>
      <c r="C1929" s="17"/>
      <c r="D1929" s="47"/>
      <c r="E1929" s="32"/>
      <c r="F1929" s="32"/>
      <c r="H1929" s="32"/>
      <c r="I1929" s="17"/>
      <c r="J1929" s="32"/>
    </row>
    <row r="1930" spans="2:10" ht="12.75">
      <c r="B1930" s="17"/>
      <c r="C1930" s="17"/>
      <c r="D1930" s="47"/>
      <c r="E1930" s="32"/>
      <c r="F1930" s="32"/>
      <c r="H1930" s="32"/>
      <c r="I1930" s="17"/>
      <c r="J1930" s="32"/>
    </row>
    <row r="1931" spans="2:10" ht="12.75">
      <c r="B1931" s="17"/>
      <c r="C1931" s="17"/>
      <c r="D1931" s="47"/>
      <c r="E1931" s="32"/>
      <c r="F1931" s="32"/>
      <c r="H1931" s="32"/>
      <c r="I1931" s="17"/>
      <c r="J1931" s="32"/>
    </row>
    <row r="1932" spans="2:10" ht="12.75">
      <c r="B1932" s="17"/>
      <c r="C1932" s="17"/>
      <c r="D1932" s="47"/>
      <c r="E1932" s="32"/>
      <c r="F1932" s="32"/>
      <c r="H1932" s="32"/>
      <c r="I1932" s="17"/>
      <c r="J1932" s="32"/>
    </row>
    <row r="1933" spans="2:10" ht="12.75">
      <c r="B1933" s="17"/>
      <c r="C1933" s="17"/>
      <c r="D1933" s="47"/>
      <c r="E1933" s="32"/>
      <c r="F1933" s="32"/>
      <c r="H1933" s="32"/>
      <c r="I1933" s="17"/>
      <c r="J1933" s="32"/>
    </row>
    <row r="1934" spans="2:10" ht="12.75">
      <c r="B1934" s="17"/>
      <c r="C1934" s="17"/>
      <c r="D1934" s="47"/>
      <c r="E1934" s="32"/>
      <c r="F1934" s="32"/>
      <c r="H1934" s="32"/>
      <c r="I1934" s="17"/>
      <c r="J1934" s="32"/>
    </row>
    <row r="1935" spans="2:10" ht="12.75">
      <c r="B1935" s="17"/>
      <c r="C1935" s="17"/>
      <c r="D1935" s="47"/>
      <c r="E1935" s="32"/>
      <c r="F1935" s="32"/>
      <c r="H1935" s="32"/>
      <c r="I1935" s="17"/>
      <c r="J1935" s="32"/>
    </row>
    <row r="1936" spans="2:10" ht="12.75">
      <c r="B1936" s="17"/>
      <c r="C1936" s="17"/>
      <c r="D1936" s="47"/>
      <c r="E1936" s="32"/>
      <c r="F1936" s="32"/>
      <c r="H1936" s="32"/>
      <c r="I1936" s="17"/>
      <c r="J1936" s="32"/>
    </row>
    <row r="1937" spans="2:10" ht="12.75">
      <c r="B1937" s="17"/>
      <c r="C1937" s="17"/>
      <c r="D1937" s="47"/>
      <c r="E1937" s="32"/>
      <c r="F1937" s="32"/>
      <c r="H1937" s="32"/>
      <c r="I1937" s="17"/>
      <c r="J1937" s="32"/>
    </row>
    <row r="1938" spans="2:10" ht="12.75">
      <c r="B1938" s="17"/>
      <c r="C1938" s="17"/>
      <c r="D1938" s="47"/>
      <c r="E1938" s="32"/>
      <c r="F1938" s="32"/>
      <c r="H1938" s="32"/>
      <c r="I1938" s="17"/>
      <c r="J1938" s="32"/>
    </row>
    <row r="1939" spans="2:10" ht="12.75">
      <c r="B1939" s="17"/>
      <c r="C1939" s="17"/>
      <c r="D1939" s="47"/>
      <c r="E1939" s="32"/>
      <c r="F1939" s="32"/>
      <c r="H1939" s="32"/>
      <c r="I1939" s="17"/>
      <c r="J1939" s="32"/>
    </row>
    <row r="1940" spans="2:10" ht="12.75">
      <c r="B1940" s="17"/>
      <c r="C1940" s="17"/>
      <c r="D1940" s="47"/>
      <c r="E1940" s="32"/>
      <c r="F1940" s="32"/>
      <c r="H1940" s="32"/>
      <c r="I1940" s="17"/>
      <c r="J1940" s="32"/>
    </row>
    <row r="1941" spans="2:10" ht="12.75">
      <c r="B1941" s="17"/>
      <c r="C1941" s="17"/>
      <c r="D1941" s="47"/>
      <c r="E1941" s="32"/>
      <c r="F1941" s="32"/>
      <c r="H1941" s="32"/>
      <c r="I1941" s="17"/>
      <c r="J1941" s="32"/>
    </row>
    <row r="1942" spans="2:10" ht="12.75">
      <c r="B1942" s="17"/>
      <c r="C1942" s="17"/>
      <c r="D1942" s="47"/>
      <c r="E1942" s="32"/>
      <c r="F1942" s="32"/>
      <c r="H1942" s="32"/>
      <c r="I1942" s="17"/>
      <c r="J1942" s="32"/>
    </row>
    <row r="1943" spans="2:10" ht="12.75">
      <c r="B1943" s="17"/>
      <c r="C1943" s="17"/>
      <c r="D1943" s="47"/>
      <c r="E1943" s="32"/>
      <c r="F1943" s="32"/>
      <c r="H1943" s="32"/>
      <c r="I1943" s="17"/>
      <c r="J1943" s="32"/>
    </row>
    <row r="1944" spans="2:10" ht="12.75">
      <c r="B1944" s="17"/>
      <c r="C1944" s="17"/>
      <c r="D1944" s="47"/>
      <c r="E1944" s="32"/>
      <c r="F1944" s="32"/>
      <c r="H1944" s="32"/>
      <c r="I1944" s="17"/>
      <c r="J1944" s="32"/>
    </row>
    <row r="1945" spans="2:10" ht="12.75">
      <c r="B1945" s="17"/>
      <c r="C1945" s="17"/>
      <c r="D1945" s="47"/>
      <c r="E1945" s="32"/>
      <c r="F1945" s="32"/>
      <c r="H1945" s="32"/>
      <c r="I1945" s="17"/>
      <c r="J1945" s="32"/>
    </row>
    <row r="1946" spans="2:10" ht="12.75">
      <c r="B1946" s="17"/>
      <c r="C1946" s="17"/>
      <c r="D1946" s="47"/>
      <c r="E1946" s="32"/>
      <c r="F1946" s="32"/>
      <c r="H1946" s="32"/>
      <c r="I1946" s="17"/>
      <c r="J1946" s="32"/>
    </row>
    <row r="1947" spans="2:10" ht="12.75">
      <c r="B1947" s="17"/>
      <c r="C1947" s="17"/>
      <c r="D1947" s="47"/>
      <c r="E1947" s="32"/>
      <c r="F1947" s="32"/>
      <c r="H1947" s="32"/>
      <c r="I1947" s="17"/>
      <c r="J1947" s="32"/>
    </row>
    <row r="1948" spans="2:10" ht="12.75">
      <c r="B1948" s="17"/>
      <c r="C1948" s="17"/>
      <c r="D1948" s="47"/>
      <c r="E1948" s="32"/>
      <c r="F1948" s="32"/>
      <c r="H1948" s="32"/>
      <c r="I1948" s="17"/>
      <c r="J1948" s="32"/>
    </row>
    <row r="1949" spans="2:10" ht="12.75">
      <c r="B1949" s="17"/>
      <c r="C1949" s="17"/>
      <c r="D1949" s="47"/>
      <c r="E1949" s="32"/>
      <c r="F1949" s="32"/>
      <c r="H1949" s="32"/>
      <c r="I1949" s="17"/>
      <c r="J1949" s="32"/>
    </row>
    <row r="1950" spans="2:10" ht="12.75">
      <c r="B1950" s="17"/>
      <c r="C1950" s="17"/>
      <c r="D1950" s="47"/>
      <c r="E1950" s="32"/>
      <c r="F1950" s="32"/>
      <c r="H1950" s="32"/>
      <c r="I1950" s="17"/>
      <c r="J1950" s="32"/>
    </row>
    <row r="1951" spans="2:10" ht="12.75">
      <c r="B1951" s="17"/>
      <c r="C1951" s="17"/>
      <c r="D1951" s="47"/>
      <c r="E1951" s="32"/>
      <c r="F1951" s="32"/>
      <c r="H1951" s="32"/>
      <c r="I1951" s="17"/>
      <c r="J1951" s="32"/>
    </row>
    <row r="1952" spans="2:10" ht="12.75">
      <c r="B1952" s="17"/>
      <c r="C1952" s="17"/>
      <c r="D1952" s="47"/>
      <c r="E1952" s="32"/>
      <c r="F1952" s="32"/>
      <c r="H1952" s="32"/>
      <c r="I1952" s="17"/>
      <c r="J1952" s="32"/>
    </row>
    <row r="1953" spans="2:10" ht="12.75">
      <c r="B1953" s="17"/>
      <c r="C1953" s="17"/>
      <c r="D1953" s="47"/>
      <c r="E1953" s="32"/>
      <c r="F1953" s="32"/>
      <c r="H1953" s="32"/>
      <c r="I1953" s="17"/>
      <c r="J1953" s="32"/>
    </row>
    <row r="1954" spans="2:10" ht="12.75">
      <c r="B1954" s="17"/>
      <c r="C1954" s="17"/>
      <c r="D1954" s="47"/>
      <c r="E1954" s="32"/>
      <c r="F1954" s="32"/>
      <c r="H1954" s="32"/>
      <c r="I1954" s="17"/>
      <c r="J1954" s="32"/>
    </row>
    <row r="1955" spans="2:10" ht="12.75">
      <c r="B1955" s="17"/>
      <c r="C1955" s="17"/>
      <c r="D1955" s="47"/>
      <c r="E1955" s="32"/>
      <c r="F1955" s="32"/>
      <c r="H1955" s="32"/>
      <c r="I1955" s="17"/>
      <c r="J1955" s="32"/>
    </row>
    <row r="1956" spans="2:10" ht="12.75">
      <c r="B1956" s="17"/>
      <c r="C1956" s="17"/>
      <c r="D1956" s="47"/>
      <c r="E1956" s="32"/>
      <c r="F1956" s="32"/>
      <c r="H1956" s="32"/>
      <c r="I1956" s="17"/>
      <c r="J1956" s="32"/>
    </row>
    <row r="1957" spans="2:10" ht="12.75">
      <c r="B1957" s="17"/>
      <c r="C1957" s="17"/>
      <c r="D1957" s="47"/>
      <c r="E1957" s="32"/>
      <c r="F1957" s="32"/>
      <c r="H1957" s="32"/>
      <c r="I1957" s="17"/>
      <c r="J1957" s="32"/>
    </row>
    <row r="1958" spans="2:10" ht="12.75">
      <c r="B1958" s="17"/>
      <c r="C1958" s="17"/>
      <c r="D1958" s="47"/>
      <c r="E1958" s="32"/>
      <c r="F1958" s="32"/>
      <c r="H1958" s="32"/>
      <c r="I1958" s="17"/>
      <c r="J1958" s="32"/>
    </row>
    <row r="1959" spans="2:10" ht="12.75">
      <c r="B1959" s="17"/>
      <c r="C1959" s="17"/>
      <c r="D1959" s="47"/>
      <c r="E1959" s="32"/>
      <c r="F1959" s="32"/>
      <c r="H1959" s="32"/>
      <c r="I1959" s="17"/>
      <c r="J1959" s="32"/>
    </row>
    <row r="1960" spans="2:10" ht="12.75">
      <c r="B1960" s="17"/>
      <c r="C1960" s="17"/>
      <c r="D1960" s="47"/>
      <c r="E1960" s="32"/>
      <c r="F1960" s="32"/>
      <c r="H1960" s="32"/>
      <c r="I1960" s="17"/>
      <c r="J1960" s="32"/>
    </row>
    <row r="1961" spans="2:10" ht="12.75">
      <c r="B1961" s="17"/>
      <c r="C1961" s="17"/>
      <c r="D1961" s="47"/>
      <c r="E1961" s="32"/>
      <c r="F1961" s="32"/>
      <c r="H1961" s="32"/>
      <c r="I1961" s="17"/>
      <c r="J1961" s="32"/>
    </row>
    <row r="1962" spans="2:10" ht="12.75">
      <c r="B1962" s="17"/>
      <c r="C1962" s="17"/>
      <c r="D1962" s="47"/>
      <c r="E1962" s="32"/>
      <c r="F1962" s="32"/>
      <c r="H1962" s="32"/>
      <c r="I1962" s="17"/>
      <c r="J1962" s="32"/>
    </row>
    <row r="1963" spans="2:10" ht="12.75">
      <c r="B1963" s="17"/>
      <c r="C1963" s="17"/>
      <c r="D1963" s="47"/>
      <c r="E1963" s="32"/>
      <c r="F1963" s="32"/>
      <c r="H1963" s="32"/>
      <c r="I1963" s="17"/>
      <c r="J1963" s="32"/>
    </row>
    <row r="1964" spans="2:10" ht="12.75">
      <c r="B1964" s="17"/>
      <c r="C1964" s="17"/>
      <c r="D1964" s="47"/>
      <c r="E1964" s="32"/>
      <c r="F1964" s="32"/>
      <c r="H1964" s="32"/>
      <c r="I1964" s="17"/>
      <c r="J1964" s="32"/>
    </row>
    <row r="1965" spans="2:10" ht="12.75">
      <c r="B1965" s="17"/>
      <c r="C1965" s="17"/>
      <c r="D1965" s="47"/>
      <c r="E1965" s="32"/>
      <c r="F1965" s="32"/>
      <c r="H1965" s="32"/>
      <c r="I1965" s="17"/>
      <c r="J1965" s="32"/>
    </row>
    <row r="1966" spans="2:10" ht="12.75">
      <c r="B1966" s="17"/>
      <c r="C1966" s="17"/>
      <c r="D1966" s="47"/>
      <c r="E1966" s="32"/>
      <c r="F1966" s="32"/>
      <c r="H1966" s="32"/>
      <c r="I1966" s="17"/>
      <c r="J1966" s="32"/>
    </row>
    <row r="1967" spans="2:10" ht="12.75">
      <c r="B1967" s="17"/>
      <c r="C1967" s="17"/>
      <c r="D1967" s="47"/>
      <c r="E1967" s="32"/>
      <c r="F1967" s="32"/>
      <c r="H1967" s="32"/>
      <c r="I1967" s="17"/>
      <c r="J1967" s="32"/>
    </row>
    <row r="1968" spans="2:10" ht="12.75">
      <c r="B1968" s="17"/>
      <c r="C1968" s="17"/>
      <c r="D1968" s="47"/>
      <c r="E1968" s="32"/>
      <c r="F1968" s="32"/>
      <c r="H1968" s="32"/>
      <c r="I1968" s="17"/>
      <c r="J1968" s="32"/>
    </row>
    <row r="1969" spans="2:10" ht="12.75">
      <c r="B1969" s="17"/>
      <c r="C1969" s="17"/>
      <c r="D1969" s="47"/>
      <c r="E1969" s="32"/>
      <c r="F1969" s="32"/>
      <c r="H1969" s="32"/>
      <c r="I1969" s="17"/>
      <c r="J1969" s="32"/>
    </row>
    <row r="1970" spans="2:10" ht="12.75">
      <c r="B1970" s="17"/>
      <c r="C1970" s="17"/>
      <c r="D1970" s="47"/>
      <c r="E1970" s="32"/>
      <c r="F1970" s="32"/>
      <c r="H1970" s="32"/>
      <c r="I1970" s="17"/>
      <c r="J1970" s="32"/>
    </row>
    <row r="1971" spans="2:10" ht="12.75">
      <c r="B1971" s="17"/>
      <c r="C1971" s="17"/>
      <c r="D1971" s="47"/>
      <c r="E1971" s="32"/>
      <c r="F1971" s="32"/>
      <c r="H1971" s="32"/>
      <c r="I1971" s="17"/>
      <c r="J1971" s="32"/>
    </row>
    <row r="1972" spans="2:10" ht="12.75">
      <c r="B1972" s="17"/>
      <c r="C1972" s="17"/>
      <c r="D1972" s="47"/>
      <c r="E1972" s="32"/>
      <c r="F1972" s="32"/>
      <c r="H1972" s="32"/>
      <c r="I1972" s="17"/>
      <c r="J1972" s="32"/>
    </row>
    <row r="1973" spans="2:10" ht="12.75">
      <c r="B1973" s="17"/>
      <c r="C1973" s="17"/>
      <c r="D1973" s="47"/>
      <c r="E1973" s="32"/>
      <c r="F1973" s="32"/>
      <c r="H1973" s="32"/>
      <c r="I1973" s="17"/>
      <c r="J1973" s="32"/>
    </row>
    <row r="1974" spans="2:10" ht="12.75">
      <c r="B1974" s="17"/>
      <c r="C1974" s="17"/>
      <c r="D1974" s="47"/>
      <c r="E1974" s="32"/>
      <c r="F1974" s="32"/>
      <c r="H1974" s="32"/>
      <c r="I1974" s="17"/>
      <c r="J1974" s="32"/>
    </row>
    <row r="1975" spans="2:10" ht="12.75">
      <c r="B1975" s="17"/>
      <c r="C1975" s="17"/>
      <c r="D1975" s="47"/>
      <c r="E1975" s="32"/>
      <c r="F1975" s="32"/>
      <c r="H1975" s="32"/>
      <c r="I1975" s="17"/>
      <c r="J1975" s="32"/>
    </row>
    <row r="1976" spans="2:10" ht="12.75">
      <c r="B1976" s="17"/>
      <c r="C1976" s="17"/>
      <c r="D1976" s="47"/>
      <c r="E1976" s="32"/>
      <c r="F1976" s="32"/>
      <c r="H1976" s="32"/>
      <c r="I1976" s="17"/>
      <c r="J1976" s="32"/>
    </row>
    <row r="1977" spans="2:10" ht="12.75">
      <c r="B1977" s="17"/>
      <c r="C1977" s="17"/>
      <c r="D1977" s="47"/>
      <c r="E1977" s="32"/>
      <c r="F1977" s="32"/>
      <c r="H1977" s="32"/>
      <c r="I1977" s="17"/>
      <c r="J1977" s="32"/>
    </row>
    <row r="1978" spans="2:10" ht="12.75">
      <c r="B1978" s="17"/>
      <c r="C1978" s="17"/>
      <c r="D1978" s="47"/>
      <c r="E1978" s="32"/>
      <c r="F1978" s="32"/>
      <c r="H1978" s="32"/>
      <c r="I1978" s="17"/>
      <c r="J1978" s="32"/>
    </row>
    <row r="1979" spans="2:10" ht="12.75">
      <c r="B1979" s="17"/>
      <c r="C1979" s="17"/>
      <c r="D1979" s="47"/>
      <c r="E1979" s="32"/>
      <c r="F1979" s="32"/>
      <c r="H1979" s="32"/>
      <c r="I1979" s="17"/>
      <c r="J1979" s="32"/>
    </row>
    <row r="1980" spans="2:10" ht="12.75">
      <c r="B1980" s="17"/>
      <c r="C1980" s="17"/>
      <c r="D1980" s="47"/>
      <c r="E1980" s="32"/>
      <c r="F1980" s="32"/>
      <c r="H1980" s="32"/>
      <c r="I1980" s="17"/>
      <c r="J1980" s="32"/>
    </row>
    <row r="1981" spans="2:10" ht="12.75">
      <c r="B1981" s="17"/>
      <c r="C1981" s="17"/>
      <c r="D1981" s="47"/>
      <c r="E1981" s="32"/>
      <c r="F1981" s="32"/>
      <c r="H1981" s="32"/>
      <c r="I1981" s="17"/>
      <c r="J1981" s="32"/>
    </row>
    <row r="1982" spans="2:10" ht="12.75">
      <c r="B1982" s="17"/>
      <c r="C1982" s="17"/>
      <c r="D1982" s="47"/>
      <c r="E1982" s="32"/>
      <c r="F1982" s="32"/>
      <c r="H1982" s="32"/>
      <c r="I1982" s="17"/>
      <c r="J1982" s="32"/>
    </row>
    <row r="1983" spans="2:10" ht="12.75">
      <c r="B1983" s="17"/>
      <c r="C1983" s="17"/>
      <c r="D1983" s="47"/>
      <c r="E1983" s="32"/>
      <c r="F1983" s="32"/>
      <c r="H1983" s="32"/>
      <c r="I1983" s="17"/>
      <c r="J1983" s="32"/>
    </row>
    <row r="1984" spans="2:10" ht="12.75">
      <c r="B1984" s="17"/>
      <c r="C1984" s="17"/>
      <c r="D1984" s="47"/>
      <c r="E1984" s="32"/>
      <c r="F1984" s="32"/>
      <c r="H1984" s="32"/>
      <c r="I1984" s="17"/>
      <c r="J1984" s="32"/>
    </row>
    <row r="1985" spans="2:10" ht="12.75">
      <c r="B1985" s="17"/>
      <c r="C1985" s="17"/>
      <c r="D1985" s="47"/>
      <c r="E1985" s="32"/>
      <c r="F1985" s="32"/>
      <c r="H1985" s="32"/>
      <c r="I1985" s="17"/>
      <c r="J1985" s="32"/>
    </row>
    <row r="1986" spans="2:10" ht="12.75">
      <c r="B1986" s="17"/>
      <c r="C1986" s="17"/>
      <c r="D1986" s="47"/>
      <c r="E1986" s="32"/>
      <c r="F1986" s="32"/>
      <c r="H1986" s="32"/>
      <c r="I1986" s="17"/>
      <c r="J1986" s="32"/>
    </row>
    <row r="1987" spans="2:10" ht="12.75">
      <c r="B1987" s="17"/>
      <c r="C1987" s="17"/>
      <c r="D1987" s="47"/>
      <c r="E1987" s="32"/>
      <c r="F1987" s="32"/>
      <c r="H1987" s="32"/>
      <c r="I1987" s="17"/>
      <c r="J1987" s="32"/>
    </row>
    <row r="1988" spans="2:10" ht="12.75">
      <c r="B1988" s="17"/>
      <c r="C1988" s="17"/>
      <c r="D1988" s="47"/>
      <c r="E1988" s="32"/>
      <c r="F1988" s="32"/>
      <c r="H1988" s="32"/>
      <c r="I1988" s="17"/>
      <c r="J1988" s="32"/>
    </row>
    <row r="1989" spans="2:10" ht="12.75">
      <c r="B1989" s="17"/>
      <c r="C1989" s="17"/>
      <c r="D1989" s="47"/>
      <c r="E1989" s="32"/>
      <c r="F1989" s="32"/>
      <c r="H1989" s="32"/>
      <c r="I1989" s="17"/>
      <c r="J1989" s="32"/>
    </row>
    <row r="1990" spans="2:10" ht="12.75">
      <c r="B1990" s="17"/>
      <c r="C1990" s="17"/>
      <c r="D1990" s="47"/>
      <c r="E1990" s="32"/>
      <c r="F1990" s="32"/>
      <c r="H1990" s="32"/>
      <c r="I1990" s="17"/>
      <c r="J1990" s="32"/>
    </row>
    <row r="1991" spans="2:10" ht="12.75">
      <c r="B1991" s="17"/>
      <c r="C1991" s="17"/>
      <c r="D1991" s="47"/>
      <c r="E1991" s="32"/>
      <c r="F1991" s="32"/>
      <c r="H1991" s="32"/>
      <c r="I1991" s="17"/>
      <c r="J1991" s="32"/>
    </row>
    <row r="1992" spans="2:10" ht="12.75">
      <c r="B1992" s="17"/>
      <c r="C1992" s="17"/>
      <c r="D1992" s="47"/>
      <c r="E1992" s="32"/>
      <c r="F1992" s="32"/>
      <c r="H1992" s="32"/>
      <c r="I1992" s="17"/>
      <c r="J1992" s="32"/>
    </row>
    <row r="1993" spans="2:10" ht="12.75">
      <c r="B1993" s="17"/>
      <c r="C1993" s="17"/>
      <c r="D1993" s="47"/>
      <c r="E1993" s="32"/>
      <c r="F1993" s="32"/>
      <c r="H1993" s="32"/>
      <c r="I1993" s="17"/>
      <c r="J1993" s="32"/>
    </row>
    <row r="1994" spans="2:10" ht="12.75">
      <c r="B1994" s="17"/>
      <c r="C1994" s="17"/>
      <c r="D1994" s="47"/>
      <c r="E1994" s="32"/>
      <c r="F1994" s="32"/>
      <c r="H1994" s="32"/>
      <c r="I1994" s="17"/>
      <c r="J1994" s="32"/>
    </row>
    <row r="1995" spans="2:10" ht="12.75">
      <c r="B1995" s="17"/>
      <c r="C1995" s="17"/>
      <c r="D1995" s="47"/>
      <c r="E1995" s="32"/>
      <c r="F1995" s="32"/>
      <c r="H1995" s="32"/>
      <c r="I1995" s="17"/>
      <c r="J1995" s="32"/>
    </row>
    <row r="1996" spans="2:10" ht="12.75">
      <c r="B1996" s="17"/>
      <c r="C1996" s="17"/>
      <c r="D1996" s="47"/>
      <c r="E1996" s="32"/>
      <c r="F1996" s="32"/>
      <c r="H1996" s="32"/>
      <c r="I1996" s="17"/>
      <c r="J1996" s="32"/>
    </row>
    <row r="1997" spans="2:10" ht="12.75">
      <c r="B1997" s="17"/>
      <c r="C1997" s="17"/>
      <c r="D1997" s="47"/>
      <c r="E1997" s="32"/>
      <c r="F1997" s="32"/>
      <c r="H1997" s="32"/>
      <c r="I1997" s="17"/>
      <c r="J1997" s="32"/>
    </row>
    <row r="1998" spans="2:10" ht="12.75">
      <c r="B1998" s="17"/>
      <c r="C1998" s="17"/>
      <c r="D1998" s="47"/>
      <c r="E1998" s="32"/>
      <c r="F1998" s="32"/>
      <c r="H1998" s="32"/>
      <c r="I1998" s="17"/>
      <c r="J1998" s="32"/>
    </row>
    <row r="1999" spans="2:10" ht="12.75">
      <c r="B1999" s="17"/>
      <c r="C1999" s="17"/>
      <c r="D1999" s="47"/>
      <c r="E1999" s="32"/>
      <c r="F1999" s="32"/>
      <c r="H1999" s="32"/>
      <c r="I1999" s="17"/>
      <c r="J1999" s="32"/>
    </row>
    <row r="2000" spans="2:10" ht="12.75">
      <c r="B2000" s="17"/>
      <c r="C2000" s="17"/>
      <c r="D2000" s="47"/>
      <c r="E2000" s="32"/>
      <c r="F2000" s="32"/>
      <c r="H2000" s="32"/>
      <c r="I2000" s="17"/>
      <c r="J2000" s="32"/>
    </row>
    <row r="2001" spans="2:10" ht="12.75">
      <c r="B2001" s="17"/>
      <c r="C2001" s="17"/>
      <c r="D2001" s="47"/>
      <c r="E2001" s="32"/>
      <c r="F2001" s="32"/>
      <c r="H2001" s="32"/>
      <c r="I2001" s="17"/>
      <c r="J2001" s="32"/>
    </row>
    <row r="2002" spans="2:10" ht="12.75">
      <c r="B2002" s="17"/>
      <c r="C2002" s="17"/>
      <c r="D2002" s="47"/>
      <c r="E2002" s="32"/>
      <c r="F2002" s="32"/>
      <c r="H2002" s="32"/>
      <c r="I2002" s="17"/>
      <c r="J2002" s="32"/>
    </row>
    <row r="2003" spans="2:10" ht="12.75">
      <c r="B2003" s="17"/>
      <c r="C2003" s="17"/>
      <c r="D2003" s="47"/>
      <c r="E2003" s="32"/>
      <c r="F2003" s="32"/>
      <c r="H2003" s="32"/>
      <c r="I2003" s="17"/>
      <c r="J2003" s="32"/>
    </row>
    <row r="2004" spans="2:10" ht="12.75">
      <c r="B2004" s="17"/>
      <c r="C2004" s="17"/>
      <c r="D2004" s="47"/>
      <c r="E2004" s="32"/>
      <c r="F2004" s="32"/>
      <c r="H2004" s="32"/>
      <c r="I2004" s="17"/>
      <c r="J2004" s="32"/>
    </row>
    <row r="2005" spans="2:10" ht="12.75">
      <c r="B2005" s="17"/>
      <c r="C2005" s="17"/>
      <c r="D2005" s="47"/>
      <c r="E2005" s="32"/>
      <c r="F2005" s="32"/>
      <c r="H2005" s="32"/>
      <c r="I2005" s="17"/>
      <c r="J2005" s="32"/>
    </row>
    <row r="2006" spans="2:10" ht="12.75">
      <c r="B2006" s="17"/>
      <c r="C2006" s="17"/>
      <c r="D2006" s="47"/>
      <c r="E2006" s="32"/>
      <c r="F2006" s="32"/>
      <c r="H2006" s="32"/>
      <c r="I2006" s="17"/>
      <c r="J2006" s="32"/>
    </row>
    <row r="2007" spans="2:10" ht="12.75">
      <c r="B2007" s="17"/>
      <c r="C2007" s="17"/>
      <c r="D2007" s="47"/>
      <c r="E2007" s="32"/>
      <c r="F2007" s="32"/>
      <c r="H2007" s="32"/>
      <c r="I2007" s="17"/>
      <c r="J2007" s="32"/>
    </row>
    <row r="2008" spans="2:10" ht="12.75">
      <c r="B2008" s="17"/>
      <c r="C2008" s="17"/>
      <c r="D2008" s="47"/>
      <c r="E2008" s="32"/>
      <c r="F2008" s="32"/>
      <c r="H2008" s="32"/>
      <c r="I2008" s="17"/>
      <c r="J2008" s="32"/>
    </row>
    <row r="2009" spans="2:10" ht="12.75">
      <c r="B2009" s="17"/>
      <c r="C2009" s="17"/>
      <c r="D2009" s="47"/>
      <c r="E2009" s="32"/>
      <c r="F2009" s="32"/>
      <c r="H2009" s="32"/>
      <c r="I2009" s="17"/>
      <c r="J2009" s="32"/>
    </row>
    <row r="2010" spans="2:10" ht="12.75">
      <c r="B2010" s="17"/>
      <c r="C2010" s="17"/>
      <c r="D2010" s="47"/>
      <c r="E2010" s="32"/>
      <c r="F2010" s="32"/>
      <c r="H2010" s="32"/>
      <c r="I2010" s="17"/>
      <c r="J2010" s="32"/>
    </row>
    <row r="2011" spans="2:10" ht="12.75">
      <c r="B2011" s="17"/>
      <c r="C2011" s="17"/>
      <c r="D2011" s="47"/>
      <c r="E2011" s="32"/>
      <c r="F2011" s="32"/>
      <c r="H2011" s="32"/>
      <c r="I2011" s="17"/>
      <c r="J2011" s="32"/>
    </row>
    <row r="2012" spans="2:10" ht="12.75">
      <c r="B2012" s="17"/>
      <c r="C2012" s="17"/>
      <c r="D2012" s="47"/>
      <c r="E2012" s="32"/>
      <c r="F2012" s="32"/>
      <c r="H2012" s="32"/>
      <c r="I2012" s="17"/>
      <c r="J2012" s="32"/>
    </row>
    <row r="2013" spans="2:10" ht="12.75">
      <c r="B2013" s="17"/>
      <c r="C2013" s="17"/>
      <c r="D2013" s="47"/>
      <c r="E2013" s="32"/>
      <c r="F2013" s="32"/>
      <c r="H2013" s="32"/>
      <c r="I2013" s="17"/>
      <c r="J2013" s="32"/>
    </row>
    <row r="2014" spans="2:10" ht="12.75">
      <c r="B2014" s="17"/>
      <c r="C2014" s="17"/>
      <c r="D2014" s="47"/>
      <c r="E2014" s="32"/>
      <c r="F2014" s="32"/>
      <c r="H2014" s="32"/>
      <c r="I2014" s="17"/>
      <c r="J2014" s="32"/>
    </row>
    <row r="2015" spans="2:10" ht="12.75">
      <c r="B2015" s="17"/>
      <c r="C2015" s="17"/>
      <c r="D2015" s="47"/>
      <c r="E2015" s="32"/>
      <c r="F2015" s="32"/>
      <c r="H2015" s="32"/>
      <c r="I2015" s="17"/>
      <c r="J2015" s="32"/>
    </row>
    <row r="2016" spans="2:10" ht="12.75">
      <c r="B2016" s="17"/>
      <c r="C2016" s="17"/>
      <c r="D2016" s="47"/>
      <c r="E2016" s="32"/>
      <c r="F2016" s="32"/>
      <c r="H2016" s="32"/>
      <c r="I2016" s="17"/>
      <c r="J2016" s="32"/>
    </row>
    <row r="2017" spans="2:10" ht="12.75">
      <c r="B2017" s="17"/>
      <c r="C2017" s="17"/>
      <c r="D2017" s="47"/>
      <c r="E2017" s="32"/>
      <c r="F2017" s="32"/>
      <c r="H2017" s="32"/>
      <c r="I2017" s="17"/>
      <c r="J2017" s="32"/>
    </row>
    <row r="2018" spans="2:10" ht="12.75">
      <c r="B2018" s="17"/>
      <c r="C2018" s="17"/>
      <c r="D2018" s="47"/>
      <c r="E2018" s="32"/>
      <c r="F2018" s="32"/>
      <c r="H2018" s="32"/>
      <c r="I2018" s="17"/>
      <c r="J2018" s="32"/>
    </row>
    <row r="2019" spans="2:10" ht="12.75">
      <c r="B2019" s="17"/>
      <c r="C2019" s="17"/>
      <c r="D2019" s="47"/>
      <c r="E2019" s="32"/>
      <c r="F2019" s="32"/>
      <c r="H2019" s="32"/>
      <c r="I2019" s="17"/>
      <c r="J2019" s="32"/>
    </row>
    <row r="2020" spans="2:10" ht="12.75">
      <c r="B2020" s="17"/>
      <c r="C2020" s="17"/>
      <c r="D2020" s="47"/>
      <c r="E2020" s="32"/>
      <c r="F2020" s="32"/>
      <c r="H2020" s="32"/>
      <c r="I2020" s="17"/>
      <c r="J2020" s="32"/>
    </row>
    <row r="2021" spans="2:10" ht="12.75">
      <c r="B2021" s="17"/>
      <c r="C2021" s="17"/>
      <c r="D2021" s="47"/>
      <c r="E2021" s="32"/>
      <c r="F2021" s="32"/>
      <c r="H2021" s="32"/>
      <c r="I2021" s="17"/>
      <c r="J2021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Samson West 2025</vt:lpstr>
      <vt:lpstr>Samson West 2024</vt:lpstr>
      <vt:lpstr>Samson West 2023</vt:lpstr>
      <vt:lpstr>Samson West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Justin Bass</cp:lastModifiedBy>
  <dcterms:modified xsi:type="dcterms:W3CDTF">2025-11-28T21:12:08Z</dcterms:modified>
</cp:coreProperties>
</file>